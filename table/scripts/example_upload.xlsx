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MSE\MSE\mse1h2026-table\table\scripts\"/>
    </mc:Choice>
  </mc:AlternateContent>
  <xr:revisionPtr revIDLastSave="0" documentId="13_ncr:1_{01EE5059-7D8F-4D45-A32C-5EB1FF4F6A0D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Оценки" sheetId="1" r:id="rId1"/>
    <sheet name="Проекты" sheetId="2" r:id="rId2"/>
    <sheet name="Расчёт_оценок" sheetId="3" state="hidden" r:id="rId3"/>
    <sheet name="Онлайн-курс1" sheetId="4" r:id="rId4"/>
    <sheet name="Онлайн-курс2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11" i="2"/>
  <c r="E12" i="2"/>
  <c r="E13" i="2"/>
  <c r="E14" i="2"/>
  <c r="E15" i="2"/>
  <c r="E16" i="2"/>
  <c r="E17" i="2"/>
  <c r="E18" i="2"/>
  <c r="E19" i="2"/>
  <c r="E20" i="2"/>
  <c r="E21" i="2"/>
  <c r="E9" i="2"/>
  <c r="E10" i="2"/>
  <c r="BA21" i="2"/>
  <c r="AT21" i="2"/>
  <c r="AD21" i="2"/>
  <c r="AC21" i="2"/>
  <c r="BA20" i="2"/>
  <c r="AT20" i="2"/>
  <c r="AD20" i="2"/>
  <c r="AC20" i="2"/>
  <c r="BA19" i="2"/>
  <c r="AT19" i="2"/>
  <c r="AD19" i="2"/>
  <c r="AC19" i="2"/>
  <c r="BA18" i="2"/>
  <c r="AT18" i="2"/>
  <c r="AD18" i="2"/>
  <c r="AC18" i="2"/>
  <c r="BA17" i="2"/>
  <c r="AT17" i="2"/>
  <c r="AD17" i="2"/>
  <c r="AC17" i="2"/>
  <c r="BA16" i="2"/>
  <c r="AT16" i="2"/>
  <c r="AD16" i="2"/>
  <c r="AC16" i="2"/>
  <c r="BA15" i="2"/>
  <c r="AT15" i="2"/>
  <c r="AD15" i="2"/>
  <c r="AC15" i="2"/>
  <c r="BA14" i="2"/>
  <c r="AT14" i="2"/>
  <c r="AD14" i="2"/>
  <c r="AC14" i="2"/>
  <c r="BA13" i="2"/>
  <c r="AT13" i="2"/>
  <c r="AD13" i="2"/>
  <c r="AC13" i="2"/>
  <c r="BA12" i="2"/>
  <c r="AT12" i="2"/>
  <c r="AD12" i="2"/>
  <c r="AC12" i="2"/>
  <c r="BA11" i="2"/>
  <c r="AT11" i="2"/>
  <c r="AD11" i="2"/>
  <c r="AC11" i="2"/>
  <c r="BA10" i="2"/>
  <c r="AT10" i="2"/>
  <c r="AD10" i="2"/>
  <c r="AC10" i="2"/>
  <c r="BA9" i="2"/>
  <c r="AT9" i="2"/>
  <c r="AD9" i="2"/>
  <c r="AC9" i="2"/>
  <c r="BA8" i="2"/>
  <c r="AT8" i="2"/>
  <c r="AJ8" i="2"/>
  <c r="AX8" i="2" s="1"/>
  <c r="AD8" i="2"/>
  <c r="AC8" i="2"/>
  <c r="BA7" i="2"/>
  <c r="AT7" i="2"/>
  <c r="AD7" i="2"/>
  <c r="AC7" i="2"/>
  <c r="BA6" i="2"/>
  <c r="AJ6" i="2"/>
  <c r="AD6" i="2"/>
  <c r="AC6" i="2"/>
  <c r="BA5" i="2"/>
  <c r="AJ5" i="2"/>
  <c r="AX5" i="2" s="1"/>
  <c r="AD5" i="2"/>
  <c r="AC5" i="2"/>
  <c r="BA4" i="2"/>
  <c r="AJ4" i="2"/>
  <c r="AX4" i="2" s="1"/>
  <c r="AD4" i="2"/>
  <c r="AC4" i="2"/>
  <c r="BA3" i="2"/>
  <c r="AT3" i="2"/>
  <c r="AD3" i="2"/>
  <c r="AC3" i="2"/>
  <c r="L137" i="1"/>
  <c r="L136" i="1"/>
  <c r="L135" i="1"/>
  <c r="L134" i="1"/>
  <c r="L133" i="1"/>
  <c r="L132" i="1"/>
  <c r="L131" i="1"/>
  <c r="L130" i="1"/>
  <c r="L129" i="1"/>
  <c r="L128" i="1"/>
  <c r="L127" i="1"/>
  <c r="Y126" i="1"/>
  <c r="L126" i="1"/>
  <c r="Y125" i="1"/>
  <c r="L125" i="1"/>
  <c r="Y124" i="1"/>
  <c r="L124" i="1"/>
  <c r="Y123" i="1"/>
  <c r="L123" i="1"/>
  <c r="Y122" i="1"/>
  <c r="L122" i="1"/>
  <c r="Y121" i="1"/>
  <c r="L121" i="1"/>
  <c r="Y120" i="1"/>
  <c r="L120" i="1"/>
  <c r="Y119" i="1"/>
  <c r="L119" i="1"/>
  <c r="Y118" i="1"/>
  <c r="L118" i="1"/>
  <c r="Y117" i="1"/>
  <c r="L117" i="1"/>
  <c r="Y116" i="1"/>
  <c r="L116" i="1"/>
  <c r="AR115" i="1"/>
  <c r="AJ115" i="1"/>
  <c r="Y115" i="1"/>
  <c r="L115" i="1"/>
  <c r="Y114" i="1"/>
  <c r="L114" i="1"/>
  <c r="Y113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AC96" i="1"/>
  <c r="L96" i="1"/>
  <c r="AC95" i="1"/>
  <c r="L95" i="1"/>
  <c r="AC94" i="1"/>
  <c r="L94" i="1"/>
  <c r="AC93" i="1"/>
  <c r="L93" i="1"/>
  <c r="AC92" i="1"/>
  <c r="L92" i="1"/>
  <c r="AC91" i="1"/>
  <c r="L91" i="1"/>
  <c r="AC90" i="1"/>
  <c r="L90" i="1"/>
  <c r="AC89" i="1"/>
  <c r="L89" i="1"/>
  <c r="AC88" i="1"/>
  <c r="L88" i="1"/>
  <c r="AC87" i="1"/>
  <c r="L87" i="1"/>
  <c r="AC86" i="1"/>
  <c r="L86" i="1"/>
  <c r="AC85" i="1"/>
  <c r="L85" i="1"/>
  <c r="AC84" i="1"/>
  <c r="L84" i="1"/>
  <c r="AC83" i="1"/>
  <c r="L83" i="1"/>
  <c r="AC82" i="1"/>
  <c r="L82" i="1"/>
  <c r="AC81" i="1"/>
  <c r="L81" i="1"/>
  <c r="AC80" i="1"/>
  <c r="L80" i="1"/>
  <c r="AC79" i="1"/>
  <c r="L79" i="1"/>
  <c r="AC78" i="1"/>
  <c r="L78" i="1"/>
  <c r="AC77" i="1"/>
  <c r="L77" i="1"/>
  <c r="AC76" i="1"/>
  <c r="L76" i="1"/>
  <c r="AC75" i="1"/>
  <c r="L75" i="1"/>
  <c r="AC74" i="1"/>
  <c r="L74" i="1"/>
  <c r="AC73" i="1"/>
  <c r="L73" i="1"/>
  <c r="AC72" i="1"/>
  <c r="L72" i="1"/>
  <c r="AC71" i="1"/>
  <c r="L71" i="1"/>
  <c r="AC70" i="1"/>
  <c r="L70" i="1"/>
  <c r="AC69" i="1"/>
  <c r="L69" i="1"/>
  <c r="AC68" i="1"/>
  <c r="L68" i="1"/>
  <c r="AC67" i="1"/>
  <c r="L67" i="1"/>
  <c r="AC66" i="1"/>
  <c r="L66" i="1"/>
  <c r="AC65" i="1"/>
  <c r="L65" i="1"/>
  <c r="AC64" i="1"/>
  <c r="L64" i="1"/>
  <c r="AC63" i="1"/>
  <c r="L63" i="1"/>
  <c r="AC62" i="1"/>
  <c r="L62" i="1"/>
  <c r="AC61" i="1"/>
  <c r="L61" i="1"/>
  <c r="AC60" i="1"/>
  <c r="L60" i="1"/>
  <c r="AC59" i="1"/>
  <c r="L59" i="1"/>
  <c r="AC58" i="1"/>
  <c r="L58" i="1"/>
  <c r="AC57" i="1"/>
  <c r="L57" i="1"/>
  <c r="AC56" i="1"/>
  <c r="L56" i="1"/>
  <c r="AC55" i="1"/>
  <c r="L55" i="1"/>
  <c r="AC54" i="1"/>
  <c r="L54" i="1"/>
  <c r="AC53" i="1"/>
  <c r="L53" i="1"/>
  <c r="AC52" i="1"/>
  <c r="L52" i="1"/>
  <c r="AC51" i="1"/>
  <c r="L51" i="1"/>
  <c r="Y50" i="1"/>
  <c r="AC50" i="1" s="1"/>
  <c r="L50" i="1"/>
  <c r="Y49" i="1"/>
  <c r="AC49" i="1" s="1"/>
  <c r="L49" i="1"/>
  <c r="AC48" i="1"/>
  <c r="L48" i="1"/>
  <c r="AC47" i="1"/>
  <c r="L47" i="1"/>
  <c r="AC46" i="1"/>
  <c r="L46" i="1"/>
  <c r="AC45" i="1"/>
  <c r="L45" i="1"/>
  <c r="AC44" i="1"/>
  <c r="L44" i="1"/>
  <c r="AC43" i="1"/>
  <c r="L43" i="1"/>
  <c r="AC42" i="1"/>
  <c r="L42" i="1"/>
  <c r="AR41" i="1"/>
  <c r="AJ41" i="1"/>
  <c r="AK41" i="1" s="1"/>
  <c r="AC41" i="1"/>
  <c r="L41" i="1"/>
  <c r="Y40" i="1"/>
  <c r="AC40" i="1" s="1"/>
  <c r="L40" i="1"/>
  <c r="AR39" i="1"/>
  <c r="AJ39" i="1"/>
  <c r="AK39" i="1" s="1"/>
  <c r="AC39" i="1"/>
  <c r="L39" i="1"/>
  <c r="AC38" i="1"/>
  <c r="L38" i="1"/>
  <c r="AC37" i="1"/>
  <c r="L37" i="1"/>
  <c r="Y36" i="1"/>
  <c r="AC36" i="1" s="1"/>
  <c r="L36" i="1"/>
  <c r="AC35" i="1"/>
  <c r="L35" i="1"/>
  <c r="AC34" i="1"/>
  <c r="L34" i="1"/>
  <c r="AC33" i="1"/>
  <c r="L33" i="1"/>
  <c r="AC32" i="1"/>
  <c r="L32" i="1"/>
  <c r="AC31" i="1"/>
  <c r="L31" i="1"/>
  <c r="AC30" i="1"/>
  <c r="L30" i="1"/>
  <c r="AC29" i="1"/>
  <c r="L29" i="1"/>
  <c r="AC28" i="1"/>
  <c r="L28" i="1"/>
  <c r="AC27" i="1"/>
  <c r="L27" i="1"/>
  <c r="AC26" i="1"/>
  <c r="L26" i="1"/>
  <c r="AC25" i="1"/>
  <c r="L25" i="1"/>
  <c r="AC24" i="1"/>
  <c r="L24" i="1"/>
  <c r="AC23" i="1"/>
  <c r="L23" i="1"/>
  <c r="AC22" i="1"/>
  <c r="L22" i="1"/>
  <c r="AC21" i="1"/>
  <c r="L21" i="1"/>
  <c r="AC20" i="1"/>
  <c r="L20" i="1"/>
  <c r="Y19" i="1"/>
  <c r="AC19" i="1" s="1"/>
  <c r="L19" i="1"/>
  <c r="AC18" i="1"/>
  <c r="L18" i="1"/>
  <c r="AC17" i="1"/>
  <c r="L17" i="1"/>
  <c r="AC16" i="1"/>
  <c r="L16" i="1"/>
  <c r="AC15" i="1"/>
  <c r="L15" i="1"/>
  <c r="AC14" i="1"/>
  <c r="L14" i="1"/>
  <c r="AC13" i="1"/>
  <c r="L13" i="1"/>
  <c r="AC12" i="1"/>
  <c r="L12" i="1"/>
  <c r="AR11" i="1"/>
  <c r="AJ11" i="1"/>
  <c r="AK11" i="1" s="1"/>
  <c r="AC11" i="1"/>
  <c r="L11" i="1"/>
  <c r="AR10" i="1"/>
  <c r="AK10" i="1"/>
  <c r="AJ10" i="1"/>
  <c r="AC10" i="1"/>
  <c r="L10" i="1"/>
  <c r="AC9" i="1"/>
  <c r="L9" i="1"/>
  <c r="AC8" i="1"/>
  <c r="L8" i="1"/>
  <c r="AR7" i="1"/>
  <c r="AJ7" i="1"/>
  <c r="AK7" i="1" s="1"/>
  <c r="AC7" i="1"/>
  <c r="L7" i="1"/>
  <c r="AC6" i="1"/>
  <c r="L6" i="1"/>
  <c r="AC5" i="1"/>
  <c r="L5" i="1"/>
  <c r="AC4" i="1"/>
  <c r="L4" i="1"/>
  <c r="AC3" i="1"/>
  <c r="L3" i="1"/>
  <c r="C136" i="3"/>
  <c r="C130" i="3"/>
  <c r="C124" i="3"/>
  <c r="C118" i="3"/>
  <c r="C112" i="3"/>
  <c r="C106" i="3"/>
  <c r="C100" i="3"/>
  <c r="C94" i="3"/>
  <c r="C88" i="3"/>
  <c r="C82" i="3"/>
  <c r="C76" i="3"/>
  <c r="C70" i="3"/>
  <c r="C64" i="3"/>
  <c r="C58" i="3"/>
  <c r="C52" i="3"/>
  <c r="C46" i="3"/>
  <c r="C40" i="3"/>
  <c r="C34" i="3"/>
  <c r="C28" i="3"/>
  <c r="C22" i="3"/>
  <c r="C16" i="3"/>
  <c r="C10" i="3"/>
  <c r="C4" i="3"/>
  <c r="Z21" i="2"/>
  <c r="AZ20" i="2"/>
  <c r="O20" i="2"/>
  <c r="AO19" i="2"/>
  <c r="Z18" i="2"/>
  <c r="I17" i="2"/>
  <c r="B136" i="3"/>
  <c r="B130" i="3"/>
  <c r="B124" i="3"/>
  <c r="B118" i="3"/>
  <c r="B112" i="3"/>
  <c r="B106" i="3"/>
  <c r="B100" i="3"/>
  <c r="B94" i="3"/>
  <c r="B88" i="3"/>
  <c r="B82" i="3"/>
  <c r="B76" i="3"/>
  <c r="B70" i="3"/>
  <c r="B64" i="3"/>
  <c r="B58" i="3"/>
  <c r="B52" i="3"/>
  <c r="B46" i="3"/>
  <c r="B40" i="3"/>
  <c r="B34" i="3"/>
  <c r="B28" i="3"/>
  <c r="B22" i="3"/>
  <c r="B16" i="3"/>
  <c r="B10" i="3"/>
  <c r="B4" i="3"/>
  <c r="Y21" i="2"/>
  <c r="AN19" i="2"/>
  <c r="Y18" i="2"/>
  <c r="C135" i="3"/>
  <c r="C129" i="3"/>
  <c r="C123" i="3"/>
  <c r="C117" i="3"/>
  <c r="C111" i="3"/>
  <c r="C105" i="3"/>
  <c r="C99" i="3"/>
  <c r="C93" i="3"/>
  <c r="C87" i="3"/>
  <c r="C81" i="3"/>
  <c r="C75" i="3"/>
  <c r="C69" i="3"/>
  <c r="C63" i="3"/>
  <c r="C57" i="3"/>
  <c r="C51" i="3"/>
  <c r="C45" i="3"/>
  <c r="C39" i="3"/>
  <c r="C33" i="3"/>
  <c r="C27" i="3"/>
  <c r="C21" i="3"/>
  <c r="C15" i="3"/>
  <c r="C9" i="3"/>
  <c r="C3" i="3"/>
  <c r="X21" i="2"/>
  <c r="I20" i="2"/>
  <c r="X18" i="2"/>
  <c r="AO17" i="2"/>
  <c r="Z16" i="2"/>
  <c r="AZ15" i="2"/>
  <c r="O15" i="2"/>
  <c r="AO14" i="2"/>
  <c r="Z13" i="2"/>
  <c r="AZ12" i="2"/>
  <c r="O12" i="2"/>
  <c r="AO11" i="2"/>
  <c r="Z10" i="2"/>
  <c r="AZ9" i="2"/>
  <c r="O9" i="2"/>
  <c r="AO7" i="2"/>
  <c r="B135" i="3"/>
  <c r="B129" i="3"/>
  <c r="B123" i="3"/>
  <c r="B117" i="3"/>
  <c r="B111" i="3"/>
  <c r="B105" i="3"/>
  <c r="B99" i="3"/>
  <c r="B93" i="3"/>
  <c r="B87" i="3"/>
  <c r="B81" i="3"/>
  <c r="B75" i="3"/>
  <c r="B69" i="3"/>
  <c r="B63" i="3"/>
  <c r="B57" i="3"/>
  <c r="B51" i="3"/>
  <c r="B45" i="3"/>
  <c r="B39" i="3"/>
  <c r="B33" i="3"/>
  <c r="B27" i="3"/>
  <c r="B21" i="3"/>
  <c r="B15" i="3"/>
  <c r="B9" i="3"/>
  <c r="B3" i="3"/>
  <c r="AN17" i="2"/>
  <c r="Y16" i="2"/>
  <c r="AN14" i="2"/>
  <c r="Y13" i="2"/>
  <c r="AN11" i="2"/>
  <c r="Y10" i="2"/>
  <c r="AP8" i="2"/>
  <c r="I8" i="2"/>
  <c r="AN7" i="2"/>
  <c r="Q137" i="1"/>
  <c r="K136" i="1"/>
  <c r="AM135" i="1"/>
  <c r="AK134" i="1"/>
  <c r="AU133" i="1"/>
  <c r="AI133" i="1"/>
  <c r="J132" i="1"/>
  <c r="AI131" i="1"/>
  <c r="J130" i="1"/>
  <c r="AH129" i="1"/>
  <c r="AP128" i="1"/>
  <c r="AT126" i="1"/>
  <c r="AH126" i="1"/>
  <c r="K125" i="1"/>
  <c r="AI124" i="1"/>
  <c r="AS123" i="1"/>
  <c r="AQ122" i="1"/>
  <c r="J122" i="1"/>
  <c r="AL121" i="1"/>
  <c r="AK120" i="1"/>
  <c r="AU118" i="1"/>
  <c r="AI118" i="1"/>
  <c r="AT117" i="1"/>
  <c r="AH117" i="1"/>
  <c r="K116" i="1"/>
  <c r="AK115" i="1"/>
  <c r="AS114" i="1"/>
  <c r="Q114" i="1"/>
  <c r="AS111" i="1"/>
  <c r="AP110" i="1"/>
  <c r="Q109" i="1"/>
  <c r="K108" i="1"/>
  <c r="AM107" i="1"/>
  <c r="AK106" i="1"/>
  <c r="AU105" i="1"/>
  <c r="AN104" i="1"/>
  <c r="J104" i="1"/>
  <c r="AL103" i="1"/>
  <c r="Q102" i="1"/>
  <c r="AM101" i="1"/>
  <c r="AT100" i="1"/>
  <c r="AH100" i="1"/>
  <c r="AP98" i="1"/>
  <c r="K98" i="1"/>
  <c r="AU96" i="1"/>
  <c r="C134" i="3"/>
  <c r="C128" i="3"/>
  <c r="C122" i="3"/>
  <c r="C116" i="3"/>
  <c r="C110" i="3"/>
  <c r="C104" i="3"/>
  <c r="C98" i="3"/>
  <c r="C92" i="3"/>
  <c r="C86" i="3"/>
  <c r="C80" i="3"/>
  <c r="C74" i="3"/>
  <c r="C68" i="3"/>
  <c r="C62" i="3"/>
  <c r="C56" i="3"/>
  <c r="C50" i="3"/>
  <c r="C44" i="3"/>
  <c r="C38" i="3"/>
  <c r="C32" i="3"/>
  <c r="C26" i="3"/>
  <c r="C20" i="3"/>
  <c r="C14" i="3"/>
  <c r="C8" i="3"/>
  <c r="C2" i="3"/>
  <c r="AZ21" i="2"/>
  <c r="O21" i="2"/>
  <c r="AO20" i="2"/>
  <c r="Z19" i="2"/>
  <c r="AZ18" i="2"/>
  <c r="O18" i="2"/>
  <c r="X16" i="2"/>
  <c r="I15" i="2"/>
  <c r="X13" i="2"/>
  <c r="I12" i="2"/>
  <c r="X10" i="2"/>
  <c r="I9" i="2"/>
  <c r="AO8" i="2"/>
  <c r="Z5" i="2"/>
  <c r="AZ4" i="2"/>
  <c r="Z3" i="2"/>
  <c r="AU137" i="1"/>
  <c r="AN136" i="1"/>
  <c r="J136" i="1"/>
  <c r="AL135" i="1"/>
  <c r="AT133" i="1"/>
  <c r="AH133" i="1"/>
  <c r="AQ132" i="1"/>
  <c r="AH131" i="1"/>
  <c r="AQ130" i="1"/>
  <c r="AU127" i="1"/>
  <c r="AI127" i="1"/>
  <c r="AS126" i="1"/>
  <c r="AQ125" i="1"/>
  <c r="J125" i="1"/>
  <c r="AH124" i="1"/>
  <c r="AP122" i="1"/>
  <c r="AK121" i="1"/>
  <c r="AU119" i="1"/>
  <c r="AI119" i="1"/>
  <c r="AT118" i="1"/>
  <c r="AH118" i="1"/>
  <c r="AS117" i="1"/>
  <c r="AQ116" i="1"/>
  <c r="J116" i="1"/>
  <c r="C132" i="3"/>
  <c r="C126" i="3"/>
  <c r="C120" i="3"/>
  <c r="C114" i="3"/>
  <c r="C108" i="3"/>
  <c r="C102" i="3"/>
  <c r="C96" i="3"/>
  <c r="C90" i="3"/>
  <c r="C84" i="3"/>
  <c r="C78" i="3"/>
  <c r="C72" i="3"/>
  <c r="C66" i="3"/>
  <c r="C60" i="3"/>
  <c r="C54" i="3"/>
  <c r="C48" i="3"/>
  <c r="C42" i="3"/>
  <c r="C36" i="3"/>
  <c r="C30" i="3"/>
  <c r="C24" i="3"/>
  <c r="C18" i="3"/>
  <c r="C12" i="3"/>
  <c r="C6" i="3"/>
  <c r="D1" i="3"/>
  <c r="AO21" i="2"/>
  <c r="Z20" i="2"/>
  <c r="AZ19" i="2"/>
  <c r="O19" i="2"/>
  <c r="AO18" i="2"/>
  <c r="X17" i="2"/>
  <c r="I16" i="2"/>
  <c r="B131" i="3"/>
  <c r="B125" i="3"/>
  <c r="B119" i="3"/>
  <c r="B113" i="3"/>
  <c r="B107" i="3"/>
  <c r="B101" i="3"/>
  <c r="B95" i="3"/>
  <c r="B89" i="3"/>
  <c r="B83" i="3"/>
  <c r="B77" i="3"/>
  <c r="B71" i="3"/>
  <c r="B65" i="3"/>
  <c r="B59" i="3"/>
  <c r="B53" i="3"/>
  <c r="B47" i="3"/>
  <c r="B41" i="3"/>
  <c r="B35" i="3"/>
  <c r="B29" i="3"/>
  <c r="B23" i="3"/>
  <c r="B17" i="3"/>
  <c r="B11" i="3"/>
  <c r="B5" i="3"/>
  <c r="A1" i="3"/>
  <c r="AN16" i="2"/>
  <c r="Y15" i="2"/>
  <c r="AN13" i="2"/>
  <c r="Y12" i="2"/>
  <c r="AN10" i="2"/>
  <c r="Y9" i="2"/>
  <c r="X8" i="2"/>
  <c r="AP6" i="2"/>
  <c r="I6" i="2"/>
  <c r="AO5" i="2"/>
  <c r="AP3" i="2"/>
  <c r="AS136" i="1"/>
  <c r="AQ135" i="1"/>
  <c r="Q135" i="1"/>
  <c r="K134" i="1"/>
  <c r="AM133" i="1"/>
  <c r="AP131" i="1"/>
  <c r="AU128" i="1"/>
  <c r="B134" i="3"/>
  <c r="B121" i="3"/>
  <c r="C107" i="3"/>
  <c r="C91" i="3"/>
  <c r="B78" i="3"/>
  <c r="B62" i="3"/>
  <c r="B49" i="3"/>
  <c r="C35" i="3"/>
  <c r="C19" i="3"/>
  <c r="B6" i="3"/>
  <c r="Y20" i="2"/>
  <c r="AZ14" i="2"/>
  <c r="AZ13" i="2"/>
  <c r="O10" i="2"/>
  <c r="AN8" i="2"/>
  <c r="AZ7" i="2"/>
  <c r="Z6" i="2"/>
  <c r="AK135" i="1"/>
  <c r="J134" i="1"/>
  <c r="AP130" i="1"/>
  <c r="AS128" i="1"/>
  <c r="K126" i="1"/>
  <c r="AM124" i="1"/>
  <c r="AQ123" i="1"/>
  <c r="Q123" i="1"/>
  <c r="AI122" i="1"/>
  <c r="AQ121" i="1"/>
  <c r="AL120" i="1"/>
  <c r="AS119" i="1"/>
  <c r="AN118" i="1"/>
  <c r="AI117" i="1"/>
  <c r="AP116" i="1"/>
  <c r="AU115" i="1"/>
  <c r="Q115" i="1"/>
  <c r="AI114" i="1"/>
  <c r="AS113" i="1"/>
  <c r="AP112" i="1"/>
  <c r="AU111" i="1"/>
  <c r="AH111" i="1"/>
  <c r="AS109" i="1"/>
  <c r="J109" i="1"/>
  <c r="AK108" i="1"/>
  <c r="AT107" i="1"/>
  <c r="AP106" i="1"/>
  <c r="K106" i="1"/>
  <c r="AH105" i="1"/>
  <c r="AQ104" i="1"/>
  <c r="AM103" i="1"/>
  <c r="AU102" i="1"/>
  <c r="K102" i="1"/>
  <c r="AH101" i="1"/>
  <c r="AP100" i="1"/>
  <c r="K100" i="1"/>
  <c r="AL99" i="1"/>
  <c r="AU98" i="1"/>
  <c r="AP97" i="1"/>
  <c r="AU95" i="1"/>
  <c r="AI95" i="1"/>
  <c r="AT94" i="1"/>
  <c r="AH94" i="1"/>
  <c r="AQ91" i="1"/>
  <c r="AP90" i="1"/>
  <c r="Q90" i="1"/>
  <c r="C133" i="3"/>
  <c r="B120" i="3"/>
  <c r="B104" i="3"/>
  <c r="B91" i="3"/>
  <c r="C77" i="3"/>
  <c r="C61" i="3"/>
  <c r="B48" i="3"/>
  <c r="B32" i="3"/>
  <c r="B19" i="3"/>
  <c r="C5" i="3"/>
  <c r="X20" i="2"/>
  <c r="I19" i="2"/>
  <c r="AZ17" i="2"/>
  <c r="AO16" i="2"/>
  <c r="AO15" i="2"/>
  <c r="O11" i="2"/>
  <c r="Z9" i="2"/>
  <c r="Y6" i="2"/>
  <c r="I5" i="2"/>
  <c r="AQ137" i="1"/>
  <c r="AU136" i="1"/>
  <c r="Q136" i="1"/>
  <c r="AQ134" i="1"/>
  <c r="AI132" i="1"/>
  <c r="AM131" i="1"/>
  <c r="AQ129" i="1"/>
  <c r="AT127" i="1"/>
  <c r="AN126" i="1"/>
  <c r="J126" i="1"/>
  <c r="AP123" i="1"/>
  <c r="AH122" i="1"/>
  <c r="AP121" i="1"/>
  <c r="K121" i="1"/>
  <c r="AI120" i="1"/>
  <c r="Q119" i="1"/>
  <c r="AM118" i="1"/>
  <c r="AT115" i="1"/>
  <c r="AH114" i="1"/>
  <c r="AT111" i="1"/>
  <c r="AM110" i="1"/>
  <c r="AS107" i="1"/>
  <c r="J106" i="1"/>
  <c r="AP104" i="1"/>
  <c r="K104" i="1"/>
  <c r="AK103" i="1"/>
  <c r="AS102" i="1"/>
  <c r="J102" i="1"/>
  <c r="J100" i="1"/>
  <c r="AK99" i="1"/>
  <c r="AT98" i="1"/>
  <c r="AI96" i="1"/>
  <c r="AT95" i="1"/>
  <c r="AH95" i="1"/>
  <c r="AQ92" i="1"/>
  <c r="AP91" i="1"/>
  <c r="Q91" i="1"/>
  <c r="AN89" i="1"/>
  <c r="K89" i="1"/>
  <c r="AM88" i="1"/>
  <c r="J88" i="1"/>
  <c r="AL87" i="1"/>
  <c r="AU84" i="1"/>
  <c r="AI84" i="1"/>
  <c r="AT83" i="1"/>
  <c r="AH83" i="1"/>
  <c r="B133" i="3"/>
  <c r="C119" i="3"/>
  <c r="C103" i="3"/>
  <c r="B90" i="3"/>
  <c r="B74" i="3"/>
  <c r="B61" i="3"/>
  <c r="C47" i="3"/>
  <c r="C31" i="3"/>
  <c r="B18" i="3"/>
  <c r="B2" i="3"/>
  <c r="AN15" i="2"/>
  <c r="I11" i="2"/>
  <c r="I10" i="2"/>
  <c r="X9" i="2"/>
  <c r="AZ6" i="2"/>
  <c r="X6" i="2"/>
  <c r="O4" i="2"/>
  <c r="Y3" i="2"/>
  <c r="AP137" i="1"/>
  <c r="AT136" i="1"/>
  <c r="AI135" i="1"/>
  <c r="AP134" i="1"/>
  <c r="Q133" i="1"/>
  <c r="AH132" i="1"/>
  <c r="AM130" i="1"/>
  <c r="AP129" i="1"/>
  <c r="AQ128" i="1"/>
  <c r="AS127" i="1"/>
  <c r="Q127" i="1"/>
  <c r="AM126" i="1"/>
  <c r="Q125" i="1"/>
  <c r="K123" i="1"/>
  <c r="J121" i="1"/>
  <c r="AH120" i="1"/>
  <c r="AQ119" i="1"/>
  <c r="AL118" i="1"/>
  <c r="AU117" i="1"/>
  <c r="AM116" i="1"/>
  <c r="AS115" i="1"/>
  <c r="K115" i="1"/>
  <c r="AQ113" i="1"/>
  <c r="Q113" i="1"/>
  <c r="AM112" i="1"/>
  <c r="Q111" i="1"/>
  <c r="AQ109" i="1"/>
  <c r="AI108" i="1"/>
  <c r="Q107" i="1"/>
  <c r="AN106" i="1"/>
  <c r="Q105" i="1"/>
  <c r="Q101" i="1"/>
  <c r="AN100" i="1"/>
  <c r="AS98" i="1"/>
  <c r="Q98" i="1"/>
  <c r="AM97" i="1"/>
  <c r="AT96" i="1"/>
  <c r="AH96" i="1"/>
  <c r="AQ93" i="1"/>
  <c r="AP92" i="1"/>
  <c r="Q92" i="1"/>
  <c r="B132" i="3"/>
  <c r="B116" i="3"/>
  <c r="B103" i="3"/>
  <c r="C89" i="3"/>
  <c r="C73" i="3"/>
  <c r="B60" i="3"/>
  <c r="B44" i="3"/>
  <c r="B31" i="3"/>
  <c r="C17" i="3"/>
  <c r="F1" i="3"/>
  <c r="I21" i="2"/>
  <c r="AP7" i="2"/>
  <c r="AP5" i="2"/>
  <c r="X3" i="2"/>
  <c r="AH135" i="1"/>
  <c r="AN134" i="1"/>
  <c r="AS133" i="1"/>
  <c r="Q132" i="1"/>
  <c r="AM129" i="1"/>
  <c r="AM128" i="1"/>
  <c r="AL126" i="1"/>
  <c r="AN123" i="1"/>
  <c r="J123" i="1"/>
  <c r="AN121" i="1"/>
  <c r="AU120" i="1"/>
  <c r="AP119" i="1"/>
  <c r="K119" i="1"/>
  <c r="AK118" i="1"/>
  <c r="J115" i="1"/>
  <c r="AP113" i="1"/>
  <c r="AI112" i="1"/>
  <c r="AQ111" i="1"/>
  <c r="C131" i="3"/>
  <c r="C115" i="3"/>
  <c r="B102" i="3"/>
  <c r="B86" i="3"/>
  <c r="B73" i="3"/>
  <c r="C59" i="3"/>
  <c r="C43" i="3"/>
  <c r="B30" i="3"/>
  <c r="B14" i="3"/>
  <c r="E1" i="3"/>
  <c r="AO13" i="2"/>
  <c r="AZ11" i="2"/>
  <c r="AZ10" i="2"/>
  <c r="Z8" i="2"/>
  <c r="O6" i="2"/>
  <c r="AN5" i="2"/>
  <c r="AM137" i="1"/>
  <c r="B128" i="3"/>
  <c r="B115" i="3"/>
  <c r="C101" i="3"/>
  <c r="C85" i="3"/>
  <c r="B72" i="3"/>
  <c r="B56" i="3"/>
  <c r="B43" i="3"/>
  <c r="C29" i="3"/>
  <c r="C13" i="3"/>
  <c r="C1" i="3"/>
  <c r="Z17" i="2"/>
  <c r="O16" i="2"/>
  <c r="Z15" i="2"/>
  <c r="Z14" i="2"/>
  <c r="AO12" i="2"/>
  <c r="Y8" i="2"/>
  <c r="O3" i="2"/>
  <c r="AI137" i="1"/>
  <c r="AP136" i="1"/>
  <c r="AU135" i="1"/>
  <c r="AL134" i="1"/>
  <c r="AQ133" i="1"/>
  <c r="J133" i="1"/>
  <c r="K132" i="1"/>
  <c r="Q131" i="1"/>
  <c r="AH130" i="1"/>
  <c r="AI129" i="1"/>
  <c r="AI128" i="1"/>
  <c r="AP127" i="1"/>
  <c r="J127" i="1"/>
  <c r="AS125" i="1"/>
  <c r="AL123" i="1"/>
  <c r="AS120" i="1"/>
  <c r="AN119" i="1"/>
  <c r="AP117" i="1"/>
  <c r="AH116" i="1"/>
  <c r="AN115" i="1"/>
  <c r="AM113" i="1"/>
  <c r="J113" i="1"/>
  <c r="J111" i="1"/>
  <c r="AM109" i="1"/>
  <c r="AS108" i="1"/>
  <c r="J107" i="1"/>
  <c r="J105" i="1"/>
  <c r="AK104" i="1"/>
  <c r="AT103" i="1"/>
  <c r="AS101" i="1"/>
  <c r="J101" i="1"/>
  <c r="AK100" i="1"/>
  <c r="AT99" i="1"/>
  <c r="AH97" i="1"/>
  <c r="AQ96" i="1"/>
  <c r="AP95" i="1"/>
  <c r="Q95" i="1"/>
  <c r="AN93" i="1"/>
  <c r="B126" i="3"/>
  <c r="B110" i="3"/>
  <c r="B97" i="3"/>
  <c r="C83" i="3"/>
  <c r="C67" i="3"/>
  <c r="B54" i="3"/>
  <c r="B38" i="3"/>
  <c r="B25" i="3"/>
  <c r="C11" i="3"/>
  <c r="O17" i="2"/>
  <c r="O13" i="2"/>
  <c r="AO10" i="2"/>
  <c r="X7" i="2"/>
  <c r="AN6" i="2"/>
  <c r="Y5" i="2"/>
  <c r="AK136" i="1"/>
  <c r="J135" i="1"/>
  <c r="AN133" i="1"/>
  <c r="AS132" i="1"/>
  <c r="AT131" i="1"/>
  <c r="J131" i="1"/>
  <c r="K130" i="1"/>
  <c r="K129" i="1"/>
  <c r="Q128" i="1"/>
  <c r="AM127" i="1"/>
  <c r="AU126" i="1"/>
  <c r="AM125" i="1"/>
  <c r="AI123" i="1"/>
  <c r="AU121" i="1"/>
  <c r="AP120" i="1"/>
  <c r="K120" i="1"/>
  <c r="AK119" i="1"/>
  <c r="Q118" i="1"/>
  <c r="AM117" i="1"/>
  <c r="Q116" i="1"/>
  <c r="AP114" i="1"/>
  <c r="AU112" i="1"/>
  <c r="K112" i="1"/>
  <c r="AL111" i="1"/>
  <c r="AU110" i="1"/>
  <c r="K110" i="1"/>
  <c r="AH109" i="1"/>
  <c r="AP108" i="1"/>
  <c r="J108" i="1"/>
  <c r="AK107" i="1"/>
  <c r="AT106" i="1"/>
  <c r="AU104" i="1"/>
  <c r="AH104" i="1"/>
  <c r="AQ103" i="1"/>
  <c r="AI102" i="1"/>
  <c r="AP101" i="1"/>
  <c r="AU100" i="1"/>
  <c r="AP99" i="1"/>
  <c r="K99" i="1"/>
  <c r="AT97" i="1"/>
  <c r="Q97" i="1"/>
  <c r="AN96" i="1"/>
  <c r="K96" i="1"/>
  <c r="AM95" i="1"/>
  <c r="J95" i="1"/>
  <c r="C121" i="3"/>
  <c r="B108" i="3"/>
  <c r="B92" i="3"/>
  <c r="B79" i="3"/>
  <c r="C65" i="3"/>
  <c r="C49" i="3"/>
  <c r="B36" i="3"/>
  <c r="B20" i="3"/>
  <c r="B7" i="3"/>
  <c r="AN21" i="2"/>
  <c r="X11" i="2"/>
  <c r="I7" i="2"/>
  <c r="O5" i="2"/>
  <c r="AN3" i="2"/>
  <c r="AS137" i="1"/>
  <c r="AH136" i="1"/>
  <c r="AN135" i="1"/>
  <c r="AS134" i="1"/>
  <c r="AM132" i="1"/>
  <c r="AQ131" i="1"/>
  <c r="AS130" i="1"/>
  <c r="AS129" i="1"/>
  <c r="J128" i="1"/>
  <c r="AH127" i="1"/>
  <c r="AP126" i="1"/>
  <c r="AH125" i="1"/>
  <c r="AT123" i="1"/>
  <c r="Q121" i="1"/>
  <c r="AM120" i="1"/>
  <c r="AT119" i="1"/>
  <c r="J118" i="1"/>
  <c r="AS116" i="1"/>
  <c r="AT113" i="1"/>
  <c r="AQ112" i="1"/>
  <c r="AI111" i="1"/>
  <c r="AQ110" i="1"/>
  <c r="AU109" i="1"/>
  <c r="K109" i="1"/>
  <c r="AL108" i="1"/>
  <c r="AU107" i="1"/>
  <c r="AH107" i="1"/>
  <c r="AQ106" i="1"/>
  <c r="C127" i="3"/>
  <c r="B85" i="3"/>
  <c r="B42" i="3"/>
  <c r="B1" i="3"/>
  <c r="AH134" i="1"/>
  <c r="AU132" i="1"/>
  <c r="AU130" i="1"/>
  <c r="AH128" i="1"/>
  <c r="K124" i="1"/>
  <c r="AS122" i="1"/>
  <c r="AH121" i="1"/>
  <c r="Q120" i="1"/>
  <c r="AS118" i="1"/>
  <c r="AL117" i="1"/>
  <c r="AQ114" i="1"/>
  <c r="AK113" i="1"/>
  <c r="AS110" i="1"/>
  <c r="AS106" i="1"/>
  <c r="AP105" i="1"/>
  <c r="AL104" i="1"/>
  <c r="AM102" i="1"/>
  <c r="Q100" i="1"/>
  <c r="J98" i="1"/>
  <c r="J97" i="1"/>
  <c r="J96" i="1"/>
  <c r="AP93" i="1"/>
  <c r="J93" i="1"/>
  <c r="AI92" i="1"/>
  <c r="AN91" i="1"/>
  <c r="AI90" i="1"/>
  <c r="K88" i="1"/>
  <c r="AU86" i="1"/>
  <c r="AH86" i="1"/>
  <c r="K84" i="1"/>
  <c r="AL83" i="1"/>
  <c r="AI82" i="1"/>
  <c r="AT81" i="1"/>
  <c r="AQ79" i="1"/>
  <c r="AP78" i="1"/>
  <c r="Q78" i="1"/>
  <c r="AM76" i="1"/>
  <c r="AU73" i="1"/>
  <c r="AI73" i="1"/>
  <c r="AT72" i="1"/>
  <c r="AH72" i="1"/>
  <c r="AQ69" i="1"/>
  <c r="AP68" i="1"/>
  <c r="Q68" i="1"/>
  <c r="AN66" i="1"/>
  <c r="K66" i="1"/>
  <c r="AM65" i="1"/>
  <c r="J65" i="1"/>
  <c r="AL64" i="1"/>
  <c r="AU61" i="1"/>
  <c r="AI61" i="1"/>
  <c r="AT60" i="1"/>
  <c r="AH60" i="1"/>
  <c r="AQ57" i="1"/>
  <c r="AP56" i="1"/>
  <c r="Q56" i="1"/>
  <c r="B127" i="3"/>
  <c r="B84" i="3"/>
  <c r="C41" i="3"/>
  <c r="O7" i="2"/>
  <c r="AH137" i="1"/>
  <c r="AT135" i="1"/>
  <c r="AP132" i="1"/>
  <c r="AI130" i="1"/>
  <c r="AI125" i="1"/>
  <c r="J124" i="1"/>
  <c r="AQ118" i="1"/>
  <c r="AK117" i="1"/>
  <c r="AI113" i="1"/>
  <c r="J112" i="1"/>
  <c r="AM105" i="1"/>
  <c r="AN103" i="1"/>
  <c r="K101" i="1"/>
  <c r="J99" i="1"/>
  <c r="AI94" i="1"/>
  <c r="AH92" i="1"/>
  <c r="AM91" i="1"/>
  <c r="AH90" i="1"/>
  <c r="Q89" i="1"/>
  <c r="AN88" i="1"/>
  <c r="AT86" i="1"/>
  <c r="AQ85" i="1"/>
  <c r="Q85" i="1"/>
  <c r="AN84" i="1"/>
  <c r="J84" i="1"/>
  <c r="AU82" i="1"/>
  <c r="AH82" i="1"/>
  <c r="AQ80" i="1"/>
  <c r="AP79" i="1"/>
  <c r="Q79" i="1"/>
  <c r="AN77" i="1"/>
  <c r="K77" i="1"/>
  <c r="AU74" i="1"/>
  <c r="AI74" i="1"/>
  <c r="AT73" i="1"/>
  <c r="AH73" i="1"/>
  <c r="AQ70" i="1"/>
  <c r="AP69" i="1"/>
  <c r="Q69" i="1"/>
  <c r="C125" i="3"/>
  <c r="B80" i="3"/>
  <c r="C37" i="3"/>
  <c r="AO9" i="2"/>
  <c r="AS135" i="1"/>
  <c r="Q134" i="1"/>
  <c r="Q130" i="1"/>
  <c r="AQ126" i="1"/>
  <c r="AM122" i="1"/>
  <c r="J120" i="1"/>
  <c r="AP118" i="1"/>
  <c r="AM114" i="1"/>
  <c r="AH113" i="1"/>
  <c r="AI110" i="1"/>
  <c r="AU108" i="1"/>
  <c r="AQ107" i="1"/>
  <c r="AM106" i="1"/>
  <c r="AI104" i="1"/>
  <c r="AI103" i="1"/>
  <c r="AH102" i="1"/>
  <c r="AU97" i="1"/>
  <c r="K95" i="1"/>
  <c r="AM93" i="1"/>
  <c r="AL91" i="1"/>
  <c r="AU90" i="1"/>
  <c r="AQ89" i="1"/>
  <c r="AL88" i="1"/>
  <c r="AI87" i="1"/>
  <c r="AP85" i="1"/>
  <c r="AM84" i="1"/>
  <c r="AT82" i="1"/>
  <c r="AQ81" i="1"/>
  <c r="AP80" i="1"/>
  <c r="Q80" i="1"/>
  <c r="AN78" i="1"/>
  <c r="K78" i="1"/>
  <c r="AM77" i="1"/>
  <c r="J77" i="1"/>
  <c r="AU75" i="1"/>
  <c r="AI75" i="1"/>
  <c r="AT74" i="1"/>
  <c r="AH74" i="1"/>
  <c r="AQ71" i="1"/>
  <c r="AP70" i="1"/>
  <c r="Q70" i="1"/>
  <c r="AN68" i="1"/>
  <c r="K68" i="1"/>
  <c r="AM67" i="1"/>
  <c r="J67" i="1"/>
  <c r="AL66" i="1"/>
  <c r="AU63" i="1"/>
  <c r="AI63" i="1"/>
  <c r="AT62" i="1"/>
  <c r="AH62" i="1"/>
  <c r="AQ59" i="1"/>
  <c r="AP58" i="1"/>
  <c r="Q58" i="1"/>
  <c r="AN56" i="1"/>
  <c r="K56" i="1"/>
  <c r="AM55" i="1"/>
  <c r="J55" i="1"/>
  <c r="AL54" i="1"/>
  <c r="AI52" i="1"/>
  <c r="AT51" i="1"/>
  <c r="AH51" i="1"/>
  <c r="B122" i="3"/>
  <c r="C79" i="3"/>
  <c r="B37" i="3"/>
  <c r="I13" i="2"/>
  <c r="AN9" i="2"/>
  <c r="O8" i="2"/>
  <c r="AZ3" i="2"/>
  <c r="AP135" i="1"/>
  <c r="K128" i="1"/>
  <c r="AK126" i="1"/>
  <c r="AU123" i="1"/>
  <c r="Q117" i="1"/>
  <c r="AP111" i="1"/>
  <c r="AH110" i="1"/>
  <c r="AT108" i="1"/>
  <c r="AP107" i="1"/>
  <c r="AL106" i="1"/>
  <c r="AI105" i="1"/>
  <c r="AH103" i="1"/>
  <c r="AU99" i="1"/>
  <c r="AP96" i="1"/>
  <c r="AL93" i="1"/>
  <c r="AU92" i="1"/>
  <c r="AT90" i="1"/>
  <c r="AP89" i="1"/>
  <c r="J89" i="1"/>
  <c r="AU87" i="1"/>
  <c r="AH87" i="1"/>
  <c r="K85" i="1"/>
  <c r="AL84" i="1"/>
  <c r="AI83" i="1"/>
  <c r="AP81" i="1"/>
  <c r="Q81" i="1"/>
  <c r="AN79" i="1"/>
  <c r="K79" i="1"/>
  <c r="AM78" i="1"/>
  <c r="J78" i="1"/>
  <c r="AL77" i="1"/>
  <c r="AI76" i="1"/>
  <c r="AT75" i="1"/>
  <c r="AH75" i="1"/>
  <c r="AQ72" i="1"/>
  <c r="AP71" i="1"/>
  <c r="Q71" i="1"/>
  <c r="AN69" i="1"/>
  <c r="K69" i="1"/>
  <c r="AM68" i="1"/>
  <c r="J68" i="1"/>
  <c r="AL67" i="1"/>
  <c r="AU64" i="1"/>
  <c r="AI64" i="1"/>
  <c r="AT63" i="1"/>
  <c r="AH63" i="1"/>
  <c r="AQ60" i="1"/>
  <c r="AP59" i="1"/>
  <c r="Q59" i="1"/>
  <c r="B114" i="3"/>
  <c r="C71" i="3"/>
  <c r="B26" i="3"/>
  <c r="Z11" i="2"/>
  <c r="AO6" i="2"/>
  <c r="K137" i="1"/>
  <c r="AQ127" i="1"/>
  <c r="AI126" i="1"/>
  <c r="AM123" i="1"/>
  <c r="Q122" i="1"/>
  <c r="AM115" i="1"/>
  <c r="AN111" i="1"/>
  <c r="Q110" i="1"/>
  <c r="AN107" i="1"/>
  <c r="AI106" i="1"/>
  <c r="AS100" i="1"/>
  <c r="AS99" i="1"/>
  <c r="AQ95" i="1"/>
  <c r="Q94" i="1"/>
  <c r="AT92" i="1"/>
  <c r="K92" i="1"/>
  <c r="AM89" i="1"/>
  <c r="AT87" i="1"/>
  <c r="AQ86" i="1"/>
  <c r="Q86" i="1"/>
  <c r="AN85" i="1"/>
  <c r="J85" i="1"/>
  <c r="AU83" i="1"/>
  <c r="AQ82" i="1"/>
  <c r="AN80" i="1"/>
  <c r="K80" i="1"/>
  <c r="AM79" i="1"/>
  <c r="J79" i="1"/>
  <c r="AL78" i="1"/>
  <c r="AH76" i="1"/>
  <c r="AQ73" i="1"/>
  <c r="AP72" i="1"/>
  <c r="Q72" i="1"/>
  <c r="AN70" i="1"/>
  <c r="K70" i="1"/>
  <c r="AM69" i="1"/>
  <c r="J69" i="1"/>
  <c r="AL68" i="1"/>
  <c r="AU65" i="1"/>
  <c r="AI65" i="1"/>
  <c r="AT64" i="1"/>
  <c r="AH64" i="1"/>
  <c r="AQ61" i="1"/>
  <c r="AP60" i="1"/>
  <c r="Q60" i="1"/>
  <c r="C113" i="3"/>
  <c r="B68" i="3"/>
  <c r="C25" i="3"/>
  <c r="Y14" i="2"/>
  <c r="Y11" i="2"/>
  <c r="X5" i="2"/>
  <c r="J137" i="1"/>
  <c r="AP133" i="1"/>
  <c r="AU131" i="1"/>
  <c r="AU129" i="1"/>
  <c r="AU124" i="1"/>
  <c r="AK123" i="1"/>
  <c r="AT120" i="1"/>
  <c r="AM119" i="1"/>
  <c r="K117" i="1"/>
  <c r="AL115" i="1"/>
  <c r="K113" i="1"/>
  <c r="AM111" i="1"/>
  <c r="AQ108" i="1"/>
  <c r="AL107" i="1"/>
  <c r="AH106" i="1"/>
  <c r="K105" i="1"/>
  <c r="Q104" i="1"/>
  <c r="Q103" i="1"/>
  <c r="AQ99" i="1"/>
  <c r="AQ98" i="1"/>
  <c r="AQ97" i="1"/>
  <c r="AM96" i="1"/>
  <c r="AU94" i="1"/>
  <c r="J92" i="1"/>
  <c r="AI91" i="1"/>
  <c r="AL89" i="1"/>
  <c r="AI88" i="1"/>
  <c r="AP86" i="1"/>
  <c r="AM85" i="1"/>
  <c r="AP82" i="1"/>
  <c r="Q82" i="1"/>
  <c r="AN81" i="1"/>
  <c r="K81" i="1"/>
  <c r="AM80" i="1"/>
  <c r="J80" i="1"/>
  <c r="AL79" i="1"/>
  <c r="AU76" i="1"/>
  <c r="AQ74" i="1"/>
  <c r="AP73" i="1"/>
  <c r="Q73" i="1"/>
  <c r="AN71" i="1"/>
  <c r="K71" i="1"/>
  <c r="AM70" i="1"/>
  <c r="J70" i="1"/>
  <c r="AL69" i="1"/>
  <c r="AU66" i="1"/>
  <c r="AI66" i="1"/>
  <c r="AT65" i="1"/>
  <c r="AH65" i="1"/>
  <c r="AQ62" i="1"/>
  <c r="AP61" i="1"/>
  <c r="Q61" i="1"/>
  <c r="AN59" i="1"/>
  <c r="K59" i="1"/>
  <c r="AM58" i="1"/>
  <c r="J58" i="1"/>
  <c r="AL57" i="1"/>
  <c r="B98" i="3"/>
  <c r="C55" i="3"/>
  <c r="B13" i="3"/>
  <c r="I14" i="2"/>
  <c r="AL136" i="1"/>
  <c r="AU134" i="1"/>
  <c r="AK133" i="1"/>
  <c r="AK127" i="1"/>
  <c r="AP124" i="1"/>
  <c r="AT121" i="1"/>
  <c r="K118" i="1"/>
  <c r="AU116" i="1"/>
  <c r="AS112" i="1"/>
  <c r="AP109" i="1"/>
  <c r="AH108" i="1"/>
  <c r="AT104" i="1"/>
  <c r="AU103" i="1"/>
  <c r="J103" i="1"/>
  <c r="AQ101" i="1"/>
  <c r="AL100" i="1"/>
  <c r="AM99" i="1"/>
  <c r="AN94" i="1"/>
  <c r="AM92" i="1"/>
  <c r="AU91" i="1"/>
  <c r="AM90" i="1"/>
  <c r="AI89" i="1"/>
  <c r="AP87" i="1"/>
  <c r="AM86" i="1"/>
  <c r="AI85" i="1"/>
  <c r="AP83" i="1"/>
  <c r="AM82" i="1"/>
  <c r="J82" i="1"/>
  <c r="AU79" i="1"/>
  <c r="AI79" i="1"/>
  <c r="AT78" i="1"/>
  <c r="AH78" i="1"/>
  <c r="Q76" i="1"/>
  <c r="AN74" i="1"/>
  <c r="K74" i="1"/>
  <c r="AM73" i="1"/>
  <c r="J73" i="1"/>
  <c r="AL72" i="1"/>
  <c r="AU69" i="1"/>
  <c r="AI69" i="1"/>
  <c r="C95" i="3"/>
  <c r="B50" i="3"/>
  <c r="C7" i="3"/>
  <c r="Y7" i="2"/>
  <c r="AZ5" i="2"/>
  <c r="AI134" i="1"/>
  <c r="AU122" i="1"/>
  <c r="AI121" i="1"/>
  <c r="AN117" i="1"/>
  <c r="AU114" i="1"/>
  <c r="AL113" i="1"/>
  <c r="Q112" i="1"/>
  <c r="AI109" i="1"/>
  <c r="AU106" i="1"/>
  <c r="AQ105" i="1"/>
  <c r="AM104" i="1"/>
  <c r="AP103" i="1"/>
  <c r="AP102" i="1"/>
  <c r="AI101" i="1"/>
  <c r="Q99" i="1"/>
  <c r="K97" i="1"/>
  <c r="AT93" i="1"/>
  <c r="K93" i="1"/>
  <c r="J91" i="1"/>
  <c r="AT89" i="1"/>
  <c r="AP88" i="1"/>
  <c r="AM87" i="1"/>
  <c r="AI86" i="1"/>
  <c r="AP84" i="1"/>
  <c r="AM83" i="1"/>
  <c r="AU81" i="1"/>
  <c r="AH81" i="1"/>
  <c r="AQ78" i="1"/>
  <c r="AP77" i="1"/>
  <c r="Q77" i="1"/>
  <c r="J76" i="1"/>
  <c r="AL75" i="1"/>
  <c r="AU72" i="1"/>
  <c r="AI72" i="1"/>
  <c r="AT71" i="1"/>
  <c r="AH71" i="1"/>
  <c r="AQ68" i="1"/>
  <c r="AP67" i="1"/>
  <c r="Q67" i="1"/>
  <c r="C109" i="3"/>
  <c r="B109" i="3"/>
  <c r="Y17" i="2"/>
  <c r="AN12" i="2"/>
  <c r="AN127" i="1"/>
  <c r="AS124" i="1"/>
  <c r="K122" i="1"/>
  <c r="AH119" i="1"/>
  <c r="J114" i="1"/>
  <c r="Q108" i="1"/>
  <c r="AQ102" i="1"/>
  <c r="AH93" i="1"/>
  <c r="AT91" i="1"/>
  <c r="K90" i="1"/>
  <c r="AQ88" i="1"/>
  <c r="Q87" i="1"/>
  <c r="AU85" i="1"/>
  <c r="K83" i="1"/>
  <c r="AL81" i="1"/>
  <c r="AH80" i="1"/>
  <c r="AQ77" i="1"/>
  <c r="K75" i="1"/>
  <c r="AN73" i="1"/>
  <c r="J71" i="1"/>
  <c r="AT69" i="1"/>
  <c r="AN67" i="1"/>
  <c r="AP66" i="1"/>
  <c r="AP65" i="1"/>
  <c r="AQ64" i="1"/>
  <c r="J64" i="1"/>
  <c r="AM60" i="1"/>
  <c r="AT59" i="1"/>
  <c r="AM57" i="1"/>
  <c r="AH56" i="1"/>
  <c r="AQ55" i="1"/>
  <c r="AM54" i="1"/>
  <c r="AI53" i="1"/>
  <c r="K51" i="1"/>
  <c r="AL50" i="1"/>
  <c r="J50" i="1"/>
  <c r="AL49" i="1"/>
  <c r="J49" i="1"/>
  <c r="AL48" i="1"/>
  <c r="AU45" i="1"/>
  <c r="AI45" i="1"/>
  <c r="AT44" i="1"/>
  <c r="AH44" i="1"/>
  <c r="J41" i="1"/>
  <c r="AL40" i="1"/>
  <c r="J40" i="1"/>
  <c r="AQ36" i="1"/>
  <c r="AQ35" i="1"/>
  <c r="AP34" i="1"/>
  <c r="Q34" i="1"/>
  <c r="AN32" i="1"/>
  <c r="K32" i="1"/>
  <c r="AM31" i="1"/>
  <c r="J31" i="1"/>
  <c r="AL30" i="1"/>
  <c r="AU27" i="1"/>
  <c r="AI27" i="1"/>
  <c r="AT26" i="1"/>
  <c r="AH26" i="1"/>
  <c r="AQ23" i="1"/>
  <c r="AP22" i="1"/>
  <c r="Q22" i="1"/>
  <c r="C97" i="3"/>
  <c r="Y19" i="2"/>
  <c r="AI136" i="1"/>
  <c r="AS131" i="1"/>
  <c r="AL127" i="1"/>
  <c r="AQ124" i="1"/>
  <c r="AI116" i="1"/>
  <c r="AU113" i="1"/>
  <c r="K111" i="1"/>
  <c r="AN99" i="1"/>
  <c r="AQ94" i="1"/>
  <c r="J90" i="1"/>
  <c r="AH88" i="1"/>
  <c r="AT85" i="1"/>
  <c r="J83" i="1"/>
  <c r="AU78" i="1"/>
  <c r="AI77" i="1"/>
  <c r="J75" i="1"/>
  <c r="AL73" i="1"/>
  <c r="AI67" i="1"/>
  <c r="AM66" i="1"/>
  <c r="AP64" i="1"/>
  <c r="K63" i="1"/>
  <c r="Q62" i="1"/>
  <c r="AL60" i="1"/>
  <c r="AU56" i="1"/>
  <c r="AP55" i="1"/>
  <c r="K55" i="1"/>
  <c r="AU53" i="1"/>
  <c r="AH53" i="1"/>
  <c r="AQ52" i="1"/>
  <c r="Q52" i="1"/>
  <c r="AN51" i="1"/>
  <c r="J51" i="1"/>
  <c r="AU46" i="1"/>
  <c r="AI46" i="1"/>
  <c r="AT45" i="1"/>
  <c r="AH45" i="1"/>
  <c r="AQ42" i="1"/>
  <c r="AN41" i="1"/>
  <c r="AQ37" i="1"/>
  <c r="AP36" i="1"/>
  <c r="AP35" i="1"/>
  <c r="Q35" i="1"/>
  <c r="AN33" i="1"/>
  <c r="K33" i="1"/>
  <c r="AM32" i="1"/>
  <c r="J32" i="1"/>
  <c r="AL31" i="1"/>
  <c r="AU28" i="1"/>
  <c r="AI28" i="1"/>
  <c r="AT27" i="1"/>
  <c r="AH27" i="1"/>
  <c r="AQ24" i="1"/>
  <c r="AP23" i="1"/>
  <c r="Q23" i="1"/>
  <c r="B66" i="3"/>
  <c r="X14" i="2"/>
  <c r="X12" i="2"/>
  <c r="AO3" i="2"/>
  <c r="K135" i="1"/>
  <c r="K131" i="1"/>
  <c r="J110" i="1"/>
  <c r="AL94" i="1"/>
  <c r="Q88" i="1"/>
  <c r="AH85" i="1"/>
  <c r="AL82" i="1"/>
  <c r="AQ75" i="1"/>
  <c r="AM74" i="1"/>
  <c r="AL70" i="1"/>
  <c r="AH69" i="1"/>
  <c r="AM64" i="1"/>
  <c r="AU62" i="1"/>
  <c r="J62" i="1"/>
  <c r="AI60" i="1"/>
  <c r="AH57" i="1"/>
  <c r="AU54" i="1"/>
  <c r="AH54" i="1"/>
  <c r="AN52" i="1"/>
  <c r="J52" i="1"/>
  <c r="AU50" i="1"/>
  <c r="AH50" i="1"/>
  <c r="AT49" i="1"/>
  <c r="AH49" i="1"/>
  <c r="AT48" i="1"/>
  <c r="AH48" i="1"/>
  <c r="AQ45" i="1"/>
  <c r="AP44" i="1"/>
  <c r="Q44" i="1"/>
  <c r="AN42" i="1"/>
  <c r="K42" i="1"/>
  <c r="AT40" i="1"/>
  <c r="AH40" i="1"/>
  <c r="AT39" i="1"/>
  <c r="Q39" i="1"/>
  <c r="B24" i="3"/>
  <c r="Q129" i="1"/>
  <c r="AQ120" i="1"/>
  <c r="AQ117" i="1"/>
  <c r="AS103" i="1"/>
  <c r="AQ100" i="1"/>
  <c r="AI98" i="1"/>
  <c r="K94" i="1"/>
  <c r="AN90" i="1"/>
  <c r="AQ87" i="1"/>
  <c r="AN83" i="1"/>
  <c r="AU80" i="1"/>
  <c r="AT76" i="1"/>
  <c r="AM75" i="1"/>
  <c r="Q74" i="1"/>
  <c r="AL71" i="1"/>
  <c r="AH70" i="1"/>
  <c r="AU67" i="1"/>
  <c r="K67" i="1"/>
  <c r="Q65" i="1"/>
  <c r="AL63" i="1"/>
  <c r="AN62" i="1"/>
  <c r="AT61" i="1"/>
  <c r="K60" i="1"/>
  <c r="AH59" i="1"/>
  <c r="AL58" i="1"/>
  <c r="AT57" i="1"/>
  <c r="Q57" i="1"/>
  <c r="AM56" i="1"/>
  <c r="AH55" i="1"/>
  <c r="K53" i="1"/>
  <c r="AU51" i="1"/>
  <c r="AQ50" i="1"/>
  <c r="AQ49" i="1"/>
  <c r="AQ48" i="1"/>
  <c r="AP47" i="1"/>
  <c r="Q47" i="1"/>
  <c r="AN45" i="1"/>
  <c r="K45" i="1"/>
  <c r="AM44" i="1"/>
  <c r="J44" i="1"/>
  <c r="AL43" i="1"/>
  <c r="AQ40" i="1"/>
  <c r="J39" i="1"/>
  <c r="AL38" i="1"/>
  <c r="AU34" i="1"/>
  <c r="AI34" i="1"/>
  <c r="AT33" i="1"/>
  <c r="AH33" i="1"/>
  <c r="AQ30" i="1"/>
  <c r="AP29" i="1"/>
  <c r="Q29" i="1"/>
  <c r="AN27" i="1"/>
  <c r="K27" i="1"/>
  <c r="AM26" i="1"/>
  <c r="J26" i="1"/>
  <c r="AL25" i="1"/>
  <c r="AU22" i="1"/>
  <c r="AI22" i="1"/>
  <c r="AT21" i="1"/>
  <c r="AH21" i="1"/>
  <c r="B8" i="3"/>
  <c r="X15" i="2"/>
  <c r="AQ136" i="1"/>
  <c r="AK111" i="1"/>
  <c r="AM108" i="1"/>
  <c r="K103" i="1"/>
  <c r="AI100" i="1"/>
  <c r="AU93" i="1"/>
  <c r="AT88" i="1"/>
  <c r="K86" i="1"/>
  <c r="AQ84" i="1"/>
  <c r="Q83" i="1"/>
  <c r="AT77" i="1"/>
  <c r="AP76" i="1"/>
  <c r="Q75" i="1"/>
  <c r="AM61" i="1"/>
  <c r="AI58" i="1"/>
  <c r="AP57" i="1"/>
  <c r="J57" i="1"/>
  <c r="K54" i="1"/>
  <c r="AL53" i="1"/>
  <c r="AT52" i="1"/>
  <c r="AQ51" i="1"/>
  <c r="Q51" i="1"/>
  <c r="AN50" i="1"/>
  <c r="AN49" i="1"/>
  <c r="AN48" i="1"/>
  <c r="K48" i="1"/>
  <c r="AM47" i="1"/>
  <c r="J47" i="1"/>
  <c r="AL46" i="1"/>
  <c r="AU43" i="1"/>
  <c r="AI43" i="1"/>
  <c r="AT42" i="1"/>
  <c r="AH42" i="1"/>
  <c r="AN40" i="1"/>
  <c r="B96" i="3"/>
  <c r="AH123" i="1"/>
  <c r="J117" i="1"/>
  <c r="AM94" i="1"/>
  <c r="AU89" i="1"/>
  <c r="AN87" i="1"/>
  <c r="AH79" i="1"/>
  <c r="AP74" i="1"/>
  <c r="AN72" i="1"/>
  <c r="AU68" i="1"/>
  <c r="Q63" i="1"/>
  <c r="AN60" i="1"/>
  <c r="K57" i="1"/>
  <c r="Q55" i="1"/>
  <c r="AI51" i="1"/>
  <c r="AP49" i="1"/>
  <c r="AU48" i="1"/>
  <c r="J48" i="1"/>
  <c r="AL45" i="1"/>
  <c r="AN44" i="1"/>
  <c r="AQ43" i="1"/>
  <c r="J43" i="1"/>
  <c r="AP38" i="1"/>
  <c r="J38" i="1"/>
  <c r="AH37" i="1"/>
  <c r="AN36" i="1"/>
  <c r="AM34" i="1"/>
  <c r="AN30" i="1"/>
  <c r="AT29" i="1"/>
  <c r="AL28" i="1"/>
  <c r="Q27" i="1"/>
  <c r="AT25" i="1"/>
  <c r="Q25" i="1"/>
  <c r="AL24" i="1"/>
  <c r="K23" i="1"/>
  <c r="Q21" i="1"/>
  <c r="AN19" i="1"/>
  <c r="AN18" i="1"/>
  <c r="K18" i="1"/>
  <c r="AM17" i="1"/>
  <c r="J17" i="1"/>
  <c r="AL16" i="1"/>
  <c r="AU13" i="1"/>
  <c r="AI13" i="1"/>
  <c r="AT12" i="1"/>
  <c r="AH12" i="1"/>
  <c r="AL10" i="1"/>
  <c r="AU9" i="1"/>
  <c r="AI9" i="1"/>
  <c r="AT8" i="1"/>
  <c r="AH8" i="1"/>
  <c r="B67" i="3"/>
  <c r="AN20" i="2"/>
  <c r="K133" i="1"/>
  <c r="AN108" i="1"/>
  <c r="AM100" i="1"/>
  <c r="AL96" i="1"/>
  <c r="J81" i="1"/>
  <c r="AM72" i="1"/>
  <c r="AU70" i="1"/>
  <c r="AT68" i="1"/>
  <c r="AQ65" i="1"/>
  <c r="K58" i="1"/>
  <c r="J56" i="1"/>
  <c r="Q54" i="1"/>
  <c r="Q53" i="1"/>
  <c r="AI50" i="1"/>
  <c r="AU47" i="1"/>
  <c r="AL44" i="1"/>
  <c r="AP43" i="1"/>
  <c r="B55" i="3"/>
  <c r="I3" i="2"/>
  <c r="Q126" i="1"/>
  <c r="AL119" i="1"/>
  <c r="AS104" i="1"/>
  <c r="AH91" i="1"/>
  <c r="AH89" i="1"/>
  <c r="AL74" i="1"/>
  <c r="AT70" i="1"/>
  <c r="AN65" i="1"/>
  <c r="J63" i="1"/>
  <c r="AT56" i="1"/>
  <c r="AM49" i="1"/>
  <c r="AT47" i="1"/>
  <c r="K47" i="1"/>
  <c r="Q46" i="1"/>
  <c r="AN43" i="1"/>
  <c r="AU42" i="1"/>
  <c r="Q40" i="1"/>
  <c r="AM38" i="1"/>
  <c r="AU37" i="1"/>
  <c r="Q37" i="1"/>
  <c r="AL36" i="1"/>
  <c r="AT35" i="1"/>
  <c r="Q33" i="1"/>
  <c r="AT31" i="1"/>
  <c r="Q31" i="1"/>
  <c r="K29" i="1"/>
  <c r="AH28" i="1"/>
  <c r="AQ27" i="1"/>
  <c r="J27" i="1"/>
  <c r="AI26" i="1"/>
  <c r="AP25" i="1"/>
  <c r="K25" i="1"/>
  <c r="AI24" i="1"/>
  <c r="AP21" i="1"/>
  <c r="K21" i="1"/>
  <c r="AM20" i="1"/>
  <c r="J20" i="1"/>
  <c r="AL19" i="1"/>
  <c r="J19" i="1"/>
  <c r="AL18" i="1"/>
  <c r="AU15" i="1"/>
  <c r="AI15" i="1"/>
  <c r="AT14" i="1"/>
  <c r="AH14" i="1"/>
  <c r="J11" i="1"/>
  <c r="J7" i="1"/>
  <c r="AL6" i="1"/>
  <c r="AU3" i="1"/>
  <c r="AI3" i="1"/>
  <c r="C53" i="3"/>
  <c r="J94" i="1"/>
  <c r="AT84" i="1"/>
  <c r="AN82" i="1"/>
  <c r="AT80" i="1"/>
  <c r="AQ76" i="1"/>
  <c r="AI68" i="1"/>
  <c r="AT66" i="1"/>
  <c r="AL65" i="1"/>
  <c r="Q64" i="1"/>
  <c r="AN61" i="1"/>
  <c r="J59" i="1"/>
  <c r="AU57" i="1"/>
  <c r="AU55" i="1"/>
  <c r="J54" i="1"/>
  <c r="J53" i="1"/>
  <c r="K52" i="1"/>
  <c r="AP48" i="1"/>
  <c r="AI44" i="1"/>
  <c r="AM43" i="1"/>
  <c r="AU41" i="1"/>
  <c r="AU40" i="1"/>
  <c r="AT37" i="1"/>
  <c r="K35" i="1"/>
  <c r="AI30" i="1"/>
  <c r="AQ29" i="1"/>
  <c r="J29" i="1"/>
  <c r="AP27" i="1"/>
  <c r="J25" i="1"/>
  <c r="B12" i="3"/>
  <c r="AP125" i="1"/>
  <c r="J119" i="1"/>
  <c r="AI107" i="1"/>
  <c r="AH99" i="1"/>
  <c r="Q96" i="1"/>
  <c r="AI93" i="1"/>
  <c r="K91" i="1"/>
  <c r="AU88" i="1"/>
  <c r="J87" i="1"/>
  <c r="AH84" i="1"/>
  <c r="AI80" i="1"/>
  <c r="AI78" i="1"/>
  <c r="J74" i="1"/>
  <c r="K72" i="1"/>
  <c r="AQ66" i="1"/>
  <c r="K64" i="1"/>
  <c r="AH61" i="1"/>
  <c r="J60" i="1"/>
  <c r="AT58" i="1"/>
  <c r="Q50" i="1"/>
  <c r="AM48" i="1"/>
  <c r="J46" i="1"/>
  <c r="AI38" i="1"/>
  <c r="AP37" i="1"/>
  <c r="J37" i="1"/>
  <c r="AH36" i="1"/>
  <c r="AP33" i="1"/>
  <c r="AH32" i="1"/>
  <c r="AP31" i="1"/>
  <c r="AN29" i="1"/>
  <c r="AT28" i="1"/>
  <c r="AM27" i="1"/>
  <c r="AU26" i="1"/>
  <c r="AM25" i="1"/>
  <c r="AU24" i="1"/>
  <c r="Q24" i="1"/>
  <c r="AL23" i="1"/>
  <c r="AL21" i="1"/>
  <c r="AU19" i="1"/>
  <c r="AI19" i="1"/>
  <c r="AU18" i="1"/>
  <c r="AI18" i="1"/>
  <c r="AT17" i="1"/>
  <c r="AH17" i="1"/>
  <c r="AQ14" i="1"/>
  <c r="AP13" i="1"/>
  <c r="Q13" i="1"/>
  <c r="AL11" i="1"/>
  <c r="AU10" i="1"/>
  <c r="AP9" i="1"/>
  <c r="Q9" i="1"/>
  <c r="AL7" i="1"/>
  <c r="AU6" i="1"/>
  <c r="AI6" i="1"/>
  <c r="AT5" i="1"/>
  <c r="AH5" i="1"/>
  <c r="X19" i="2"/>
  <c r="AM134" i="1"/>
  <c r="J129" i="1"/>
  <c r="AL98" i="1"/>
  <c r="AL95" i="1"/>
  <c r="AN18" i="2"/>
  <c r="AL133" i="1"/>
  <c r="K127" i="1"/>
  <c r="AN120" i="1"/>
  <c r="AN113" i="1"/>
  <c r="AS105" i="1"/>
  <c r="AI97" i="1"/>
  <c r="AP94" i="1"/>
  <c r="AL85" i="1"/>
  <c r="AH67" i="1"/>
  <c r="J66" i="1"/>
  <c r="AN64" i="1"/>
  <c r="K62" i="1"/>
  <c r="AU60" i="1"/>
  <c r="AI59" i="1"/>
  <c r="AH52" i="1"/>
  <c r="AM50" i="1"/>
  <c r="AH46" i="1"/>
  <c r="AM45" i="1"/>
  <c r="AT43" i="1"/>
  <c r="K43" i="1"/>
  <c r="Q42" i="1"/>
  <c r="Q41" i="1"/>
  <c r="AL39" i="1"/>
  <c r="AQ38" i="1"/>
  <c r="K38" i="1"/>
  <c r="AI37" i="1"/>
  <c r="J36" i="1"/>
  <c r="AH35" i="1"/>
  <c r="AN34" i="1"/>
  <c r="AP32" i="1"/>
  <c r="AH31" i="1"/>
  <c r="AU29" i="1"/>
  <c r="AM28" i="1"/>
  <c r="AL26" i="1"/>
  <c r="AU25" i="1"/>
  <c r="AM24" i="1"/>
  <c r="AT23" i="1"/>
  <c r="AP20" i="1"/>
  <c r="Q20" i="1"/>
  <c r="Q19" i="1"/>
  <c r="AN17" i="1"/>
  <c r="K17" i="1"/>
  <c r="AM16" i="1"/>
  <c r="J16" i="1"/>
  <c r="AL15" i="1"/>
  <c r="AU12" i="1"/>
  <c r="AI12" i="1"/>
  <c r="AT11" i="1"/>
  <c r="Q11" i="1"/>
  <c r="AM10" i="1"/>
  <c r="AU8" i="1"/>
  <c r="AI8" i="1"/>
  <c r="AT7" i="1"/>
  <c r="Q7" i="1"/>
  <c r="AN5" i="1"/>
  <c r="K5" i="1"/>
  <c r="AM4" i="1"/>
  <c r="J4" i="1"/>
  <c r="AL3" i="1"/>
  <c r="AN6" i="1"/>
  <c r="K6" i="1"/>
  <c r="AM5" i="1"/>
  <c r="J5" i="1"/>
  <c r="AL4" i="1"/>
  <c r="J42" i="1"/>
  <c r="K41" i="1"/>
  <c r="AN38" i="1"/>
  <c r="AM36" i="1"/>
  <c r="AU35" i="1"/>
  <c r="C23" i="3"/>
  <c r="AH98" i="1"/>
  <c r="AN86" i="1"/>
  <c r="AL80" i="1"/>
  <c r="AH68" i="1"/>
  <c r="AP63" i="1"/>
  <c r="AL61" i="1"/>
  <c r="AN57" i="1"/>
  <c r="AM51" i="1"/>
  <c r="K50" i="1"/>
  <c r="AI48" i="1"/>
  <c r="AT46" i="1"/>
  <c r="AP45" i="1"/>
  <c r="AL42" i="1"/>
  <c r="AU38" i="1"/>
  <c r="AL37" i="1"/>
  <c r="Q32" i="1"/>
  <c r="K31" i="1"/>
  <c r="K30" i="1"/>
  <c r="AI23" i="1"/>
  <c r="AL22" i="1"/>
  <c r="AN21" i="1"/>
  <c r="K20" i="1"/>
  <c r="AP18" i="1"/>
  <c r="AU17" i="1"/>
  <c r="Q17" i="1"/>
  <c r="AH16" i="1"/>
  <c r="K14" i="1"/>
  <c r="AM12" i="1"/>
  <c r="AU11" i="1"/>
  <c r="K10" i="1"/>
  <c r="AM8" i="1"/>
  <c r="AU7" i="1"/>
  <c r="AP4" i="1"/>
  <c r="Q3" i="1"/>
  <c r="AI71" i="1"/>
  <c r="AL51" i="1"/>
  <c r="K34" i="1"/>
  <c r="AN15" i="1"/>
  <c r="J14" i="1"/>
  <c r="AL12" i="1"/>
  <c r="J10" i="1"/>
  <c r="AL8" i="1"/>
  <c r="AT6" i="1"/>
  <c r="AI5" i="1"/>
  <c r="J3" i="1"/>
  <c r="J86" i="1"/>
  <c r="AT79" i="1"/>
  <c r="AI70" i="1"/>
  <c r="AT67" i="1"/>
  <c r="J61" i="1"/>
  <c r="AT53" i="1"/>
  <c r="AM40" i="1"/>
  <c r="AQ33" i="1"/>
  <c r="AI21" i="1"/>
  <c r="AH18" i="1"/>
  <c r="Q16" i="1"/>
  <c r="AN14" i="1"/>
  <c r="AN47" i="1"/>
  <c r="AI20" i="1"/>
  <c r="K16" i="1"/>
  <c r="AN53" i="1"/>
  <c r="Q49" i="1"/>
  <c r="Q124" i="1"/>
  <c r="Q93" i="1"/>
  <c r="AL86" i="1"/>
  <c r="AH77" i="1"/>
  <c r="Q66" i="1"/>
  <c r="AN63" i="1"/>
  <c r="AT55" i="1"/>
  <c r="AI54" i="1"/>
  <c r="AP52" i="1"/>
  <c r="AQ46" i="1"/>
  <c r="K44" i="1"/>
  <c r="AT38" i="1"/>
  <c r="Q36" i="1"/>
  <c r="J35" i="1"/>
  <c r="J33" i="1"/>
  <c r="AU30" i="1"/>
  <c r="J30" i="1"/>
  <c r="AQ28" i="1"/>
  <c r="AN26" i="1"/>
  <c r="AH24" i="1"/>
  <c r="AH23" i="1"/>
  <c r="AH22" i="1"/>
  <c r="AM21" i="1"/>
  <c r="AM18" i="1"/>
  <c r="AT10" i="1"/>
  <c r="Q6" i="1"/>
  <c r="AT3" i="1"/>
  <c r="AM11" i="1"/>
  <c r="AT9" i="1"/>
  <c r="AL92" i="1"/>
  <c r="AQ58" i="1"/>
  <c r="K37" i="1"/>
  <c r="AM29" i="1"/>
  <c r="K24" i="1"/>
  <c r="AT16" i="1"/>
  <c r="AQ34" i="1"/>
  <c r="K22" i="1"/>
  <c r="AL17" i="1"/>
  <c r="AM6" i="1"/>
  <c r="AM63" i="1"/>
  <c r="AI57" i="1"/>
  <c r="AN55" i="1"/>
  <c r="AU49" i="1"/>
  <c r="AP46" i="1"/>
  <c r="AI42" i="1"/>
  <c r="AP40" i="1"/>
  <c r="AN39" i="1"/>
  <c r="J34" i="1"/>
  <c r="AU31" i="1"/>
  <c r="AT30" i="1"/>
  <c r="AP28" i="1"/>
  <c r="AL27" i="1"/>
  <c r="AI25" i="1"/>
  <c r="AQ20" i="1"/>
  <c r="AM15" i="1"/>
  <c r="AP14" i="1"/>
  <c r="AN11" i="1"/>
  <c r="AN7" i="1"/>
  <c r="AN4" i="1"/>
  <c r="K3" i="1"/>
  <c r="K61" i="1"/>
  <c r="AU58" i="1"/>
  <c r="AL55" i="1"/>
  <c r="AM52" i="1"/>
  <c r="AM7" i="1"/>
  <c r="J6" i="1"/>
  <c r="AQ3" i="1"/>
  <c r="AI49" i="1"/>
  <c r="AL20" i="1"/>
  <c r="K13" i="1"/>
  <c r="K9" i="1"/>
  <c r="AI29" i="1"/>
  <c r="AL14" i="1"/>
  <c r="Q8" i="1"/>
  <c r="Z7" i="2"/>
  <c r="AN92" i="1"/>
  <c r="Q48" i="1"/>
  <c r="AN46" i="1"/>
  <c r="Q45" i="1"/>
  <c r="AM39" i="1"/>
  <c r="AH38" i="1"/>
  <c r="K36" i="1"/>
  <c r="AT34" i="1"/>
  <c r="AU33" i="1"/>
  <c r="AU32" i="1"/>
  <c r="AQ31" i="1"/>
  <c r="AN28" i="1"/>
  <c r="AH25" i="1"/>
  <c r="AN20" i="1"/>
  <c r="AT19" i="1"/>
  <c r="AQ17" i="1"/>
  <c r="AU16" i="1"/>
  <c r="AT13" i="1"/>
  <c r="AL52" i="1"/>
  <c r="AM46" i="1"/>
  <c r="AT32" i="1"/>
  <c r="AH15" i="1"/>
  <c r="AP3" i="1"/>
  <c r="AU36" i="1"/>
  <c r="AQ32" i="1"/>
  <c r="AM136" i="1"/>
  <c r="AU101" i="1"/>
  <c r="AN58" i="1"/>
  <c r="AI55" i="1"/>
  <c r="AQ53" i="1"/>
  <c r="AT50" i="1"/>
  <c r="AQ47" i="1"/>
  <c r="J45" i="1"/>
  <c r="AH43" i="1"/>
  <c r="AT41" i="1"/>
  <c r="AN35" i="1"/>
  <c r="AM33" i="1"/>
  <c r="AN31" i="1"/>
  <c r="AP30" i="1"/>
  <c r="AL29" i="1"/>
  <c r="Q26" i="1"/>
  <c r="J24" i="1"/>
  <c r="J23" i="1"/>
  <c r="K19" i="1"/>
  <c r="AM14" i="1"/>
  <c r="AQ13" i="1"/>
  <c r="J13" i="1"/>
  <c r="AN10" i="1"/>
  <c r="AQ9" i="1"/>
  <c r="J9" i="1"/>
  <c r="AP6" i="1"/>
  <c r="AU5" i="1"/>
  <c r="Q5" i="1"/>
  <c r="AH4" i="1"/>
  <c r="AN95" i="1"/>
  <c r="K82" i="1"/>
  <c r="K76" i="1"/>
  <c r="K73" i="1"/>
  <c r="AQ67" i="1"/>
  <c r="K65" i="1"/>
  <c r="AP62" i="1"/>
  <c r="AQ56" i="1"/>
  <c r="AI40" i="1"/>
  <c r="Q38" i="1"/>
  <c r="AM35" i="1"/>
  <c r="AM30" i="1"/>
  <c r="AQ16" i="1"/>
  <c r="Q12" i="1"/>
  <c r="AS121" i="1"/>
  <c r="K114" i="1"/>
  <c r="AP75" i="1"/>
  <c r="AM62" i="1"/>
  <c r="AL47" i="1"/>
  <c r="Z12" i="2"/>
  <c r="AT134" i="1"/>
  <c r="AM121" i="1"/>
  <c r="K107" i="1"/>
  <c r="AM81" i="1"/>
  <c r="AN75" i="1"/>
  <c r="AL62" i="1"/>
  <c r="AH58" i="1"/>
  <c r="AT54" i="1"/>
  <c r="AM53" i="1"/>
  <c r="AI47" i="1"/>
  <c r="K46" i="1"/>
  <c r="Q43" i="1"/>
  <c r="AL41" i="1"/>
  <c r="AH34" i="1"/>
  <c r="AI32" i="1"/>
  <c r="AI31" i="1"/>
  <c r="J21" i="1"/>
  <c r="AM19" i="1"/>
  <c r="AT18" i="1"/>
  <c r="Q18" i="1"/>
  <c r="AI17" i="1"/>
  <c r="AT15" i="1"/>
  <c r="AM13" i="1"/>
  <c r="K12" i="1"/>
  <c r="AM9" i="1"/>
  <c r="K8" i="1"/>
  <c r="AQ5" i="1"/>
  <c r="AU4" i="1"/>
  <c r="AU125" i="1"/>
  <c r="Q106" i="1"/>
  <c r="AI99" i="1"/>
  <c r="AQ90" i="1"/>
  <c r="Q84" i="1"/>
  <c r="AI81" i="1"/>
  <c r="J72" i="1"/>
  <c r="AI62" i="1"/>
  <c r="AU59" i="1"/>
  <c r="AI56" i="1"/>
  <c r="AQ54" i="1"/>
  <c r="K49" i="1"/>
  <c r="AH47" i="1"/>
  <c r="AQ44" i="1"/>
  <c r="K39" i="1"/>
  <c r="AI35" i="1"/>
  <c r="AI33" i="1"/>
  <c r="K28" i="1"/>
  <c r="AP24" i="1"/>
  <c r="AN23" i="1"/>
  <c r="AQ22" i="1"/>
  <c r="AN16" i="1"/>
  <c r="K15" i="1"/>
  <c r="AL13" i="1"/>
  <c r="AQ12" i="1"/>
  <c r="J12" i="1"/>
  <c r="AL9" i="1"/>
  <c r="AQ8" i="1"/>
  <c r="J8" i="1"/>
  <c r="AH6" i="1"/>
  <c r="AP5" i="1"/>
  <c r="AT4" i="1"/>
  <c r="Q4" i="1"/>
  <c r="AH3" i="1"/>
  <c r="AP26" i="1"/>
  <c r="AN25" i="1"/>
  <c r="AN24" i="1"/>
  <c r="AM22" i="1"/>
  <c r="AQ21" i="1"/>
  <c r="AT20" i="1"/>
  <c r="AH19" i="1"/>
  <c r="AQ18" i="1"/>
  <c r="AI16" i="1"/>
  <c r="AP15" i="1"/>
  <c r="AU14" i="1"/>
  <c r="AH9" i="1"/>
  <c r="AN8" i="1"/>
  <c r="AL5" i="1"/>
  <c r="AQ4" i="1"/>
  <c r="K4" i="1"/>
  <c r="AP17" i="1"/>
  <c r="AQ6" i="1"/>
  <c r="AI4" i="1"/>
  <c r="AP53" i="1"/>
  <c r="AL33" i="1"/>
  <c r="AQ19" i="1"/>
  <c r="AN3" i="1"/>
  <c r="AL56" i="1"/>
  <c r="AP50" i="1"/>
  <c r="AZ8" i="2"/>
  <c r="AH112" i="1"/>
  <c r="AL90" i="1"/>
  <c r="AU71" i="1"/>
  <c r="AH66" i="1"/>
  <c r="AM59" i="1"/>
  <c r="AP54" i="1"/>
  <c r="AP42" i="1"/>
  <c r="K40" i="1"/>
  <c r="AN37" i="1"/>
  <c r="AI36" i="1"/>
  <c r="Q30" i="1"/>
  <c r="J28" i="1"/>
  <c r="AQ26" i="1"/>
  <c r="AQ25" i="1"/>
  <c r="AM23" i="1"/>
  <c r="AN22" i="1"/>
  <c r="AU21" i="1"/>
  <c r="AU20" i="1"/>
  <c r="J18" i="1"/>
  <c r="AQ15" i="1"/>
  <c r="J15" i="1"/>
  <c r="Q14" i="1"/>
  <c r="AP12" i="1"/>
  <c r="K11" i="1"/>
  <c r="Q10" i="1"/>
  <c r="AP8" i="1"/>
  <c r="K7" i="1"/>
  <c r="AZ16" i="2"/>
  <c r="O14" i="2"/>
  <c r="AM98" i="1"/>
  <c r="K87" i="1"/>
  <c r="AQ83" i="1"/>
  <c r="AU77" i="1"/>
  <c r="AM71" i="1"/>
  <c r="AQ63" i="1"/>
  <c r="AL59" i="1"/>
  <c r="AN54" i="1"/>
  <c r="AP51" i="1"/>
  <c r="AM42" i="1"/>
  <c r="AU39" i="1"/>
  <c r="AM37" i="1"/>
  <c r="AH13" i="1"/>
  <c r="AN12" i="1"/>
  <c r="K26" i="1"/>
  <c r="J22" i="1"/>
  <c r="AH30" i="1"/>
  <c r="AU44" i="1"/>
  <c r="AH29" i="1"/>
  <c r="AN13" i="1"/>
  <c r="AU23" i="1"/>
  <c r="AM41" i="1"/>
  <c r="AT24" i="1"/>
  <c r="AH20" i="1"/>
  <c r="AT22" i="1"/>
  <c r="AT36" i="1"/>
  <c r="AP16" i="1"/>
  <c r="Q28" i="1"/>
  <c r="AL32" i="1"/>
  <c r="AM3" i="1"/>
  <c r="AP19" i="1"/>
  <c r="AN9" i="1"/>
  <c r="Q15" i="1"/>
  <c r="AL34" i="1"/>
  <c r="AI14" i="1"/>
  <c r="AL35" i="1"/>
  <c r="AT4" i="2" l="1"/>
  <c r="AT5" i="2"/>
  <c r="AJ14" i="1"/>
  <c r="AK14" i="1" s="1"/>
  <c r="AO9" i="1"/>
  <c r="AO13" i="1"/>
  <c r="AO12" i="1"/>
  <c r="AO54" i="1"/>
  <c r="AR63" i="1"/>
  <c r="AR83" i="1"/>
  <c r="AO98" i="1"/>
  <c r="P14" i="2"/>
  <c r="U80" i="1" s="1"/>
  <c r="BB16" i="2"/>
  <c r="AR15" i="1"/>
  <c r="AO22" i="1"/>
  <c r="AR25" i="1"/>
  <c r="AR26" i="1"/>
  <c r="AJ36" i="1"/>
  <c r="AK36" i="1" s="1"/>
  <c r="AO37" i="1"/>
  <c r="BB8" i="2"/>
  <c r="AO3" i="1"/>
  <c r="AR19" i="1"/>
  <c r="AJ4" i="1"/>
  <c r="AK4" i="1" s="1"/>
  <c r="AR6" i="1"/>
  <c r="AR4" i="1"/>
  <c r="AO8" i="1"/>
  <c r="AJ16" i="1"/>
  <c r="AK16" i="1" s="1"/>
  <c r="AR18" i="1"/>
  <c r="AR21" i="1"/>
  <c r="AO24" i="1"/>
  <c r="AO25" i="1"/>
  <c r="AR8" i="1"/>
  <c r="AR12" i="1"/>
  <c r="AO16" i="1"/>
  <c r="AR22" i="1"/>
  <c r="AO23" i="1"/>
  <c r="AJ33" i="1"/>
  <c r="AK33" i="1" s="1"/>
  <c r="AJ35" i="1"/>
  <c r="AK35" i="1" s="1"/>
  <c r="AR44" i="1"/>
  <c r="AR54" i="1"/>
  <c r="AJ56" i="1"/>
  <c r="AK56" i="1" s="1"/>
  <c r="AJ62" i="1"/>
  <c r="AK62" i="1" s="1"/>
  <c r="AJ81" i="1"/>
  <c r="AK81" i="1" s="1"/>
  <c r="AR90" i="1"/>
  <c r="AJ99" i="1"/>
  <c r="AR5" i="1"/>
  <c r="AJ17" i="1"/>
  <c r="AK17" i="1" s="1"/>
  <c r="AJ31" i="1"/>
  <c r="AK31" i="1" s="1"/>
  <c r="AJ32" i="1"/>
  <c r="AK32" i="1" s="1"/>
  <c r="AJ47" i="1"/>
  <c r="AK47" i="1" s="1"/>
  <c r="AO75" i="1"/>
  <c r="AR16" i="1"/>
  <c r="AJ40" i="1"/>
  <c r="AK40" i="1" s="1"/>
  <c r="AR56" i="1"/>
  <c r="AR67" i="1"/>
  <c r="AO95" i="1"/>
  <c r="AR9" i="1"/>
  <c r="AO10" i="1"/>
  <c r="AS10" i="1" s="1"/>
  <c r="AR13" i="1"/>
  <c r="AO31" i="1"/>
  <c r="AO35" i="1"/>
  <c r="AR47" i="1"/>
  <c r="AR53" i="1"/>
  <c r="AJ55" i="1"/>
  <c r="AK55" i="1" s="1"/>
  <c r="AO58" i="1"/>
  <c r="AR32" i="1"/>
  <c r="AR17" i="1"/>
  <c r="AO20" i="1"/>
  <c r="AO28" i="1"/>
  <c r="AR31" i="1"/>
  <c r="AO46" i="1"/>
  <c r="AO92" i="1"/>
  <c r="AJ29" i="1"/>
  <c r="AK29" i="1" s="1"/>
  <c r="AJ49" i="1"/>
  <c r="AK49" i="1" s="1"/>
  <c r="AR3" i="1"/>
  <c r="AO4" i="1"/>
  <c r="AO7" i="1"/>
  <c r="AS7" i="1" s="1"/>
  <c r="AO11" i="1"/>
  <c r="AS11" i="1" s="1"/>
  <c r="AR20" i="1"/>
  <c r="AJ25" i="1"/>
  <c r="AK25" i="1" s="1"/>
  <c r="AO39" i="1"/>
  <c r="AS39" i="1" s="1"/>
  <c r="AJ42" i="1"/>
  <c r="AK42" i="1" s="1"/>
  <c r="AO55" i="1"/>
  <c r="AJ57" i="1"/>
  <c r="AK57" i="1" s="1"/>
  <c r="AR34" i="1"/>
  <c r="AR58" i="1"/>
  <c r="AO26" i="1"/>
  <c r="AR28" i="1"/>
  <c r="AR46" i="1"/>
  <c r="AJ54" i="1"/>
  <c r="AK54" i="1" s="1"/>
  <c r="AO63" i="1"/>
  <c r="AO53" i="1"/>
  <c r="AJ20" i="1"/>
  <c r="AK20" i="1" s="1"/>
  <c r="AO47" i="1"/>
  <c r="AO14" i="1"/>
  <c r="AJ21" i="1"/>
  <c r="AK21" i="1" s="1"/>
  <c r="AR33" i="1"/>
  <c r="AJ70" i="1"/>
  <c r="AK70" i="1" s="1"/>
  <c r="J22" i="2"/>
  <c r="J20" i="2"/>
  <c r="AQ17" i="2"/>
  <c r="AS17" i="2" s="1"/>
  <c r="G17" i="2"/>
  <c r="AQ14" i="2"/>
  <c r="AS14" i="2" s="1"/>
  <c r="G14" i="2"/>
  <c r="AQ11" i="2"/>
  <c r="AS11" i="2" s="1"/>
  <c r="G11" i="2"/>
  <c r="AQ8" i="2"/>
  <c r="AS8" i="2" s="1"/>
  <c r="J8" i="2"/>
  <c r="AQ20" i="2"/>
  <c r="AS20" i="2" s="1"/>
  <c r="G20" i="2"/>
  <c r="J15" i="2"/>
  <c r="J12" i="2"/>
  <c r="J9" i="2"/>
  <c r="G4" i="2"/>
  <c r="G8" i="2"/>
  <c r="AQ19" i="2"/>
  <c r="AS19" i="2" s="1"/>
  <c r="G19" i="2"/>
  <c r="J17" i="2"/>
  <c r="J14" i="2"/>
  <c r="J11" i="2"/>
  <c r="J7" i="2"/>
  <c r="G5" i="2"/>
  <c r="G3" i="2"/>
  <c r="J19" i="2"/>
  <c r="AQ16" i="2"/>
  <c r="AS16" i="2" s="1"/>
  <c r="AQ15" i="2"/>
  <c r="AS15" i="2" s="1"/>
  <c r="G7" i="2"/>
  <c r="J5" i="2"/>
  <c r="J10" i="2"/>
  <c r="J21" i="2"/>
  <c r="AQ7" i="2"/>
  <c r="AS7" i="2" s="1"/>
  <c r="AQ5" i="2"/>
  <c r="AS5" i="2" s="1"/>
  <c r="AQ13" i="2"/>
  <c r="AS13" i="2" s="1"/>
  <c r="G10" i="2"/>
  <c r="J4" i="2"/>
  <c r="G21" i="2"/>
  <c r="AQ12" i="2"/>
  <c r="AS12" i="2" s="1"/>
  <c r="G9" i="2"/>
  <c r="AQ18" i="2"/>
  <c r="AS18" i="2" s="1"/>
  <c r="J6" i="2"/>
  <c r="AQ9" i="2"/>
  <c r="AS9" i="2" s="1"/>
  <c r="G13" i="2"/>
  <c r="G12" i="2"/>
  <c r="J18" i="2"/>
  <c r="G18" i="2"/>
  <c r="J16" i="2"/>
  <c r="J13" i="2"/>
  <c r="G16" i="2"/>
  <c r="AQ6" i="2"/>
  <c r="AS6" i="2" s="1"/>
  <c r="AQ21" i="2"/>
  <c r="AS21" i="2" s="1"/>
  <c r="AQ3" i="2"/>
  <c r="AS3" i="2" s="1"/>
  <c r="G6" i="2"/>
  <c r="G15" i="2"/>
  <c r="AQ10" i="2"/>
  <c r="AS10" i="2" s="1"/>
  <c r="J3" i="2"/>
  <c r="AQ4" i="2"/>
  <c r="AS4" i="2" s="1"/>
  <c r="AJ5" i="1"/>
  <c r="AK5" i="1" s="1"/>
  <c r="AO15" i="1"/>
  <c r="AJ71" i="1"/>
  <c r="AK71" i="1" s="1"/>
  <c r="AO21" i="1"/>
  <c r="AS21" i="1" s="1"/>
  <c r="AJ23" i="1"/>
  <c r="AK23" i="1" s="1"/>
  <c r="AJ48" i="1"/>
  <c r="AK48" i="1" s="1"/>
  <c r="AO57" i="1"/>
  <c r="AO86" i="1"/>
  <c r="AO38" i="1"/>
  <c r="AO6" i="1"/>
  <c r="AS6" i="1" s="1"/>
  <c r="AO5" i="1"/>
  <c r="AS5" i="1" s="1"/>
  <c r="AJ8" i="1"/>
  <c r="AK8" i="1" s="1"/>
  <c r="AJ12" i="1"/>
  <c r="AK12" i="1" s="1"/>
  <c r="AO17" i="1"/>
  <c r="AS17" i="1" s="1"/>
  <c r="AO34" i="1"/>
  <c r="AS34" i="1" s="1"/>
  <c r="AJ37" i="1"/>
  <c r="AK37" i="1" s="1"/>
  <c r="AR38" i="1"/>
  <c r="AJ59" i="1"/>
  <c r="AK59" i="1" s="1"/>
  <c r="AO64" i="1"/>
  <c r="AJ97" i="1"/>
  <c r="AK97" i="1" s="1"/>
  <c r="AO113" i="1"/>
  <c r="AO120" i="1"/>
  <c r="AJ6" i="1"/>
  <c r="AK6" i="1" s="1"/>
  <c r="AR14" i="1"/>
  <c r="AJ18" i="1"/>
  <c r="AK18" i="1" s="1"/>
  <c r="AJ19" i="1"/>
  <c r="AK19" i="1" s="1"/>
  <c r="AO29" i="1"/>
  <c r="AJ38" i="1"/>
  <c r="AK38" i="1" s="1"/>
  <c r="AR66" i="1"/>
  <c r="AJ78" i="1"/>
  <c r="AK78" i="1" s="1"/>
  <c r="AJ80" i="1"/>
  <c r="AK80" i="1" s="1"/>
  <c r="AJ93" i="1"/>
  <c r="AK93" i="1" s="1"/>
  <c r="AJ107" i="1"/>
  <c r="AR29" i="1"/>
  <c r="AJ30" i="1"/>
  <c r="AK30" i="1" s="1"/>
  <c r="AJ44" i="1"/>
  <c r="AK44" i="1" s="1"/>
  <c r="AO61" i="1"/>
  <c r="AJ68" i="1"/>
  <c r="AK68" i="1" s="1"/>
  <c r="AR76" i="1"/>
  <c r="AO82" i="1"/>
  <c r="AJ3" i="1"/>
  <c r="AK3" i="1" s="1"/>
  <c r="AJ15" i="1"/>
  <c r="AK15" i="1" s="1"/>
  <c r="AJ24" i="1"/>
  <c r="AK24" i="1" s="1"/>
  <c r="AJ26" i="1"/>
  <c r="AK26" i="1" s="1"/>
  <c r="AR27" i="1"/>
  <c r="AO43" i="1"/>
  <c r="AO65" i="1"/>
  <c r="AJ50" i="1"/>
  <c r="AK50" i="1" s="1"/>
  <c r="AR65" i="1"/>
  <c r="AO108" i="1"/>
  <c r="AJ9" i="1"/>
  <c r="AK9" i="1" s="1"/>
  <c r="AJ13" i="1"/>
  <c r="AK13" i="1" s="1"/>
  <c r="AO18" i="1"/>
  <c r="AO19" i="1"/>
  <c r="AS19" i="1" s="1"/>
  <c r="AO30" i="1"/>
  <c r="AO36" i="1"/>
  <c r="AR43" i="1"/>
  <c r="AO44" i="1"/>
  <c r="AJ51" i="1"/>
  <c r="AK51" i="1" s="1"/>
  <c r="AO60" i="1"/>
  <c r="AO72" i="1"/>
  <c r="AO87" i="1"/>
  <c r="AO40" i="1"/>
  <c r="AJ43" i="1"/>
  <c r="AK43" i="1" s="1"/>
  <c r="AO48" i="1"/>
  <c r="AO49" i="1"/>
  <c r="AO50" i="1"/>
  <c r="AR51" i="1"/>
  <c r="AJ58" i="1"/>
  <c r="AK58" i="1" s="1"/>
  <c r="AR84" i="1"/>
  <c r="AJ100" i="1"/>
  <c r="AR136" i="1"/>
  <c r="AJ22" i="1"/>
  <c r="AK22" i="1" s="1"/>
  <c r="AO27" i="1"/>
  <c r="AR30" i="1"/>
  <c r="AJ34" i="1"/>
  <c r="AK34" i="1" s="1"/>
  <c r="AR40" i="1"/>
  <c r="AO45" i="1"/>
  <c r="AR48" i="1"/>
  <c r="AR49" i="1"/>
  <c r="AR50" i="1"/>
  <c r="AO62" i="1"/>
  <c r="AO83" i="1"/>
  <c r="AR87" i="1"/>
  <c r="AO90" i="1"/>
  <c r="AS90" i="1" s="1"/>
  <c r="AJ98" i="1"/>
  <c r="AK98" i="1" s="1"/>
  <c r="AR100" i="1"/>
  <c r="AR117" i="1"/>
  <c r="AR120" i="1"/>
  <c r="AO42" i="1"/>
  <c r="AR45" i="1"/>
  <c r="AO52" i="1"/>
  <c r="AJ60" i="1"/>
  <c r="AK60" i="1" s="1"/>
  <c r="AR75" i="1"/>
  <c r="AR24" i="1"/>
  <c r="AJ28" i="1"/>
  <c r="AK28" i="1" s="1"/>
  <c r="AO33" i="1"/>
  <c r="AR37" i="1"/>
  <c r="AO41" i="1"/>
  <c r="AS41" i="1" s="1"/>
  <c r="AR42" i="1"/>
  <c r="AJ46" i="1"/>
  <c r="AK46" i="1" s="1"/>
  <c r="AO51" i="1"/>
  <c r="AR52" i="1"/>
  <c r="AJ67" i="1"/>
  <c r="AK67" i="1" s="1"/>
  <c r="AJ77" i="1"/>
  <c r="AK77" i="1" s="1"/>
  <c r="AR94" i="1"/>
  <c r="AO99" i="1"/>
  <c r="AJ116" i="1"/>
  <c r="AR124" i="1"/>
  <c r="AJ136" i="1"/>
  <c r="AR23" i="1"/>
  <c r="AJ27" i="1"/>
  <c r="AK27" i="1" s="1"/>
  <c r="AO32" i="1"/>
  <c r="AS32" i="1" s="1"/>
  <c r="AR35" i="1"/>
  <c r="AR36" i="1"/>
  <c r="U40" i="1"/>
  <c r="AJ45" i="1"/>
  <c r="AK45" i="1" s="1"/>
  <c r="U49" i="1"/>
  <c r="AJ53" i="1"/>
  <c r="AK53" i="1" s="1"/>
  <c r="AR55" i="1"/>
  <c r="AR64" i="1"/>
  <c r="AO67" i="1"/>
  <c r="AO73" i="1"/>
  <c r="AR77" i="1"/>
  <c r="AR88" i="1"/>
  <c r="AR102" i="1"/>
  <c r="U114" i="1"/>
  <c r="AO127" i="1"/>
  <c r="AR68" i="1"/>
  <c r="AJ72" i="1"/>
  <c r="AK72" i="1" s="1"/>
  <c r="U76" i="1"/>
  <c r="AR78" i="1"/>
  <c r="AJ86" i="1"/>
  <c r="AK86" i="1" s="1"/>
  <c r="AJ101" i="1"/>
  <c r="AR105" i="1"/>
  <c r="AJ109" i="1"/>
  <c r="AO117" i="1"/>
  <c r="AJ121" i="1"/>
  <c r="AJ134" i="1"/>
  <c r="BB5" i="2"/>
  <c r="AJ69" i="1"/>
  <c r="AK69" i="1" s="1"/>
  <c r="AO74" i="1"/>
  <c r="AJ79" i="1"/>
  <c r="AK79" i="1" s="1"/>
  <c r="AJ85" i="1"/>
  <c r="AK85" i="1" s="1"/>
  <c r="AJ89" i="1"/>
  <c r="AK89" i="1" s="1"/>
  <c r="AO94" i="1"/>
  <c r="AR101" i="1"/>
  <c r="AO59" i="1"/>
  <c r="AR62" i="1"/>
  <c r="AJ66" i="1"/>
  <c r="AK66" i="1" s="1"/>
  <c r="AO71" i="1"/>
  <c r="AR74" i="1"/>
  <c r="AO81" i="1"/>
  <c r="AJ88" i="1"/>
  <c r="AK88" i="1" s="1"/>
  <c r="AJ91" i="1"/>
  <c r="AK91" i="1" s="1"/>
  <c r="AR97" i="1"/>
  <c r="AR98" i="1"/>
  <c r="AR99" i="1"/>
  <c r="AR108" i="1"/>
  <c r="AR61" i="1"/>
  <c r="AJ65" i="1"/>
  <c r="AK65" i="1" s="1"/>
  <c r="AO70" i="1"/>
  <c r="AR73" i="1"/>
  <c r="AO80" i="1"/>
  <c r="AR82" i="1"/>
  <c r="AO85" i="1"/>
  <c r="AR86" i="1"/>
  <c r="AR95" i="1"/>
  <c r="AJ106" i="1"/>
  <c r="AO107" i="1"/>
  <c r="AO111" i="1"/>
  <c r="AJ126" i="1"/>
  <c r="AR127" i="1"/>
  <c r="AR60" i="1"/>
  <c r="AJ64" i="1"/>
  <c r="AK64" i="1" s="1"/>
  <c r="AO69" i="1"/>
  <c r="AR72" i="1"/>
  <c r="AJ76" i="1"/>
  <c r="AK76" i="1" s="1"/>
  <c r="AO79" i="1"/>
  <c r="AJ83" i="1"/>
  <c r="AK83" i="1" s="1"/>
  <c r="AJ105" i="1"/>
  <c r="BB3" i="2"/>
  <c r="P8" i="2"/>
  <c r="U8" i="1" s="1"/>
  <c r="AJ52" i="1"/>
  <c r="AK52" i="1" s="1"/>
  <c r="AO56" i="1"/>
  <c r="AS56" i="1" s="1"/>
  <c r="AR59" i="1"/>
  <c r="AJ63" i="1"/>
  <c r="AK63" i="1" s="1"/>
  <c r="AO68" i="1"/>
  <c r="AR71" i="1"/>
  <c r="AJ75" i="1"/>
  <c r="AK75" i="1" s="1"/>
  <c r="AO78" i="1"/>
  <c r="AR81" i="1"/>
  <c r="AJ87" i="1"/>
  <c r="AK87" i="1" s="1"/>
  <c r="AR89" i="1"/>
  <c r="AJ103" i="1"/>
  <c r="AJ104" i="1"/>
  <c r="AR107" i="1"/>
  <c r="AJ110" i="1"/>
  <c r="AO114" i="1"/>
  <c r="AO122" i="1"/>
  <c r="AR126" i="1"/>
  <c r="AR70" i="1"/>
  <c r="AJ74" i="1"/>
  <c r="AK74" i="1" s="1"/>
  <c r="AO77" i="1"/>
  <c r="AR80" i="1"/>
  <c r="AO84" i="1"/>
  <c r="AR85" i="1"/>
  <c r="AO88" i="1"/>
  <c r="AJ94" i="1"/>
  <c r="AK94" i="1" s="1"/>
  <c r="AO103" i="1"/>
  <c r="AO105" i="1"/>
  <c r="AJ113" i="1"/>
  <c r="AR118" i="1"/>
  <c r="AJ125" i="1"/>
  <c r="AJ130" i="1"/>
  <c r="P7" i="2"/>
  <c r="U37" i="1" s="1"/>
  <c r="AR57" i="1"/>
  <c r="AJ61" i="1"/>
  <c r="AK61" i="1" s="1"/>
  <c r="AO66" i="1"/>
  <c r="AR69" i="1"/>
  <c r="AJ73" i="1"/>
  <c r="AK73" i="1" s="1"/>
  <c r="AO76" i="1"/>
  <c r="AR79" i="1"/>
  <c r="AJ82" i="1"/>
  <c r="AK82" i="1" s="1"/>
  <c r="AJ90" i="1"/>
  <c r="AK90" i="1" s="1"/>
  <c r="AO91" i="1"/>
  <c r="AJ92" i="1"/>
  <c r="AK92" i="1" s="1"/>
  <c r="U97" i="1"/>
  <c r="F19" i="2"/>
  <c r="F22" i="2"/>
  <c r="F17" i="2"/>
  <c r="F14" i="2"/>
  <c r="F11" i="2"/>
  <c r="F7" i="2"/>
  <c r="F20" i="2"/>
  <c r="F4" i="2"/>
  <c r="F21" i="2"/>
  <c r="F13" i="2"/>
  <c r="F12" i="2"/>
  <c r="U98" i="1"/>
  <c r="F5" i="2"/>
  <c r="F10" i="2"/>
  <c r="F9" i="2"/>
  <c r="F16" i="2"/>
  <c r="F15" i="2"/>
  <c r="F8" i="2"/>
  <c r="F3" i="2"/>
  <c r="F18" i="2"/>
  <c r="F6" i="2"/>
  <c r="AO102" i="1"/>
  <c r="AR114" i="1"/>
  <c r="AR106" i="1"/>
  <c r="AR110" i="1"/>
  <c r="AJ111" i="1"/>
  <c r="AR112" i="1"/>
  <c r="AR131" i="1"/>
  <c r="AO132" i="1"/>
  <c r="AO135" i="1"/>
  <c r="P5" i="2"/>
  <c r="U23" i="1" s="1"/>
  <c r="AO96" i="1"/>
  <c r="AJ102" i="1"/>
  <c r="AR103" i="1"/>
  <c r="AJ123" i="1"/>
  <c r="AO125" i="1"/>
  <c r="U131" i="1"/>
  <c r="AO133" i="1"/>
  <c r="P13" i="2"/>
  <c r="U32" i="1" s="1"/>
  <c r="P17" i="2"/>
  <c r="U15" i="1" s="1"/>
  <c r="AO93" i="1"/>
  <c r="AR96" i="1"/>
  <c r="AO109" i="1"/>
  <c r="AO115" i="1"/>
  <c r="AO119" i="1"/>
  <c r="AJ128" i="1"/>
  <c r="AJ129" i="1"/>
  <c r="AR133" i="1"/>
  <c r="AJ137" i="1"/>
  <c r="P3" i="2"/>
  <c r="U103" i="1" s="1"/>
  <c r="P16" i="2"/>
  <c r="U38" i="1" s="1"/>
  <c r="AO137" i="1"/>
  <c r="P6" i="2"/>
  <c r="U21" i="1" s="1"/>
  <c r="BB10" i="2"/>
  <c r="BB11" i="2"/>
  <c r="AR111" i="1"/>
  <c r="AJ112" i="1"/>
  <c r="AO121" i="1"/>
  <c r="AO123" i="1"/>
  <c r="AO128" i="1"/>
  <c r="AO129" i="1"/>
  <c r="AO134" i="1"/>
  <c r="AR93" i="1"/>
  <c r="AO97" i="1"/>
  <c r="AO100" i="1"/>
  <c r="AO106" i="1"/>
  <c r="AJ108" i="1"/>
  <c r="AR109" i="1"/>
  <c r="AO112" i="1"/>
  <c r="AR113" i="1"/>
  <c r="AO116" i="1"/>
  <c r="AR119" i="1"/>
  <c r="AR128" i="1"/>
  <c r="AO130" i="1"/>
  <c r="AJ135" i="1"/>
  <c r="P4" i="2"/>
  <c r="U39" i="1" s="1"/>
  <c r="AJ84" i="1"/>
  <c r="AK84" i="1" s="1"/>
  <c r="AO89" i="1"/>
  <c r="AR92" i="1"/>
  <c r="AJ96" i="1"/>
  <c r="AK96" i="1" s="1"/>
  <c r="AO110" i="1"/>
  <c r="AJ120" i="1"/>
  <c r="U126" i="1"/>
  <c r="AO126" i="1"/>
  <c r="AR129" i="1"/>
  <c r="AO131" i="1"/>
  <c r="AJ132" i="1"/>
  <c r="AR134" i="1"/>
  <c r="AR137" i="1"/>
  <c r="P11" i="2"/>
  <c r="U30" i="1" s="1"/>
  <c r="BB17" i="2"/>
  <c r="AR91" i="1"/>
  <c r="AJ95" i="1"/>
  <c r="AK95" i="1" s="1"/>
  <c r="AR104" i="1"/>
  <c r="AJ114" i="1"/>
  <c r="AJ117" i="1"/>
  <c r="AO118" i="1"/>
  <c r="AR121" i="1"/>
  <c r="AJ122" i="1"/>
  <c r="AR123" i="1"/>
  <c r="AO124" i="1"/>
  <c r="BB7" i="2"/>
  <c r="P10" i="2"/>
  <c r="U127" i="1" s="1"/>
  <c r="BB13" i="2"/>
  <c r="BB14" i="2"/>
  <c r="AR135" i="1"/>
  <c r="T99" i="1"/>
  <c r="T129" i="1"/>
  <c r="AV129" i="1" s="1"/>
  <c r="AW129" i="1" s="1"/>
  <c r="T132" i="1"/>
  <c r="AV132" i="1" s="1"/>
  <c r="AW132" i="1" s="1"/>
  <c r="T130" i="1"/>
  <c r="AV130" i="1" s="1"/>
  <c r="AW130" i="1" s="1"/>
  <c r="T136" i="1"/>
  <c r="T119" i="1"/>
  <c r="T91" i="1"/>
  <c r="T133" i="1"/>
  <c r="T127" i="1"/>
  <c r="T125" i="1"/>
  <c r="AV125" i="1" s="1"/>
  <c r="AW125" i="1" s="1"/>
  <c r="T113" i="1"/>
  <c r="T111" i="1"/>
  <c r="T107" i="1"/>
  <c r="T105" i="1"/>
  <c r="AV105" i="1" s="1"/>
  <c r="AW105" i="1" s="1"/>
  <c r="T101" i="1"/>
  <c r="AV101" i="1" s="1"/>
  <c r="AW101" i="1" s="1"/>
  <c r="T98" i="1"/>
  <c r="T92" i="1"/>
  <c r="T93" i="1"/>
  <c r="T124" i="1"/>
  <c r="AV124" i="1" s="1"/>
  <c r="AW124" i="1" s="1"/>
  <c r="T122" i="1"/>
  <c r="AV122" i="1" s="1"/>
  <c r="AW122" i="1" s="1"/>
  <c r="T117" i="1"/>
  <c r="T135" i="1"/>
  <c r="T120" i="1"/>
  <c r="T112" i="1"/>
  <c r="AV112" i="1" s="1"/>
  <c r="AW112" i="1" s="1"/>
  <c r="T110" i="1"/>
  <c r="AV110" i="1" s="1"/>
  <c r="AW110" i="1" s="1"/>
  <c r="T108" i="1"/>
  <c r="T96" i="1"/>
  <c r="T123" i="1"/>
  <c r="T115" i="1"/>
  <c r="T109" i="1"/>
  <c r="AV109" i="1" s="1"/>
  <c r="AW109" i="1" s="1"/>
  <c r="T95" i="1"/>
  <c r="T89" i="1"/>
  <c r="T85" i="1"/>
  <c r="T79" i="1"/>
  <c r="T69" i="1"/>
  <c r="T57" i="1"/>
  <c r="T134" i="1"/>
  <c r="T128" i="1"/>
  <c r="AV128" i="1" s="1"/>
  <c r="AW128" i="1" s="1"/>
  <c r="T80" i="1"/>
  <c r="T70" i="1"/>
  <c r="T137" i="1"/>
  <c r="AV137" i="1" s="1"/>
  <c r="AW137" i="1" s="1"/>
  <c r="T81" i="1"/>
  <c r="T71" i="1"/>
  <c r="T59" i="1"/>
  <c r="T121" i="1"/>
  <c r="T102" i="1"/>
  <c r="AV102" i="1" s="1"/>
  <c r="AW102" i="1" s="1"/>
  <c r="T94" i="1"/>
  <c r="T86" i="1"/>
  <c r="T72" i="1"/>
  <c r="T60" i="1"/>
  <c r="T114" i="1"/>
  <c r="T104" i="1"/>
  <c r="T103" i="1"/>
  <c r="T90" i="1"/>
  <c r="T82" i="1"/>
  <c r="T73" i="1"/>
  <c r="T61" i="1"/>
  <c r="T74" i="1"/>
  <c r="T62" i="1"/>
  <c r="T131" i="1"/>
  <c r="T116" i="1"/>
  <c r="AV116" i="1" s="1"/>
  <c r="AW116" i="1" s="1"/>
  <c r="T100" i="1"/>
  <c r="T78" i="1"/>
  <c r="T68" i="1"/>
  <c r="T97" i="1"/>
  <c r="T52" i="1"/>
  <c r="T35" i="1"/>
  <c r="T23" i="1"/>
  <c r="T84" i="1"/>
  <c r="T76" i="1"/>
  <c r="T58" i="1"/>
  <c r="T42" i="1"/>
  <c r="T37" i="1"/>
  <c r="T36" i="1"/>
  <c r="T24" i="1"/>
  <c r="T53" i="1"/>
  <c r="T45" i="1"/>
  <c r="T106" i="1"/>
  <c r="T54" i="1"/>
  <c r="T48" i="1"/>
  <c r="T30" i="1"/>
  <c r="T63" i="1"/>
  <c r="T55" i="1"/>
  <c r="T83" i="1"/>
  <c r="T77" i="1"/>
  <c r="T47" i="1"/>
  <c r="T29" i="1"/>
  <c r="T126" i="1"/>
  <c r="T67" i="1"/>
  <c r="T46" i="1"/>
  <c r="T87" i="1"/>
  <c r="T64" i="1"/>
  <c r="T51" i="1"/>
  <c r="T28" i="1"/>
  <c r="T26" i="1"/>
  <c r="T14" i="1"/>
  <c r="T10" i="1"/>
  <c r="T56" i="1"/>
  <c r="T27" i="1"/>
  <c r="T25" i="1"/>
  <c r="T21" i="1"/>
  <c r="T40" i="1"/>
  <c r="T66" i="1"/>
  <c r="T6" i="1"/>
  <c r="T13" i="1"/>
  <c r="T9" i="1"/>
  <c r="T65" i="1"/>
  <c r="T5" i="1"/>
  <c r="T49" i="1"/>
  <c r="T19" i="1"/>
  <c r="T16" i="1"/>
  <c r="T22" i="1"/>
  <c r="T118" i="1"/>
  <c r="T38" i="1"/>
  <c r="T12" i="1"/>
  <c r="T8" i="1"/>
  <c r="T88" i="1"/>
  <c r="T11" i="1"/>
  <c r="T7" i="1"/>
  <c r="T4" i="1"/>
  <c r="T17" i="1"/>
  <c r="T3" i="1"/>
  <c r="T15" i="1"/>
  <c r="T75" i="1"/>
  <c r="T50" i="1"/>
  <c r="T31" i="1"/>
  <c r="T20" i="1"/>
  <c r="T44" i="1"/>
  <c r="T41" i="1"/>
  <c r="T34" i="1"/>
  <c r="T33" i="1"/>
  <c r="T32" i="1"/>
  <c r="T43" i="1"/>
  <c r="T18" i="1"/>
  <c r="T39" i="1"/>
  <c r="P19" i="2"/>
  <c r="U6" i="1" s="1"/>
  <c r="BB19" i="2"/>
  <c r="AR116" i="1"/>
  <c r="AJ119" i="1"/>
  <c r="AR125" i="1"/>
  <c r="AJ127" i="1"/>
  <c r="AR130" i="1"/>
  <c r="AR132" i="1"/>
  <c r="AO136" i="1"/>
  <c r="BB4" i="2"/>
  <c r="P18" i="2"/>
  <c r="U22" i="1" s="1"/>
  <c r="BB18" i="2"/>
  <c r="P21" i="2"/>
  <c r="U46" i="1" s="1"/>
  <c r="BB21" i="2"/>
  <c r="AO101" i="1"/>
  <c r="AO104" i="1"/>
  <c r="AJ118" i="1"/>
  <c r="AR122" i="1"/>
  <c r="AJ124" i="1"/>
  <c r="AJ131" i="1"/>
  <c r="AJ133" i="1"/>
  <c r="P9" i="2"/>
  <c r="U59" i="1" s="1"/>
  <c r="BB9" i="2"/>
  <c r="P12" i="2"/>
  <c r="U69" i="1" s="1"/>
  <c r="BB12" i="2"/>
  <c r="P15" i="2"/>
  <c r="U28" i="1" s="1"/>
  <c r="BB15" i="2"/>
  <c r="P20" i="2"/>
  <c r="U86" i="1" s="1"/>
  <c r="BB20" i="2"/>
  <c r="AX6" i="2"/>
  <c r="BB6" i="2" s="1"/>
  <c r="AT6" i="2"/>
  <c r="AS83" i="1" l="1"/>
  <c r="AS44" i="1"/>
  <c r="AS78" i="1"/>
  <c r="U3" i="1"/>
  <c r="U14" i="1"/>
  <c r="AS67" i="1"/>
  <c r="AS33" i="1"/>
  <c r="AS66" i="1"/>
  <c r="AV32" i="1"/>
  <c r="AW32" i="1" s="1"/>
  <c r="AS63" i="1"/>
  <c r="AS46" i="1"/>
  <c r="AS52" i="1"/>
  <c r="AS86" i="1"/>
  <c r="U50" i="1"/>
  <c r="U10" i="1"/>
  <c r="AV10" i="1" s="1"/>
  <c r="AW10" i="1" s="1"/>
  <c r="U36" i="1"/>
  <c r="U135" i="1"/>
  <c r="AV135" i="1" s="1"/>
  <c r="AW135" i="1" s="1"/>
  <c r="U119" i="1"/>
  <c r="AV119" i="1" s="1"/>
  <c r="AW119" i="1" s="1"/>
  <c r="AS42" i="1"/>
  <c r="U95" i="1"/>
  <c r="U19" i="1"/>
  <c r="AV19" i="1" s="1"/>
  <c r="AW19" i="1" s="1"/>
  <c r="U108" i="1"/>
  <c r="AV108" i="1" s="1"/>
  <c r="AW108" i="1" s="1"/>
  <c r="U61" i="1"/>
  <c r="U79" i="1"/>
  <c r="U82" i="1"/>
  <c r="U83" i="1"/>
  <c r="AV83" i="1" s="1"/>
  <c r="AW83" i="1" s="1"/>
  <c r="U87" i="1"/>
  <c r="U93" i="1"/>
  <c r="U106" i="1"/>
  <c r="AV106" i="1" s="1"/>
  <c r="AW106" i="1" s="1"/>
  <c r="AS73" i="1"/>
  <c r="U118" i="1"/>
  <c r="AV118" i="1" s="1"/>
  <c r="AW118" i="1" s="1"/>
  <c r="U47" i="1"/>
  <c r="U63" i="1"/>
  <c r="U89" i="1"/>
  <c r="U56" i="1"/>
  <c r="AV56" i="1" s="1"/>
  <c r="AW56" i="1" s="1"/>
  <c r="U111" i="1"/>
  <c r="AV111" i="1" s="1"/>
  <c r="AW111" i="1" s="1"/>
  <c r="AS93" i="1"/>
  <c r="U104" i="1"/>
  <c r="AV104" i="1" s="1"/>
  <c r="AW104" i="1" s="1"/>
  <c r="AS69" i="1"/>
  <c r="AV69" i="1" s="1"/>
  <c r="AW69" i="1" s="1"/>
  <c r="AS40" i="1"/>
  <c r="AV40" i="1" s="1"/>
  <c r="AW40" i="1" s="1"/>
  <c r="U5" i="1"/>
  <c r="AV5" i="1" s="1"/>
  <c r="AW5" i="1" s="1"/>
  <c r="AV98" i="1"/>
  <c r="AW98" i="1" s="1"/>
  <c r="AS29" i="1"/>
  <c r="AS54" i="1"/>
  <c r="AS26" i="1"/>
  <c r="AS81" i="1"/>
  <c r="AS8" i="1"/>
  <c r="AV8" i="1" s="1"/>
  <c r="AW8" i="1" s="1"/>
  <c r="U70" i="1"/>
  <c r="U113" i="1"/>
  <c r="AV113" i="1" s="1"/>
  <c r="AW113" i="1" s="1"/>
  <c r="U17" i="1"/>
  <c r="AV17" i="1" s="1"/>
  <c r="AW17" i="1" s="1"/>
  <c r="U42" i="1"/>
  <c r="AV126" i="1"/>
  <c r="AW126" i="1" s="1"/>
  <c r="U120" i="1"/>
  <c r="AV120" i="1" s="1"/>
  <c r="AW120" i="1" s="1"/>
  <c r="AS68" i="1"/>
  <c r="AS59" i="1"/>
  <c r="AV59" i="1" s="1"/>
  <c r="AW59" i="1" s="1"/>
  <c r="U62" i="1"/>
  <c r="AS87" i="1"/>
  <c r="U27" i="1"/>
  <c r="AS38" i="1"/>
  <c r="AV38" i="1" s="1"/>
  <c r="AW38" i="1" s="1"/>
  <c r="AV86" i="1"/>
  <c r="AW86" i="1" s="1"/>
  <c r="AV127" i="1"/>
  <c r="AW127" i="1" s="1"/>
  <c r="AS72" i="1"/>
  <c r="U54" i="1"/>
  <c r="U60" i="1"/>
  <c r="U85" i="1"/>
  <c r="AS94" i="1"/>
  <c r="AS51" i="1"/>
  <c r="AS62" i="1"/>
  <c r="U134" i="1"/>
  <c r="AV134" i="1" s="1"/>
  <c r="AW134" i="1" s="1"/>
  <c r="U65" i="1"/>
  <c r="U68" i="1"/>
  <c r="U52" i="1"/>
  <c r="U81" i="1"/>
  <c r="U20" i="1"/>
  <c r="AS47" i="1"/>
  <c r="AV46" i="1"/>
  <c r="AW46" i="1" s="1"/>
  <c r="AV52" i="1"/>
  <c r="AW52" i="1" s="1"/>
  <c r="U100" i="1"/>
  <c r="AV100" i="1" s="1"/>
  <c r="AW100" i="1" s="1"/>
  <c r="U133" i="1"/>
  <c r="AV133" i="1" s="1"/>
  <c r="AW133" i="1" s="1"/>
  <c r="U96" i="1"/>
  <c r="AS84" i="1"/>
  <c r="U57" i="1"/>
  <c r="AV21" i="1"/>
  <c r="AW21" i="1" s="1"/>
  <c r="U84" i="1"/>
  <c r="U25" i="1"/>
  <c r="AV6" i="1"/>
  <c r="AW6" i="1" s="1"/>
  <c r="AS50" i="1"/>
  <c r="U43" i="1"/>
  <c r="U11" i="1"/>
  <c r="AV11" i="1" s="1"/>
  <c r="AW11" i="1" s="1"/>
  <c r="AV114" i="1"/>
  <c r="AW114" i="1" s="1"/>
  <c r="AS89" i="1"/>
  <c r="AV131" i="1"/>
  <c r="AW131" i="1" s="1"/>
  <c r="AS77" i="1"/>
  <c r="AS36" i="1"/>
  <c r="AS65" i="1"/>
  <c r="AS15" i="1"/>
  <c r="AV15" i="1" s="1"/>
  <c r="AW15" i="1" s="1"/>
  <c r="AS71" i="1"/>
  <c r="AS48" i="1"/>
  <c r="AS58" i="1"/>
  <c r="AS4" i="1"/>
  <c r="AV103" i="1"/>
  <c r="AW103" i="1" s="1"/>
  <c r="AV39" i="1"/>
  <c r="AW39" i="1" s="1"/>
  <c r="U115" i="1"/>
  <c r="AV115" i="1" s="1"/>
  <c r="AW115" i="1" s="1"/>
  <c r="U64" i="1"/>
  <c r="AS60" i="1"/>
  <c r="AS18" i="1"/>
  <c r="U53" i="1"/>
  <c r="U67" i="1"/>
  <c r="AV67" i="1" s="1"/>
  <c r="AW67" i="1" s="1"/>
  <c r="AS80" i="1"/>
  <c r="AV80" i="1" s="1"/>
  <c r="AW80" i="1" s="1"/>
  <c r="U31" i="1"/>
  <c r="U75" i="1"/>
  <c r="AS27" i="1"/>
  <c r="U4" i="1"/>
  <c r="AS55" i="1"/>
  <c r="U13" i="1"/>
  <c r="AS37" i="1"/>
  <c r="AV37" i="1" s="1"/>
  <c r="AW37" i="1" s="1"/>
  <c r="AS97" i="1"/>
  <c r="AV97" i="1" s="1"/>
  <c r="AW97" i="1" s="1"/>
  <c r="AS76" i="1"/>
  <c r="AV76" i="1" s="1"/>
  <c r="AW76" i="1" s="1"/>
  <c r="AS79" i="1"/>
  <c r="U26" i="1"/>
  <c r="AS49" i="1"/>
  <c r="AV49" i="1" s="1"/>
  <c r="AW49" i="1" s="1"/>
  <c r="U48" i="1"/>
  <c r="AS43" i="1"/>
  <c r="U7" i="1"/>
  <c r="AV7" i="1" s="1"/>
  <c r="AW7" i="1" s="1"/>
  <c r="U74" i="1"/>
  <c r="U33" i="1"/>
  <c r="AS23" i="1"/>
  <c r="AV23" i="1" s="1"/>
  <c r="AW23" i="1" s="1"/>
  <c r="AS74" i="1"/>
  <c r="U34" i="1"/>
  <c r="AV34" i="1" s="1"/>
  <c r="AW34" i="1" s="1"/>
  <c r="U9" i="1"/>
  <c r="AS75" i="1"/>
  <c r="U35" i="1"/>
  <c r="AS96" i="1"/>
  <c r="U136" i="1"/>
  <c r="AV136" i="1" s="1"/>
  <c r="AW136" i="1" s="1"/>
  <c r="U121" i="1"/>
  <c r="AV121" i="1" s="1"/>
  <c r="AW121" i="1" s="1"/>
  <c r="U78" i="1"/>
  <c r="AS70" i="1"/>
  <c r="U92" i="1"/>
  <c r="U91" i="1"/>
  <c r="U94" i="1"/>
  <c r="AS14" i="1"/>
  <c r="AS95" i="1"/>
  <c r="U72" i="1"/>
  <c r="AS16" i="1"/>
  <c r="U55" i="1"/>
  <c r="U73" i="1"/>
  <c r="AS45" i="1"/>
  <c r="AS82" i="1"/>
  <c r="U29" i="1"/>
  <c r="AS92" i="1"/>
  <c r="U45" i="1"/>
  <c r="AV45" i="1" s="1"/>
  <c r="AW45" i="1" s="1"/>
  <c r="AS22" i="1"/>
  <c r="AV22" i="1" s="1"/>
  <c r="AW22" i="1" s="1"/>
  <c r="U99" i="1"/>
  <c r="AV99" i="1" s="1"/>
  <c r="AW99" i="1" s="1"/>
  <c r="U58" i="1"/>
  <c r="U41" i="1"/>
  <c r="AV41" i="1" s="1"/>
  <c r="AW41" i="1" s="1"/>
  <c r="U51" i="1"/>
  <c r="AS35" i="1"/>
  <c r="U18" i="1"/>
  <c r="AS12" i="1"/>
  <c r="AS31" i="1"/>
  <c r="U12" i="1"/>
  <c r="U77" i="1"/>
  <c r="U44" i="1"/>
  <c r="U66" i="1"/>
  <c r="U16" i="1"/>
  <c r="U88" i="1"/>
  <c r="U123" i="1"/>
  <c r="AV123" i="1" s="1"/>
  <c r="AW123" i="1" s="1"/>
  <c r="U107" i="1"/>
  <c r="AV107" i="1" s="1"/>
  <c r="AW107" i="1" s="1"/>
  <c r="AS91" i="1"/>
  <c r="AS88" i="1"/>
  <c r="U71" i="1"/>
  <c r="U117" i="1"/>
  <c r="AV117" i="1" s="1"/>
  <c r="AW117" i="1" s="1"/>
  <c r="AS30" i="1"/>
  <c r="AV30" i="1" s="1"/>
  <c r="AW30" i="1" s="1"/>
  <c r="AS61" i="1"/>
  <c r="AS64" i="1"/>
  <c r="AS57" i="1"/>
  <c r="AS53" i="1"/>
  <c r="U24" i="1"/>
  <c r="AS85" i="1"/>
  <c r="U90" i="1"/>
  <c r="AV90" i="1" s="1"/>
  <c r="AW90" i="1" s="1"/>
  <c r="AS28" i="1"/>
  <c r="AV28" i="1" s="1"/>
  <c r="AW28" i="1" s="1"/>
  <c r="AS3" i="1"/>
  <c r="AS13" i="1"/>
  <c r="AS20" i="1"/>
  <c r="AS25" i="1"/>
  <c r="AS9" i="1"/>
  <c r="AS24" i="1"/>
  <c r="AV3" i="1" l="1"/>
  <c r="AW3" i="1" s="1"/>
  <c r="AV14" i="1"/>
  <c r="AW14" i="1" s="1"/>
  <c r="AV63" i="1"/>
  <c r="AW63" i="1" s="1"/>
  <c r="AV44" i="1"/>
  <c r="AW44" i="1" s="1"/>
  <c r="AV78" i="1"/>
  <c r="AW78" i="1" s="1"/>
  <c r="AV95" i="1"/>
  <c r="AW95" i="1" s="1"/>
  <c r="AV13" i="1"/>
  <c r="AW13" i="1" s="1"/>
  <c r="AV66" i="1"/>
  <c r="AW66" i="1" s="1"/>
  <c r="AV33" i="1"/>
  <c r="AW33" i="1" s="1"/>
  <c r="AV20" i="1"/>
  <c r="AW20" i="1" s="1"/>
  <c r="AV81" i="1"/>
  <c r="AW81" i="1" s="1"/>
  <c r="AV87" i="1"/>
  <c r="AW87" i="1" s="1"/>
  <c r="AV50" i="1"/>
  <c r="AW50" i="1" s="1"/>
  <c r="AV9" i="1"/>
  <c r="AW9" i="1" s="1"/>
  <c r="AV54" i="1"/>
  <c r="AW54" i="1" s="1"/>
  <c r="AV36" i="1"/>
  <c r="AW36" i="1" s="1"/>
  <c r="AV27" i="1"/>
  <c r="AW27" i="1" s="1"/>
  <c r="AV96" i="1"/>
  <c r="AW96" i="1" s="1"/>
  <c r="AV29" i="1"/>
  <c r="AW29" i="1" s="1"/>
  <c r="AV35" i="1"/>
  <c r="AW35" i="1" s="1"/>
  <c r="AV75" i="1"/>
  <c r="AW75" i="1" s="1"/>
  <c r="AV16" i="1"/>
  <c r="AW16" i="1" s="1"/>
  <c r="AV43" i="1"/>
  <c r="AW43" i="1" s="1"/>
  <c r="AV79" i="1"/>
  <c r="AW79" i="1" s="1"/>
  <c r="AV82" i="1"/>
  <c r="AW82" i="1" s="1"/>
  <c r="AV73" i="1"/>
  <c r="AW73" i="1" s="1"/>
  <c r="AV42" i="1"/>
  <c r="AW42" i="1" s="1"/>
  <c r="AV84" i="1"/>
  <c r="AW84" i="1" s="1"/>
  <c r="AV62" i="1"/>
  <c r="AW62" i="1" s="1"/>
  <c r="AV93" i="1"/>
  <c r="AW93" i="1" s="1"/>
  <c r="AV72" i="1"/>
  <c r="AW72" i="1" s="1"/>
  <c r="AV65" i="1"/>
  <c r="AW65" i="1" s="1"/>
  <c r="AV61" i="1"/>
  <c r="AW61" i="1" s="1"/>
  <c r="AV55" i="1"/>
  <c r="AW55" i="1" s="1"/>
  <c r="AV89" i="1"/>
  <c r="AW89" i="1" s="1"/>
  <c r="AV60" i="1"/>
  <c r="AW60" i="1" s="1"/>
  <c r="AV77" i="1"/>
  <c r="AW77" i="1" s="1"/>
  <c r="AV92" i="1"/>
  <c r="AW92" i="1" s="1"/>
  <c r="AV47" i="1"/>
  <c r="AW47" i="1" s="1"/>
  <c r="AV94" i="1"/>
  <c r="AW94" i="1" s="1"/>
  <c r="AV18" i="1"/>
  <c r="AW18" i="1" s="1"/>
  <c r="AV70" i="1"/>
  <c r="AW70" i="1" s="1"/>
  <c r="AV88" i="1"/>
  <c r="AW88" i="1" s="1"/>
  <c r="AV57" i="1"/>
  <c r="AW57" i="1" s="1"/>
  <c r="AV51" i="1"/>
  <c r="AW51" i="1" s="1"/>
  <c r="AV68" i="1"/>
  <c r="AW68" i="1" s="1"/>
  <c r="AV48" i="1"/>
  <c r="AW48" i="1" s="1"/>
  <c r="AV26" i="1"/>
  <c r="AW26" i="1" s="1"/>
  <c r="AV25" i="1"/>
  <c r="AW25" i="1" s="1"/>
  <c r="AV71" i="1"/>
  <c r="AW71" i="1" s="1"/>
  <c r="AV58" i="1"/>
  <c r="AW58" i="1" s="1"/>
  <c r="AV12" i="1"/>
  <c r="AW12" i="1" s="1"/>
  <c r="AV85" i="1"/>
  <c r="AW85" i="1" s="1"/>
  <c r="AV31" i="1"/>
  <c r="AW31" i="1" s="1"/>
  <c r="AV24" i="1"/>
  <c r="AW24" i="1" s="1"/>
  <c r="AV74" i="1"/>
  <c r="AW74" i="1" s="1"/>
  <c r="AV4" i="1"/>
  <c r="AW4" i="1" s="1"/>
  <c r="AV64" i="1"/>
  <c r="AW64" i="1" s="1"/>
  <c r="AV91" i="1"/>
  <c r="AW91" i="1" s="1"/>
  <c r="AV53" i="1"/>
  <c r="AW53" i="1" s="1"/>
</calcChain>
</file>

<file path=xl/sharedStrings.xml><?xml version="1.0" encoding="utf-8"?>
<sst xmlns="http://schemas.openxmlformats.org/spreadsheetml/2006/main" count="4035" uniqueCount="1154">
  <si>
    <t>ФИО</t>
  </si>
  <si>
    <t>Фамилия</t>
  </si>
  <si>
    <t>Имя</t>
  </si>
  <si>
    <t>Группа</t>
  </si>
  <si>
    <t>email</t>
  </si>
  <si>
    <t>email2form</t>
  </si>
  <si>
    <t>github</t>
  </si>
  <si>
    <t>moodle</t>
  </si>
  <si>
    <t>Проект</t>
  </si>
  <si>
    <t>№ проекта</t>
  </si>
  <si>
    <t>Посещаемость, всего 10 баллов (за 6 лекций посещенных, не считая первую)</t>
  </si>
  <si>
    <t>Суммарный балл за два курса, всего 40 баллов</t>
  </si>
  <si>
    <t>Итерация 1</t>
  </si>
  <si>
    <t>Итерация 2</t>
  </si>
  <si>
    <t>Итерация 3</t>
  </si>
  <si>
    <t>Итерация 4</t>
  </si>
  <si>
    <t>Сумма баллов</t>
  </si>
  <si>
    <t>Оценка</t>
  </si>
  <si>
    <t>Логин + ФИ по данным гитхаба</t>
  </si>
  <si>
    <t>Можно ли опознать по данным гитхаба (в логине / имя фамилии)?</t>
  </si>
  <si>
    <t>Логин на дискорде (прочерк - есть проблема)</t>
  </si>
  <si>
    <t>Есть ли непринятые инвайты (==не получил доступ к репо)?</t>
  </si>
  <si>
    <t>Коммиты, вмерженные в main</t>
  </si>
  <si>
    <t>issues</t>
  </si>
  <si>
    <t>PR</t>
  </si>
  <si>
    <t>Оценка студента за (0-6 баллов</t>
  </si>
  <si>
    <t>Оценка проект (0-4 балла)</t>
  </si>
  <si>
    <t>commits (в main)</t>
  </si>
  <si>
    <t>commits (всего)</t>
  </si>
  <si>
    <t>commits_score</t>
  </si>
  <si>
    <t>PR создано</t>
  </si>
  <si>
    <t>Вмерженных PR (из созданных)</t>
  </si>
  <si>
    <t>PR_score</t>
  </si>
  <si>
    <t>Бонусные баллы</t>
  </si>
  <si>
    <t>Студент_003</t>
  </si>
  <si>
    <t>student_003@example.com</t>
  </si>
  <si>
    <t>github_003</t>
  </si>
  <si>
    <t>moodle_054</t>
  </si>
  <si>
    <t>discord_003</t>
  </si>
  <si>
    <t>4, issue не комментил</t>
  </si>
  <si>
    <t>1, issue не комментил</t>
  </si>
  <si>
    <t>Студент_009</t>
  </si>
  <si>
    <t>student_009@example.com</t>
  </si>
  <si>
    <t>github_009</t>
  </si>
  <si>
    <t>moodle_033</t>
  </si>
  <si>
    <t>discord_009</t>
  </si>
  <si>
    <t>issue не создавал, 1</t>
  </si>
  <si>
    <t>PR не создавал</t>
  </si>
  <si>
    <t>17, 3</t>
  </si>
  <si>
    <t>Студент_015</t>
  </si>
  <si>
    <t>student_015@example.com</t>
  </si>
  <si>
    <t>github_015</t>
  </si>
  <si>
    <t>moodle_052</t>
  </si>
  <si>
    <t>discord_015</t>
  </si>
  <si>
    <t>issue не создавал, issue не комментил</t>
  </si>
  <si>
    <t>Студент_018</t>
  </si>
  <si>
    <t>student_018@example.com</t>
  </si>
  <si>
    <t>github_018</t>
  </si>
  <si>
    <t>moodle_088</t>
  </si>
  <si>
    <t>discord_018</t>
  </si>
  <si>
    <t>Студент_036</t>
  </si>
  <si>
    <t>student_036@example.com</t>
  </si>
  <si>
    <t>github_036</t>
  </si>
  <si>
    <t>moodle_016</t>
  </si>
  <si>
    <t>discord_036</t>
  </si>
  <si>
    <t>Студент_056</t>
  </si>
  <si>
    <t>student_056@example.com</t>
  </si>
  <si>
    <t>github_056</t>
  </si>
  <si>
    <t>moodle_084</t>
  </si>
  <si>
    <t>discord_056</t>
  </si>
  <si>
    <t>3, 1</t>
  </si>
  <si>
    <t>3, issue не комментил</t>
  </si>
  <si>
    <t>Студент_057</t>
  </si>
  <si>
    <t>student_057@example.com</t>
  </si>
  <si>
    <t>github_057</t>
  </si>
  <si>
    <t>moodle_091</t>
  </si>
  <si>
    <t>discord_057</t>
  </si>
  <si>
    <t>issue не создавал, 0</t>
  </si>
  <si>
    <t>Студент_076</t>
  </si>
  <si>
    <t>student_076@example.com</t>
  </si>
  <si>
    <t>github_076</t>
  </si>
  <si>
    <t>moodle_154</t>
  </si>
  <si>
    <t>discord_076</t>
  </si>
  <si>
    <t>Студент_087</t>
  </si>
  <si>
    <t>student_087@example.com</t>
  </si>
  <si>
    <t>github_087</t>
  </si>
  <si>
    <t>moodle_114</t>
  </si>
  <si>
    <t>discord_087</t>
  </si>
  <si>
    <t>Студент_096</t>
  </si>
  <si>
    <t>student_096@example.com</t>
  </si>
  <si>
    <t>github_096</t>
  </si>
  <si>
    <t>moodle_123</t>
  </si>
  <si>
    <t>discord_096</t>
  </si>
  <si>
    <t>Студент_108</t>
  </si>
  <si>
    <t>student_108@example.com</t>
  </si>
  <si>
    <t>github_108</t>
  </si>
  <si>
    <t>moodle_136</t>
  </si>
  <si>
    <t>discord_108</t>
  </si>
  <si>
    <t>Студент_112</t>
  </si>
  <si>
    <t>student_112@example.com</t>
  </si>
  <si>
    <t>github_112</t>
  </si>
  <si>
    <t>moodle_141</t>
  </si>
  <si>
    <t>discord_112</t>
  </si>
  <si>
    <t>2, issue не комментил</t>
  </si>
  <si>
    <t>Студент_118</t>
  </si>
  <si>
    <t>student_118@example.com</t>
  </si>
  <si>
    <t>github_118</t>
  </si>
  <si>
    <t>moodle_118</t>
  </si>
  <si>
    <t>discord_118</t>
  </si>
  <si>
    <t>Студент_122</t>
  </si>
  <si>
    <t>student_122@example.com</t>
  </si>
  <si>
    <t>github_122</t>
  </si>
  <si>
    <t>moodle_107</t>
  </si>
  <si>
    <t>discord_122</t>
  </si>
  <si>
    <t>Студент_124</t>
  </si>
  <si>
    <t>student_124@example.com</t>
  </si>
  <si>
    <t>github_124</t>
  </si>
  <si>
    <t>moodle_062</t>
  </si>
  <si>
    <t>discord_124</t>
  </si>
  <si>
    <t>Студент_128</t>
  </si>
  <si>
    <t>student_128@example.com</t>
  </si>
  <si>
    <t>github_128</t>
  </si>
  <si>
    <t>moodle_038</t>
  </si>
  <si>
    <t>discord_128</t>
  </si>
  <si>
    <t>2, 2</t>
  </si>
  <si>
    <t>Студент_135</t>
  </si>
  <si>
    <t>student_135@example.com</t>
  </si>
  <si>
    <t>github_135</t>
  </si>
  <si>
    <t>moodle_023</t>
  </si>
  <si>
    <t>discord_135</t>
  </si>
  <si>
    <t>1, 6</t>
  </si>
  <si>
    <t>1, 1</t>
  </si>
  <si>
    <t>Студент_039</t>
  </si>
  <si>
    <t>student_039@example.com</t>
  </si>
  <si>
    <t>github_039</t>
  </si>
  <si>
    <t>moodle_002</t>
  </si>
  <si>
    <t>discord_039</t>
  </si>
  <si>
    <t>Студент_047</t>
  </si>
  <si>
    <t>student_047@example.com</t>
  </si>
  <si>
    <t>github_047</t>
  </si>
  <si>
    <t>moodle_006</t>
  </si>
  <si>
    <t>discord_047</t>
  </si>
  <si>
    <t>Студент_022</t>
  </si>
  <si>
    <t>student_022@example.com</t>
  </si>
  <si>
    <t>github_022</t>
  </si>
  <si>
    <t>moodle_022</t>
  </si>
  <si>
    <t>discord_022</t>
  </si>
  <si>
    <t>issue не создавал, 3</t>
  </si>
  <si>
    <t>5, issue не комментил</t>
  </si>
  <si>
    <t>Студент_048</t>
  </si>
  <si>
    <t>student_048@example.com</t>
  </si>
  <si>
    <t>github_048</t>
  </si>
  <si>
    <t>moodle_112</t>
  </si>
  <si>
    <t>discord_048</t>
  </si>
  <si>
    <t>Студент_023</t>
  </si>
  <si>
    <t>student_023@example.com</t>
  </si>
  <si>
    <t>github_023</t>
  </si>
  <si>
    <t>moodle_001</t>
  </si>
  <si>
    <t>discord_023</t>
  </si>
  <si>
    <t>2, 1</t>
  </si>
  <si>
    <t>Студент_080</t>
  </si>
  <si>
    <t>student_080@example.com</t>
  </si>
  <si>
    <t>github_080</t>
  </si>
  <si>
    <t>moodle_113</t>
  </si>
  <si>
    <t>discord_080</t>
  </si>
  <si>
    <t>Студент_029</t>
  </si>
  <si>
    <t>student_029@example.com</t>
  </si>
  <si>
    <t>github_029</t>
  </si>
  <si>
    <t>moodle_075</t>
  </si>
  <si>
    <t>discord_029</t>
  </si>
  <si>
    <t>Студент_100</t>
  </si>
  <si>
    <t>student_100@example.com</t>
  </si>
  <si>
    <t>github_100</t>
  </si>
  <si>
    <t>moodle_042</t>
  </si>
  <si>
    <t>discord_100</t>
  </si>
  <si>
    <t>Студент_024</t>
  </si>
  <si>
    <t>student_024@example.com</t>
  </si>
  <si>
    <t>github_024</t>
  </si>
  <si>
    <t>moodle_020</t>
  </si>
  <si>
    <t>discord_024</t>
  </si>
  <si>
    <t>Студент_006</t>
  </si>
  <si>
    <t>student_006@example.com</t>
  </si>
  <si>
    <t>github_006</t>
  </si>
  <si>
    <t>moodle_014</t>
  </si>
  <si>
    <t>discord_006</t>
  </si>
  <si>
    <t>6, 4</t>
  </si>
  <si>
    <t>Студент_008</t>
  </si>
  <si>
    <t>student_008@example.com</t>
  </si>
  <si>
    <t>github_008</t>
  </si>
  <si>
    <t>moodle_148</t>
  </si>
  <si>
    <t>discord_008</t>
  </si>
  <si>
    <t>Студент_019</t>
  </si>
  <si>
    <t>student_019@example.com</t>
  </si>
  <si>
    <t>github_019</t>
  </si>
  <si>
    <t>moodle_094</t>
  </si>
  <si>
    <t>discord_019</t>
  </si>
  <si>
    <t>Студент_031</t>
  </si>
  <si>
    <t>student_031@example.com</t>
  </si>
  <si>
    <t>github_031</t>
  </si>
  <si>
    <t>moodle_046</t>
  </si>
  <si>
    <t>discord_031</t>
  </si>
  <si>
    <t>Студент_032</t>
  </si>
  <si>
    <t>student_032@example.com</t>
  </si>
  <si>
    <t>github_032</t>
  </si>
  <si>
    <t>moodle_019</t>
  </si>
  <si>
    <t>discord_032</t>
  </si>
  <si>
    <t>Студент_034</t>
  </si>
  <si>
    <t>student_034@example.com</t>
  </si>
  <si>
    <t>github_034</t>
  </si>
  <si>
    <t>moodle_034</t>
  </si>
  <si>
    <t>discord_034</t>
  </si>
  <si>
    <t>issue не создавал, 2</t>
  </si>
  <si>
    <t>Студент_042</t>
  </si>
  <si>
    <t>student_042@example.com</t>
  </si>
  <si>
    <t>github_042</t>
  </si>
  <si>
    <t>moodle_155</t>
  </si>
  <si>
    <t>discord_042</t>
  </si>
  <si>
    <t>Студент_054</t>
  </si>
  <si>
    <t>student_054@example.com</t>
  </si>
  <si>
    <t>github_054</t>
  </si>
  <si>
    <t>moodle_060</t>
  </si>
  <si>
    <t>discord_054</t>
  </si>
  <si>
    <t>Студент_062</t>
  </si>
  <si>
    <t>student_062@example.com</t>
  </si>
  <si>
    <t>github_062</t>
  </si>
  <si>
    <t>moodle_073</t>
  </si>
  <si>
    <t>discord_062</t>
  </si>
  <si>
    <t>Студент_068</t>
  </si>
  <si>
    <t>student_068@example.com</t>
  </si>
  <si>
    <t>github_068</t>
  </si>
  <si>
    <t>moodle_011</t>
  </si>
  <si>
    <t>discord_068</t>
  </si>
  <si>
    <t>2, 3</t>
  </si>
  <si>
    <t>Студент_073</t>
  </si>
  <si>
    <t>student_073@example.com</t>
  </si>
  <si>
    <t>github_073</t>
  </si>
  <si>
    <t>moodle_017</t>
  </si>
  <si>
    <t>discord_073</t>
  </si>
  <si>
    <t>Студент_077</t>
  </si>
  <si>
    <t>student_077@example.com</t>
  </si>
  <si>
    <t>github_077</t>
  </si>
  <si>
    <t>moodle_105</t>
  </si>
  <si>
    <t>discord_077</t>
  </si>
  <si>
    <t>Студент_081</t>
  </si>
  <si>
    <t>student_081@example.com</t>
  </si>
  <si>
    <t>github_081</t>
  </si>
  <si>
    <t>moodle_108</t>
  </si>
  <si>
    <t>discord_081</t>
  </si>
  <si>
    <t>Студент_084</t>
  </si>
  <si>
    <t>student_084@example.com</t>
  </si>
  <si>
    <t>github_084</t>
  </si>
  <si>
    <t>moodle_036</t>
  </si>
  <si>
    <t>discord_084</t>
  </si>
  <si>
    <t>Студент_088</t>
  </si>
  <si>
    <t>student_088@example.com</t>
  </si>
  <si>
    <t>github_088</t>
  </si>
  <si>
    <t>moodle_121</t>
  </si>
  <si>
    <t>discord_088</t>
  </si>
  <si>
    <t>Студент_105</t>
  </si>
  <si>
    <t>student_105@example.com</t>
  </si>
  <si>
    <t>github_105</t>
  </si>
  <si>
    <t>moodle_158</t>
  </si>
  <si>
    <t>discord_105</t>
  </si>
  <si>
    <t>Студент_126</t>
  </si>
  <si>
    <t>student_126@example.com</t>
  </si>
  <si>
    <t>github_126</t>
  </si>
  <si>
    <t>moodle_144</t>
  </si>
  <si>
    <t>discord_126</t>
  </si>
  <si>
    <t>Студент_130</t>
  </si>
  <si>
    <t>student_130@example.com</t>
  </si>
  <si>
    <t>github_130</t>
  </si>
  <si>
    <t>moodle_018</t>
  </si>
  <si>
    <t>discord_130</t>
  </si>
  <si>
    <t>Студент_136</t>
  </si>
  <si>
    <t>student_136@example.com</t>
  </si>
  <si>
    <t>github_136</t>
  </si>
  <si>
    <t>discord_136</t>
  </si>
  <si>
    <t>Студент_120</t>
  </si>
  <si>
    <t>student_120@example.com</t>
  </si>
  <si>
    <t>github_120</t>
  </si>
  <si>
    <t>moodle_151</t>
  </si>
  <si>
    <t>discord_120</t>
  </si>
  <si>
    <t>3, 2</t>
  </si>
  <si>
    <t>Студент_043</t>
  </si>
  <si>
    <t>student_043@example.com</t>
  </si>
  <si>
    <t>github_043</t>
  </si>
  <si>
    <t>moodle_076</t>
  </si>
  <si>
    <t>discord_043</t>
  </si>
  <si>
    <t>Студент_107</t>
  </si>
  <si>
    <t>student_107@example.com</t>
  </si>
  <si>
    <t>github_107</t>
  </si>
  <si>
    <t>moodle_132</t>
  </si>
  <si>
    <t>discord_107</t>
  </si>
  <si>
    <t>Студент_033</t>
  </si>
  <si>
    <t>student_033@example.com</t>
  </si>
  <si>
    <t>github_033</t>
  </si>
  <si>
    <t>moodle_157</t>
  </si>
  <si>
    <t>discord_033</t>
  </si>
  <si>
    <t>1, 3</t>
  </si>
  <si>
    <t>21, issue не комментил</t>
  </si>
  <si>
    <t>Студент_065</t>
  </si>
  <si>
    <t>student_065@example.com</t>
  </si>
  <si>
    <t>github_065</t>
  </si>
  <si>
    <t>moodle_120</t>
  </si>
  <si>
    <t>discord_065</t>
  </si>
  <si>
    <t>Студент_125</t>
  </si>
  <si>
    <t>student_125@example.com</t>
  </si>
  <si>
    <t>github_125</t>
  </si>
  <si>
    <t>moodle_028</t>
  </si>
  <si>
    <t>discord_125</t>
  </si>
  <si>
    <t>Студент_064</t>
  </si>
  <si>
    <t>student_064@example.com</t>
  </si>
  <si>
    <t>github_064</t>
  </si>
  <si>
    <t>moodle_153</t>
  </si>
  <si>
    <t>discord_064</t>
  </si>
  <si>
    <t>Студент_110</t>
  </si>
  <si>
    <t>student_110@example.com</t>
  </si>
  <si>
    <t>github_110</t>
  </si>
  <si>
    <t>moodle_078</t>
  </si>
  <si>
    <t>discord_110</t>
  </si>
  <si>
    <t>Студент_016</t>
  </si>
  <si>
    <t>student_016@example.com</t>
  </si>
  <si>
    <t>github_016</t>
  </si>
  <si>
    <t>moodle_128</t>
  </si>
  <si>
    <t>discord_016</t>
  </si>
  <si>
    <t>4, 3</t>
  </si>
  <si>
    <t>Студент_020</t>
  </si>
  <si>
    <t>student_020@example.com</t>
  </si>
  <si>
    <t>github_020</t>
  </si>
  <si>
    <t>moodle_147</t>
  </si>
  <si>
    <t>discord_020</t>
  </si>
  <si>
    <t>6, issue не комментил</t>
  </si>
  <si>
    <t>Студент_027</t>
  </si>
  <si>
    <t>student_027@example.com</t>
  </si>
  <si>
    <t>github_027</t>
  </si>
  <si>
    <t>moodle_111</t>
  </si>
  <si>
    <t>discord_027</t>
  </si>
  <si>
    <t>Студент_028</t>
  </si>
  <si>
    <t>student_028@example.com</t>
  </si>
  <si>
    <t>github_028</t>
  </si>
  <si>
    <t>moodle_040</t>
  </si>
  <si>
    <t>discord_028</t>
  </si>
  <si>
    <t>Студент_030</t>
  </si>
  <si>
    <t>student_030@example.com</t>
  </si>
  <si>
    <t>github_030</t>
  </si>
  <si>
    <t>moodle_030</t>
  </si>
  <si>
    <t>discord_030</t>
  </si>
  <si>
    <t>Студент_070</t>
  </si>
  <si>
    <t>student_070@example.com</t>
  </si>
  <si>
    <t>github_070</t>
  </si>
  <si>
    <t>moodle_032</t>
  </si>
  <si>
    <t>discord_070</t>
  </si>
  <si>
    <t>Студент_095</t>
  </si>
  <si>
    <t>student_095@example.com</t>
  </si>
  <si>
    <t>github_095</t>
  </si>
  <si>
    <t>moodle_129</t>
  </si>
  <si>
    <t>discord_095</t>
  </si>
  <si>
    <t>5, 1</t>
  </si>
  <si>
    <t>Студент_113</t>
  </si>
  <si>
    <t>student_113@example.com</t>
  </si>
  <si>
    <t>github_113</t>
  </si>
  <si>
    <t>moodle_010</t>
  </si>
  <si>
    <t>discord_113</t>
  </si>
  <si>
    <t>Студент_040</t>
  </si>
  <si>
    <t>student_040@example.com</t>
  </si>
  <si>
    <t>github_040</t>
  </si>
  <si>
    <t>moodle_059</t>
  </si>
  <si>
    <t>discord_040</t>
  </si>
  <si>
    <t>Студент_067</t>
  </si>
  <si>
    <t>student_067@example.com</t>
  </si>
  <si>
    <t>github_067</t>
  </si>
  <si>
    <t>moodle_093</t>
  </si>
  <si>
    <t>discord_067</t>
  </si>
  <si>
    <t>Студент_012</t>
  </si>
  <si>
    <t>student_012@example.com</t>
  </si>
  <si>
    <t>github_012</t>
  </si>
  <si>
    <t>moodle_025</t>
  </si>
  <si>
    <t>discord_012</t>
  </si>
  <si>
    <t>Студент_044</t>
  </si>
  <si>
    <t>student_044@example.com</t>
  </si>
  <si>
    <t>github_044</t>
  </si>
  <si>
    <t>moodle_082</t>
  </si>
  <si>
    <t>discord_044</t>
  </si>
  <si>
    <t>Студент_052</t>
  </si>
  <si>
    <t>student_052@example.com</t>
  </si>
  <si>
    <t>github_052</t>
  </si>
  <si>
    <t>discord_052</t>
  </si>
  <si>
    <t>3, 4</t>
  </si>
  <si>
    <t>Студент_066</t>
  </si>
  <si>
    <t>student_066@example.com</t>
  </si>
  <si>
    <t>github_066</t>
  </si>
  <si>
    <t>moodle_013</t>
  </si>
  <si>
    <t>discord_066</t>
  </si>
  <si>
    <t>Студент_086</t>
  </si>
  <si>
    <t>student_086@example.com</t>
  </si>
  <si>
    <t>github_086</t>
  </si>
  <si>
    <t>moodle_086</t>
  </si>
  <si>
    <t>discord_086</t>
  </si>
  <si>
    <t>Студент_097</t>
  </si>
  <si>
    <t>student_097@example.com</t>
  </si>
  <si>
    <t>github_097</t>
  </si>
  <si>
    <t>moodle_053</t>
  </si>
  <si>
    <t>discord_097</t>
  </si>
  <si>
    <t>Студент_115</t>
  </si>
  <si>
    <t>student_115@example.com</t>
  </si>
  <si>
    <t>github_115</t>
  </si>
  <si>
    <t>moodle_152</t>
  </si>
  <si>
    <t>discord_115</t>
  </si>
  <si>
    <t>Студент_119</t>
  </si>
  <si>
    <t>student_119@example.com</t>
  </si>
  <si>
    <t>github_119</t>
  </si>
  <si>
    <t>moodle_103</t>
  </si>
  <si>
    <t>discord_119</t>
  </si>
  <si>
    <t>Студент_078</t>
  </si>
  <si>
    <t>student_078@example.com</t>
  </si>
  <si>
    <t>github_078</t>
  </si>
  <si>
    <t>moodle_106</t>
  </si>
  <si>
    <t>discord_078</t>
  </si>
  <si>
    <t>Студент_133</t>
  </si>
  <si>
    <t>student_133@example.com</t>
  </si>
  <si>
    <t>github_133</t>
  </si>
  <si>
    <t>moodle_133</t>
  </si>
  <si>
    <t>discord_133</t>
  </si>
  <si>
    <t>Студент_007</t>
  </si>
  <si>
    <t>student_007@example.com</t>
  </si>
  <si>
    <t>github_007</t>
  </si>
  <si>
    <t>moodle_007</t>
  </si>
  <si>
    <t>discord_007</t>
  </si>
  <si>
    <t>Студент_010</t>
  </si>
  <si>
    <t>student_010@example.com</t>
  </si>
  <si>
    <t>github_010</t>
  </si>
  <si>
    <t>discord_010</t>
  </si>
  <si>
    <t>Студент_041</t>
  </si>
  <si>
    <t>student_041@example.com</t>
  </si>
  <si>
    <t>github_041</t>
  </si>
  <si>
    <t>discord_041</t>
  </si>
  <si>
    <t>Студент_046</t>
  </si>
  <si>
    <t>student_046@example.com</t>
  </si>
  <si>
    <t>github_046</t>
  </si>
  <si>
    <t>moodle_079</t>
  </si>
  <si>
    <t>discord_046</t>
  </si>
  <si>
    <t>8, 7</t>
  </si>
  <si>
    <t>Студент_061</t>
  </si>
  <si>
    <t>student_061@example.com</t>
  </si>
  <si>
    <t>github_061</t>
  </si>
  <si>
    <t>moodle_061</t>
  </si>
  <si>
    <t>discord_061</t>
  </si>
  <si>
    <t>Студент_074</t>
  </si>
  <si>
    <t>student_074@example.com</t>
  </si>
  <si>
    <t>github_074</t>
  </si>
  <si>
    <t>moodle_101</t>
  </si>
  <si>
    <t>discord_074</t>
  </si>
  <si>
    <t>Студент_082</t>
  </si>
  <si>
    <t>student_082@example.com</t>
  </si>
  <si>
    <t>github_082</t>
  </si>
  <si>
    <t>moodle_097</t>
  </si>
  <si>
    <t>discord_082</t>
  </si>
  <si>
    <t>Студент_092</t>
  </si>
  <si>
    <t>student_092@example.com</t>
  </si>
  <si>
    <t>github_092</t>
  </si>
  <si>
    <t>moodle_092</t>
  </si>
  <si>
    <t>discord_092</t>
  </si>
  <si>
    <t>3, 5</t>
  </si>
  <si>
    <t>Студент_104</t>
  </si>
  <si>
    <t>student_104@example.com</t>
  </si>
  <si>
    <t>github_104</t>
  </si>
  <si>
    <t>moodle_067</t>
  </si>
  <si>
    <t>discord_104</t>
  </si>
  <si>
    <t>Студент_106</t>
  </si>
  <si>
    <t>student_106@example.com</t>
  </si>
  <si>
    <t>github_106</t>
  </si>
  <si>
    <t>moodle_043</t>
  </si>
  <si>
    <t>discord_106</t>
  </si>
  <si>
    <t>Студент_114</t>
  </si>
  <si>
    <t>student_114@example.com</t>
  </si>
  <si>
    <t>github_114</t>
  </si>
  <si>
    <t>moodle_037</t>
  </si>
  <si>
    <t>discord_114</t>
  </si>
  <si>
    <t>4, 4</t>
  </si>
  <si>
    <t>Студент_131</t>
  </si>
  <si>
    <t>student_131@example.com</t>
  </si>
  <si>
    <t>github_131</t>
  </si>
  <si>
    <t>moodle_150</t>
  </si>
  <si>
    <t>discord_131</t>
  </si>
  <si>
    <t>Студент_050</t>
  </si>
  <si>
    <t>student_050@example.com</t>
  </si>
  <si>
    <t>github_050</t>
  </si>
  <si>
    <t>moodle_081</t>
  </si>
  <si>
    <t>discord_050</t>
  </si>
  <si>
    <t>4, 1</t>
  </si>
  <si>
    <t>Студент_075</t>
  </si>
  <si>
    <t>student_075@example.com</t>
  </si>
  <si>
    <t>github_075</t>
  </si>
  <si>
    <t>discord_075</t>
  </si>
  <si>
    <t>Студент_090</t>
  </si>
  <si>
    <t>student_090@example.com</t>
  </si>
  <si>
    <t>github_090</t>
  </si>
  <si>
    <t>moodle_072</t>
  </si>
  <si>
    <t>discord_090</t>
  </si>
  <si>
    <t>Студент_109</t>
  </si>
  <si>
    <t>student_109@example.com</t>
  </si>
  <si>
    <t>github_109</t>
  </si>
  <si>
    <t>moodle_137</t>
  </si>
  <si>
    <t>discord_109</t>
  </si>
  <si>
    <t>1, 2</t>
  </si>
  <si>
    <t>Студент_134</t>
  </si>
  <si>
    <t>student_134@example.com</t>
  </si>
  <si>
    <t>github_134</t>
  </si>
  <si>
    <t>moodle_021</t>
  </si>
  <si>
    <t>discord_134</t>
  </si>
  <si>
    <t>Студент_011</t>
  </si>
  <si>
    <t>student_011@example.com</t>
  </si>
  <si>
    <t>github_011</t>
  </si>
  <si>
    <t>moodle_026</t>
  </si>
  <si>
    <t>discord_011</t>
  </si>
  <si>
    <t>Студент_101</t>
  </si>
  <si>
    <t>student_101@example.com</t>
  </si>
  <si>
    <t>github_101</t>
  </si>
  <si>
    <t>moodle_085</t>
  </si>
  <si>
    <t>discord_101</t>
  </si>
  <si>
    <t>Студент_117</t>
  </si>
  <si>
    <t>student_117@example.com</t>
  </si>
  <si>
    <t>github_117</t>
  </si>
  <si>
    <t>discord_117</t>
  </si>
  <si>
    <t>Студент_021</t>
  </si>
  <si>
    <t>student_021@example.com</t>
  </si>
  <si>
    <t>github_021</t>
  </si>
  <si>
    <t>moodle_044</t>
  </si>
  <si>
    <t>discord_021</t>
  </si>
  <si>
    <t>Студент_129</t>
  </si>
  <si>
    <t>student_129@example.com</t>
  </si>
  <si>
    <t>github_129</t>
  </si>
  <si>
    <t>discord_129</t>
  </si>
  <si>
    <t>Студент_004</t>
  </si>
  <si>
    <t>student_004@example.com</t>
  </si>
  <si>
    <t>github_004</t>
  </si>
  <si>
    <t>moodle_004</t>
  </si>
  <si>
    <t>FastTrack</t>
  </si>
  <si>
    <t>discord_004</t>
  </si>
  <si>
    <t>PR не создавал, PR не комментил</t>
  </si>
  <si>
    <t>Студент_026</t>
  </si>
  <si>
    <t>student_026@example.com</t>
  </si>
  <si>
    <t>github_026</t>
  </si>
  <si>
    <t>discord_026</t>
  </si>
  <si>
    <t>11, 5</t>
  </si>
  <si>
    <t>12, 6</t>
  </si>
  <si>
    <t>Студент_038</t>
  </si>
  <si>
    <t>student_038@example.com</t>
  </si>
  <si>
    <t>github_038</t>
  </si>
  <si>
    <t>moodle_065</t>
  </si>
  <si>
    <t>discord_038</t>
  </si>
  <si>
    <t>6, 1</t>
  </si>
  <si>
    <t>1, PR не комментил</t>
  </si>
  <si>
    <t>Студент_045</t>
  </si>
  <si>
    <t>student_045@example.com</t>
  </si>
  <si>
    <t>github_045</t>
  </si>
  <si>
    <t>moodle_027</t>
  </si>
  <si>
    <t>discord_045</t>
  </si>
  <si>
    <t>Студент_049</t>
  </si>
  <si>
    <t>student_049@example.com</t>
  </si>
  <si>
    <t>github_049</t>
  </si>
  <si>
    <t>moodle_134</t>
  </si>
  <si>
    <t>discord_049</t>
  </si>
  <si>
    <t>11, issue не комментил</t>
  </si>
  <si>
    <t>5, PR не комментил</t>
  </si>
  <si>
    <t>32, issue не комментил</t>
  </si>
  <si>
    <t>Студент_055</t>
  </si>
  <si>
    <t>student_055@example.com</t>
  </si>
  <si>
    <t>github_055</t>
  </si>
  <si>
    <t>moodle_024</t>
  </si>
  <si>
    <t>discord_055</t>
  </si>
  <si>
    <t>Студент_060</t>
  </si>
  <si>
    <t>student_060@example.com</t>
  </si>
  <si>
    <t>github_060</t>
  </si>
  <si>
    <t>moodle_089</t>
  </si>
  <si>
    <t>discord_060</t>
  </si>
  <si>
    <t>10, issue не комментил</t>
  </si>
  <si>
    <t>2, PR не комментил</t>
  </si>
  <si>
    <t>14, 2</t>
  </si>
  <si>
    <t>Студент_063</t>
  </si>
  <si>
    <t>student_063@example.com</t>
  </si>
  <si>
    <t>github_063</t>
  </si>
  <si>
    <t>moodle_063</t>
  </si>
  <si>
    <t>discord_063</t>
  </si>
  <si>
    <t>Студент_069</t>
  </si>
  <si>
    <t>student_069@example.com</t>
  </si>
  <si>
    <t>github_069</t>
  </si>
  <si>
    <t>moodle_012</t>
  </si>
  <si>
    <t>discord_069</t>
  </si>
  <si>
    <t>11, 2</t>
  </si>
  <si>
    <t>2, 4</t>
  </si>
  <si>
    <t>11, 7</t>
  </si>
  <si>
    <t>Студент_091</t>
  </si>
  <si>
    <t>student_091@example.com</t>
  </si>
  <si>
    <t>github_091</t>
  </si>
  <si>
    <t>moodle_116</t>
  </si>
  <si>
    <t>discord_091</t>
  </si>
  <si>
    <t>7, 3</t>
  </si>
  <si>
    <t>9, 11</t>
  </si>
  <si>
    <t>Студент_093</t>
  </si>
  <si>
    <t>student_093@example.com</t>
  </si>
  <si>
    <t>github_093</t>
  </si>
  <si>
    <t>moodle_041</t>
  </si>
  <si>
    <t>discord_093</t>
  </si>
  <si>
    <t>10, 5</t>
  </si>
  <si>
    <t>25, 3</t>
  </si>
  <si>
    <t>Студент_116</t>
  </si>
  <si>
    <t>student_116@example.com</t>
  </si>
  <si>
    <t>github_116</t>
  </si>
  <si>
    <t>discord_116</t>
  </si>
  <si>
    <t>Студент_121</t>
  </si>
  <si>
    <t>student_121@example.com</t>
  </si>
  <si>
    <t>github_121</t>
  </si>
  <si>
    <t>moodle_156</t>
  </si>
  <si>
    <t>discord_121</t>
  </si>
  <si>
    <t>Студент_132</t>
  </si>
  <si>
    <t>student_132@example.com</t>
  </si>
  <si>
    <t>github_132</t>
  </si>
  <si>
    <t>moodle_126</t>
  </si>
  <si>
    <t>discord_132</t>
  </si>
  <si>
    <t>15, 2</t>
  </si>
  <si>
    <t>Студент_035</t>
  </si>
  <si>
    <t>student_035@example.com</t>
  </si>
  <si>
    <t>github_035</t>
  </si>
  <si>
    <t>moodle_125</t>
  </si>
  <si>
    <t>discord_035</t>
  </si>
  <si>
    <t>Студент_083</t>
  </si>
  <si>
    <t>student_083@example.com</t>
  </si>
  <si>
    <t>github_083</t>
  </si>
  <si>
    <t>moodle_110</t>
  </si>
  <si>
    <t>discord_083</t>
  </si>
  <si>
    <t>Студент_002</t>
  </si>
  <si>
    <t>student_002@example.com</t>
  </si>
  <si>
    <t>github_002</t>
  </si>
  <si>
    <t>discord_002</t>
  </si>
  <si>
    <t>Студент_072</t>
  </si>
  <si>
    <t>student_072@example.com</t>
  </si>
  <si>
    <t>github_072</t>
  </si>
  <si>
    <t>moodle_102</t>
  </si>
  <si>
    <t>discord_072</t>
  </si>
  <si>
    <t>Студент_098</t>
  </si>
  <si>
    <t>student_098@example.com</t>
  </si>
  <si>
    <t>github_098</t>
  </si>
  <si>
    <t>moodle_149</t>
  </si>
  <si>
    <t>discord_098</t>
  </si>
  <si>
    <t>Студент_103</t>
  </si>
  <si>
    <t>student_103@example.com</t>
  </si>
  <si>
    <t>github_103</t>
  </si>
  <si>
    <t>moodle_122</t>
  </si>
  <si>
    <t>discord_103</t>
  </si>
  <si>
    <t>20, 3</t>
  </si>
  <si>
    <t>Студент_111</t>
  </si>
  <si>
    <t>student_111@example.com</t>
  </si>
  <si>
    <t>github_111</t>
  </si>
  <si>
    <t>moodle_098</t>
  </si>
  <si>
    <t>discord_111</t>
  </si>
  <si>
    <t>59, 10</t>
  </si>
  <si>
    <t>10, PR не комментил</t>
  </si>
  <si>
    <t>6, 2</t>
  </si>
  <si>
    <t>Студент_123</t>
  </si>
  <si>
    <t>student_123@example.com</t>
  </si>
  <si>
    <t>github_123</t>
  </si>
  <si>
    <t>moodle_142</t>
  </si>
  <si>
    <t>discord_123</t>
  </si>
  <si>
    <t>14, 1</t>
  </si>
  <si>
    <t>Студент_001</t>
  </si>
  <si>
    <t>student_001@example.com</t>
  </si>
  <si>
    <t>github_001</t>
  </si>
  <si>
    <t>moodle_109</t>
  </si>
  <si>
    <t>discord_001</t>
  </si>
  <si>
    <t>9, 2</t>
  </si>
  <si>
    <t>30, 1</t>
  </si>
  <si>
    <t>Студент_005</t>
  </si>
  <si>
    <t>student_005@example.com</t>
  </si>
  <si>
    <t>github_005</t>
  </si>
  <si>
    <t>moodle_005</t>
  </si>
  <si>
    <t>discord_005</t>
  </si>
  <si>
    <t>Студент_013</t>
  </si>
  <si>
    <t>student_013@example.com</t>
  </si>
  <si>
    <t>github_013</t>
  </si>
  <si>
    <t>moodle_145</t>
  </si>
  <si>
    <t>discord_013</t>
  </si>
  <si>
    <t>Студент_014</t>
  </si>
  <si>
    <t>student_014@example.com</t>
  </si>
  <si>
    <t>github_014</t>
  </si>
  <si>
    <t>moodle_143</t>
  </si>
  <si>
    <t>discord_014</t>
  </si>
  <si>
    <t>Студент_017</t>
  </si>
  <si>
    <t>student_017@example.com</t>
  </si>
  <si>
    <t>github_017</t>
  </si>
  <si>
    <t>discord_017</t>
  </si>
  <si>
    <t>Студент_037</t>
  </si>
  <si>
    <t>student_037@example.com</t>
  </si>
  <si>
    <t>github_037</t>
  </si>
  <si>
    <t>discord_037</t>
  </si>
  <si>
    <t>Студент_051</t>
  </si>
  <si>
    <t>student_051@example.com</t>
  </si>
  <si>
    <t>github_051</t>
  </si>
  <si>
    <t>moodle_077</t>
  </si>
  <si>
    <t>discord_051</t>
  </si>
  <si>
    <t>9, issue не комментил</t>
  </si>
  <si>
    <t>8, 2</t>
  </si>
  <si>
    <t>Студент_053</t>
  </si>
  <si>
    <t>student_053@example.com</t>
  </si>
  <si>
    <t>github_053</t>
  </si>
  <si>
    <t>moodle_039</t>
  </si>
  <si>
    <t>discord_053</t>
  </si>
  <si>
    <t>Студент_058</t>
  </si>
  <si>
    <t>student_058@example.com</t>
  </si>
  <si>
    <t>github_058</t>
  </si>
  <si>
    <t>moodle_008</t>
  </si>
  <si>
    <t>discord_058</t>
  </si>
  <si>
    <t>Студент_059</t>
  </si>
  <si>
    <t>student_059@example.com</t>
  </si>
  <si>
    <t>github_059</t>
  </si>
  <si>
    <t>discord_059</t>
  </si>
  <si>
    <t>Студент_071</t>
  </si>
  <si>
    <t>student_071@example.com</t>
  </si>
  <si>
    <t>github_071</t>
  </si>
  <si>
    <t>moodle_100</t>
  </si>
  <si>
    <t>discord_071</t>
  </si>
  <si>
    <t>Студент_079</t>
  </si>
  <si>
    <t>student_079@example.com</t>
  </si>
  <si>
    <t>github_079</t>
  </si>
  <si>
    <t>discord_079</t>
  </si>
  <si>
    <t>Студент_085</t>
  </si>
  <si>
    <t>student_085@example.com</t>
  </si>
  <si>
    <t>github_085</t>
  </si>
  <si>
    <t>discord_085</t>
  </si>
  <si>
    <t>Студент_089</t>
  </si>
  <si>
    <t>student_089@example.com</t>
  </si>
  <si>
    <t>github_089</t>
  </si>
  <si>
    <t>moodle_115</t>
  </si>
  <si>
    <t>discord_089</t>
  </si>
  <si>
    <t>13, 2</t>
  </si>
  <si>
    <t>10, 1</t>
  </si>
  <si>
    <t>Студент_094</t>
  </si>
  <si>
    <t>student_094@example.com</t>
  </si>
  <si>
    <t>github_094</t>
  </si>
  <si>
    <t>moodle_066</t>
  </si>
  <si>
    <t>discord_094</t>
  </si>
  <si>
    <t>7, issue не комментил</t>
  </si>
  <si>
    <t>Студент_099</t>
  </si>
  <si>
    <t>student_099@example.com</t>
  </si>
  <si>
    <t>github_099</t>
  </si>
  <si>
    <t>moodle_035</t>
  </si>
  <si>
    <t>discord_099</t>
  </si>
  <si>
    <t>23, 4</t>
  </si>
  <si>
    <t>Студент_102</t>
  </si>
  <si>
    <t>student_102@example.com</t>
  </si>
  <si>
    <t>github_102</t>
  </si>
  <si>
    <t>discord_102</t>
  </si>
  <si>
    <t>14, 8</t>
  </si>
  <si>
    <t>17, 10</t>
  </si>
  <si>
    <t>Студент_127</t>
  </si>
  <si>
    <t>student_127@example.com</t>
  </si>
  <si>
    <t>github_127</t>
  </si>
  <si>
    <t>moodle_127</t>
  </si>
  <si>
    <t>discord_127</t>
  </si>
  <si>
    <t>Студент_025</t>
  </si>
  <si>
    <t>student_025@example.com</t>
  </si>
  <si>
    <t>github_025</t>
  </si>
  <si>
    <t>Отлично</t>
  </si>
  <si>
    <t>Заказчик</t>
  </si>
  <si>
    <t>Название проекта</t>
  </si>
  <si>
    <t>Репозиторий</t>
  </si>
  <si>
    <t>Количество магистров</t>
  </si>
  <si>
    <t>Количество бакалавров</t>
  </si>
  <si>
    <t>Есть документация в вики / в теле репо</t>
  </si>
  <si>
    <t>Созданы задачи</t>
  </si>
  <si>
    <t>Количество бакалавров с проблемами (гит, дискорд, ...)</t>
  </si>
  <si>
    <t>Подробная постановка задачи 0-1</t>
  </si>
  <si>
    <t>Требования (собраны и проанализированы) 0-1</t>
  </si>
  <si>
    <t>Макет и UC (смотрим относительно темы проекта - не везде нужен большой макет) 0-1</t>
  </si>
  <si>
    <t>Созданы задачи на итерацию №2, 0-1</t>
  </si>
  <si>
    <t>Активность бакалавров, 0-1</t>
  </si>
  <si>
    <t>Баллы проекту за итерацию (0-4 балла)</t>
  </si>
  <si>
    <t>Комментарии на конец итерации</t>
  </si>
  <si>
    <t>Есть явные итоговые материалы по итерации - презентация, инструкция, скринкаст, ссылки в README (0 - ничего нет, 4 - есть все)</t>
  </si>
  <si>
    <t>Инструкция ( 0 отсутствует, 1 есть но не рабочая полностью, 2 с напильником завелось, 3 полностью рабочая)</t>
  </si>
  <si>
    <t>В инструкции указано, как проверить, что все ок, (0 - не указано, 1 - указано)</t>
  </si>
  <si>
    <t>Есть ли докер / докер компоуз? (0 - нет, 1 - есть)</t>
  </si>
  <si>
    <t>В презентации описан план на сл. итерацию 0-1</t>
  </si>
  <si>
    <t>Созданы задачи на итерацию №3, ( 0 нет задач, 1 есть недекомпозированные)</t>
  </si>
  <si>
    <t>Сколько PR создано в итерацию</t>
  </si>
  <si>
    <t>Сколько PR смержено в итерацию</t>
  </si>
  <si>
    <t>Есть новая информация на вики (количество измененных страниц)</t>
  </si>
  <si>
    <t>Активность бакалавров (0 есть недогруженные (= не делали коммиты/pr), 1 все заняты)</t>
  </si>
  <si>
    <t>Магическое число от преподавателей и заказчиков</t>
  </si>
  <si>
    <t>Для оценки магистра (0-4)</t>
  </si>
  <si>
    <t>Комментарий по итогам итерации</t>
  </si>
  <si>
    <t>Системный столбец
Количество коммитов</t>
  </si>
  <si>
    <t>Наличие тестов в базовом виде ( 0 - нет или нерабочие, 1- есть и рабочие)</t>
  </si>
  <si>
    <t>Созданы задачи на итерацию №4, ( 0 нет задач, 1 есть недекомпозированные)</t>
  </si>
  <si>
    <t>Для оценки магистра (0-5)</t>
  </si>
  <si>
    <t>Наличие тестов ( 0 - нет или нерабочие, 1- есть и рабочие)</t>
  </si>
  <si>
    <t>Бонус за протоколы, штук (если больше 7, то указываю 7)</t>
  </si>
  <si>
    <t>Бонус за очень хорошие Тесты (0 - нет, 10 - есть бонус)</t>
  </si>
  <si>
    <t>Заказчик_3</t>
  </si>
  <si>
    <t>Очередь для coderunner</t>
  </si>
  <si>
    <t>+</t>
  </si>
  <si>
    <t>нет задач на следующую итерацию</t>
  </si>
  <si>
    <t>- нет скринкаста демонстрации работы
- docker: максимально плохая работа с Dockerfile и image-слоями
- тесты: проверяют скорее работу jobe, чем прослойки (+ выглядят как копия тестов jobe)
- общее впечатление - слабый результат для 2й итерации: проект не делает ничего, кроме re-post запроса (несмотря на нагруженный деплой всего)</t>
  </si>
  <si>
    <t>- не нашел скринкат
- для запуска N однообразных контейнеров можно попробовать https://docs.docker.com/compose/compose-file/deploy/#replicas
- задача 3.5 задачи на итерацию, часть из них с неясным результатом
- данные авторизации и другие параметры (особенно дублируемые) в docker-compose.yml лучше вынести в .env</t>
  </si>
  <si>
    <t>- скринкаста нет</t>
  </si>
  <si>
    <t>Заказчик_5</t>
  </si>
  <si>
    <t>Подсчитыватель студентов на паре</t>
  </si>
  <si>
    <t>0 закрытых задач 1й итерации, нет задач на следующую итерацию</t>
  </si>
  <si>
    <t>- нет скринкаста, нет презентации, нет ссылок в readme
- нет инструкции, как проверить, что всё ок
- python: не все зависимости имеют версии</t>
  </si>
  <si>
    <t xml:space="preserve">- презентации/скринкаста/инструкции, как проверить, что всё ок - нет
</t>
  </si>
  <si>
    <t>- ничего об итогах итерации</t>
  </si>
  <si>
    <t>Сбор клиентской активности в moodle</t>
  </si>
  <si>
    <t>- docker: не совсем понятная работа с stage build; кажется, для итогового использования проекта необходимо завести отдельный compose (для запуска только системы, поскольку поднятие moodle и зависимостей - больше для разработки)
- python: не все зависимости имеют версии
- скринкаст хороший, однако проект выглядит болванкой с несколькими роутами (по коду проекта и существующим файлам) - слабый результат для 2й итерации</t>
  </si>
  <si>
    <t>- данные авторизации и другие параметры (особенно дублируемые) в docker-compose.yml лучше вынести в .env</t>
  </si>
  <si>
    <t>- ссылка на вики по итерации 4 ведет на 2, но я смог...</t>
  </si>
  <si>
    <t>Телеграм-бот для напоминаний преподавателям о новых записях в таблице</t>
  </si>
  <si>
    <t>нет значимых задач на следующую итерацию</t>
  </si>
  <si>
    <t>- инструкция по запуску проект скорее многостраничная инструкция по получению токенов, с коротким шагом docker-compose (при этом как проверить работу проекта не ясно)
- нет инструкции для проверки, что всё ок
- docker: вместо установки nginx в пустой образ ОС стоит использовать уже готовый (https://hub.docker.com/_/nginx) - это упростит и сборку, и сам образ
- python: не все зависимости имеют версии, часть устанавливается через файл с зависимостями, часть напрямую</t>
  </si>
  <si>
    <t>Заказчик_2</t>
  </si>
  <si>
    <t>Задания по дисциплине “Компьютерное зрение в нейронных сетях”</t>
  </si>
  <si>
    <t>0 закрытых задач 1й итерации</t>
  </si>
  <si>
    <t>- В презентации описаны результаты 1й итерации (или всё же второй?)
- Инструкция по запуску - ни о чём, отсутствуют шаги для установки необходимых зависимостей и пакетов (act, gh и т.д.)
- Нет инструкции по проверке, что всё ок
- Репозиторий весом 371.41 MiB - не ок (для хранения датасетов используются другие сервисы)
- docker-compose и почему не засчитан: не упоминается в инструкции (не нужен вовсе?), нет Dockerfile, в docker-compose происходит только установка python-зависимостей (как CMD контейнера)</t>
  </si>
  <si>
    <t>Кафедральный ассистент</t>
  </si>
  <si>
    <t>нет разделения задач по итерациям (label/milestone), нет значимых задач на следующую итерацию</t>
  </si>
  <si>
    <t>- docker: часть образов без версий (или тегов с версиями), использование sudo с докер не рекомендовано
- никаких задач на 3ю итерацию (и есть даже не закрытые со 2й)
- нет инструкции по проверке, что всё ок</t>
  </si>
  <si>
    <t>- скринкаста - нет
- ридми - скорее пуст, чем что-то имеет
- инструкция по запуску докера / проверки портов - не инструкция проверки работы системы</t>
  </si>
  <si>
    <t>- ридми ничего не знает об итерации 4</t>
  </si>
  <si>
    <t>Заказчик_1</t>
  </si>
  <si>
    <t>Мониторинг потребления ресурсов при сборке образа системы в Yocto</t>
  </si>
  <si>
    <t>-</t>
  </si>
  <si>
    <t>0 закрытых задач / вмерженных PR по итогам итерации, нет вики на видном месте</t>
  </si>
  <si>
    <t>- нет инструкции как проверить, что всё ок
- планы на следующую итерацию не декомпозированы - 3 пункта на 4 бакалавра (как и задачи на прошедшую итерацию - там их всего 2)
- docker: работа с docker на уровне ужаса - сборка образа, чтобы запустить контейнер, в котором ещё что-то будет собираться, чтобы дождаться остановки контейнера, чтобы потом заново его запустить (а при перезапуске докера / компьютера - потерять и контейнер, и всю сборку - docker создан точно не для такого) в добавок к длительной сборкой
- не собирается, если для полученных из uname данных нет linux-tools</t>
  </si>
  <si>
    <t xml:space="preserve">- презентации/скринкаста - нет
</t>
  </si>
  <si>
    <t>Заказчик_6</t>
  </si>
  <si>
    <t>Платформа исследования генераторов</t>
  </si>
  <si>
    <t>ок</t>
  </si>
  <si>
    <t>- в инструкции нет команд для установки необходимых зависимостей (npm, java)
- нет инструкции для проверки, что всё ок
- настоятельно рекомендуется использовать docker-compose в том числе и для front/back</t>
  </si>
  <si>
    <t>Классификация условий задач</t>
  </si>
  <si>
    <t xml:space="preserve">Нет задач (issues) на итерацию 2
Задачи на 2 итерацию из презентации - явно не указано, будет ли это все работать вместе :) </t>
  </si>
  <si>
    <t xml:space="preserve">Инструкция очень лакончиная и не учитывает особенностей в окружении заказчика (как нужен nodejs | make ...)
Запуск фронтенда сломался (sh: 1: vite: not found) - почему бы его не включить в общий dockercompose? Обычно в корне проекта делают общий docker-compose, который все поднимает
В инструкции не сказано, а как проверить, что все поднялось правильно
Не понятно, как будет улучшено качество классификации?
Не все задачи показаны на скринкасте </t>
  </si>
  <si>
    <t>Нет инструкции по запуску тестов, сами тесты не упомянуты в результатах проекта</t>
  </si>
  <si>
    <t>Тесты не подключены в actions
Мало конструктивных задач на будущее, нет задач на дальнейшее в issues</t>
  </si>
  <si>
    <t>Генератор условий задач</t>
  </si>
  <si>
    <t>Нет задач (issues) на итерацию 2
Задачи на 2 итерацию из презентации - мало деталей (а что именно будет в этом прототипе?)
Рекомендуется использовать такой формат документации, чтобы его можно было смотреть прямо в браузере - docx такое не позволяет, поэтому за счет этого уменьшается автобусный фактор (чуть чуть - но уменьшается)
"Освоение технологии" это задача потенциально невыполнимая (готовы ли мы платить команде за то что они "осваивают технологию" или нам все таки нужен некий результат этого освоения?)</t>
  </si>
  <si>
    <t>В README не указаны ссылки на презентацию и скринкаст. ПРезентацию я нашел в репо, а скринкаста нет. Но для заказчика такая ситуация эквивалентна отсутствию материалов - им (заказчикам) не интересно за вас додумывать и искать материалы
В инструкции очень витеиватый формат, вместо конкретных действий и команд. Смысл инструкции в том, чтобы заказчик не думал вообще при ее выполнении. У вас нужно о многом догадыватся (Наприммер, о том, что необхъодимо сменить каталог)
Задача "дописать функционал" максимально некорректная (не понятно, она достижима и если да - какой ее осязаемый результат?)
Какой результат задачи "базовые тесты")
Задачи на сл. итерацию не созданы</t>
  </si>
  <si>
    <t xml:space="preserve">Задачи на 4 итерацию не созданы по отдельности 
У последних трех задач в плане неизмеримый результат 
В README нет ссылок на материалы итерации
В инструкции есть частично информация о том, как приложение должно работать (== как проверить что все ок), но нет подобной информации для этапа сборки
В инструкции нужны примеры входных данных
</t>
  </si>
  <si>
    <t>Все так же нет ссылок в readme</t>
  </si>
  <si>
    <t>Заказчик_4</t>
  </si>
  <si>
    <t>Задачи по minigrid для дисциплин Программирование и АиСД</t>
  </si>
  <si>
    <t>Нет макета и сценария в явном виде
Есть ссылки на презентацию, но ее нет в репо :(
Заметки в notion не доступны для чтения
Нет задач в репо на вторую итерацию (+ не настроены milestone и  метки)</t>
  </si>
  <si>
    <t xml:space="preserve">В инструкции не понятно, какая нужна ОС и версия питона. Если у меня XP и 3.1 python, будет ли работать?
Как из инструкции понять, что все ок запустилось и настроилось?
Отладка текущего кода - недостижимая и неосязаемая задача
</t>
  </si>
  <si>
    <t xml:space="preserve">Тесты есть - это хорошо, но они не достаточно въедливые. ПРедлагаю проверять, что докер собирается и что на самом дурацком примере все запускается и не падает пару секунд
Замените монтируемый каталог на volume - так будет проще работать в дальнейшем
Вот тут https://github.com/moevm/mse1h2024-minigrid/blob/main/docker/Dockerfile#L14 можно просто указать один этот скрипт (предварительно дав ему права на исполнение). указывать два раза баш - неправильно </t>
  </si>
  <si>
    <t xml:space="preserve">ТЕесты не изменились
не хватает задач на будущее в issues </t>
  </si>
  <si>
    <t>Заказчик_9</t>
  </si>
  <si>
    <t>Запуск роя дронов Tello</t>
  </si>
  <si>
    <t xml:space="preserve">Сценарию не хватает больше деталей о том, как с системой взаимодействует пользователь (что он видит / куда нажимает и тд)
</t>
  </si>
  <si>
    <t>В dockerfile не указана версия базового образа + версии apt зависимостей
sudo не нужен
Лучше вызывать не pip , а python3.n -m pip - так не будет путаницы в версиях питона
Нет указаний в инструкции, как именно убедится, что все работает корректно
"Упростить подключение к адаптеру"  - в чем результат?
Если поставить себя на место заказчика (абстрактного) - как текущее видео поможет вам "продать" результаты за итерацию? Там есть демка с дроном - это хорошо, но кажется, что и без итерации такое видео можно было бы сделать. Из видео не очевидно, к каким фичам оно отностися (может быть в дальнейшем стоит добавить субтитры / пояснения голосом, склеить со скринкастом)</t>
  </si>
  <si>
    <t>В dockerfile не указана версия базового образа + версии apt зависимостей
Если поставить себя на место заказчика (абстрактного) - как текущее видео поможет вам "продать" результаты за итерацию? Там есть демка с дроном - это хорошо, но кажется, что и без итерации такое видео можно было бы сделать. Из видео не очевидно, к каким фичам оно отностися (может быть в дальнейшем стоит добавить субтитры / пояснения голосом, склеить со скринкастом)
К тестам нужна инструкция + автоматизация через gh action
Задачам 1 и 2 не хватает описания результата, к которому вы хотите прийти</t>
  </si>
  <si>
    <t xml:space="preserve">Не нашел скринкаста
В dockerfile не указана версия базового образа + версии apt зависимостей
</t>
  </si>
  <si>
    <t>Заказчик_10</t>
  </si>
  <si>
    <t>Автономное движение летающих дронов</t>
  </si>
  <si>
    <t>Нет задач (issues) на итерацию 2</t>
  </si>
  <si>
    <t>Молодцы, что указали версию python!
План на третью итерацию не увидел
В части инструкции не хватает деталей о том, как убедится что все работает ок</t>
  </si>
  <si>
    <t>Нет ссылки на презентацию (И самой презентации)
Тесты есть, но кажетися, что из них можно вынести в скрипты команды по установке зависимостей
Если поставить себя на место заказчика (абстрактного) - как текущее видео поможет вам "продать" результаты за итерацию? Там есть демка с дроном - это хорошо, но кажется, что и без итерации такое видео можно было бы сделать. Из видео не очевидно, к каким фичам оно отностися (может быть в дальнейшем стоит добавить субтитры / пояснения голосом, склеить со скринкастом)</t>
  </si>
  <si>
    <t xml:space="preserve">В инструкции https://github.com/moevm/mse1h2024-drones/blob/main/wiki/simulation.md не хватает данных о том, что в корректном случае увидит пользователь 
</t>
  </si>
  <si>
    <t>Заказчик_7</t>
  </si>
  <si>
    <t>Мастер пошаговой настройки батарейных тепловычислителей</t>
  </si>
  <si>
    <t>Я подозреваю, что часть задач без итерации это задачи на итерацию 2.</t>
  </si>
  <si>
    <t>Инстркуция очень неконкретная - какой нужен nodejs | dotnet? Какая нужна ОС ? Загадки
"Переработка интерфейса" недостижимая и не измеримая задача
В инструкции нет информации о том, как проверить, что все ок запустилось / собралось
В репо только одна задача на третью итерацию</t>
  </si>
  <si>
    <t>В docker-compose не выставляйте 80 порт , используйте порт больше 1024 (например 8080)
Нет скринкаста
В инструкции нет указания на то, как убедится, что все ок
По тестам - 1) кажется, можно было бы переиспользовать корневой docker-compose 2) вынесите имя хоста для тестирования в параметры 3)</t>
  </si>
  <si>
    <t>В инструкции нет указания на то, как убедится, что все ок</t>
  </si>
  <si>
    <t>Генераторы заданий для лабораторных работ по ОргЭВМ</t>
  </si>
  <si>
    <t>Я подозреваю, что  задачи без итерации это задачи на итерацию 2.
Задачи на анализ лаб имеют потенциально не совсем наблюдаемый / отчуждаемый результат - предлагаю заострить, что полезное для проекта (что можно сразу в ход пустить) получится в итоге</t>
  </si>
  <si>
    <t>В readme нет ссылок на материалы
Пункты плана  "Завершение..." и "ПРодолжение ..." это неосязаемый и не достигаемый результат
В инструкции нужна конкретика - что именно нужно выбрать в качестве примера, куда нажать и тд. Желательно эти указания сопровождать примерами конкретных команд
Также в инструкции нет четких указаний, как убедится, что все ок (кроме фразы "Наслаждайтесь результатом")
В инструкции не сказано про установку зависимостей</t>
  </si>
  <si>
    <t>Замечания остаются полностью актуальными с прошлой итерации. 
"Подготовка проверки вывода данных работы 7 и ее аналогов" - из этой формулировки не понятен результат
По формулировкам не понятно, чем отличаются 1 и 3 задачи на 4 итерацию
Как будто бы в wrapper_test должны быть тесты, но без инструкции просто по исходникам я так и не понял, что они проверяют</t>
  </si>
  <si>
    <t>Не нашел результатов итерации, кроме описания в README</t>
  </si>
  <si>
    <t>Подготовка образа системы для LicheePi4A с помощью Yocto Project</t>
  </si>
  <si>
    <t>Задачи "собрать ..." имеют довольно спорный результат в контексте человека, который был бы рад заплатить вам деньги. Какой у них наблюдаемый и отчуждаемый результат?</t>
  </si>
  <si>
    <t>В инструкции нет указаний, как убедится, что все ок; не указаны версии пакетов и утилит</t>
  </si>
  <si>
    <t>Смотрю в инструкцию (https://github.com/moevm/mse1h2024-licheepi4a-sdk/blob/main/README.md), но все еще не могу понять, где раздел, который бы описывал, как понять, что все ок (ожидаемый результат по окончанию инструкции и/или по итогу отдельных шагов)</t>
  </si>
  <si>
    <t>Интеграция Ripes с Moodle по протоколу LTI</t>
  </si>
  <si>
    <t>нет задач 1й итерации</t>
  </si>
  <si>
    <t>0 информации о проекте (ни в readme, ни на вики, ни какой-либо презентации)
- Отсутствуют явные итоговые материалы по итерации - презентация, инструкция, скринкаст, ссылки в README
- Как/кого запустить, как проверить? (кроме настройки External Tools в moodle)</t>
  </si>
  <si>
    <t>- отсутствует часть явных материалов по итерации, инструкция, что всё ок
- на итерацию 4 - 4 задачи, созданные в марте</t>
  </si>
  <si>
    <t>Заказчик_8</t>
  </si>
  <si>
    <t>Автоматизация проверки clock drawing test (cdt) cv</t>
  </si>
  <si>
    <t>Я подозреваю, что  задачи без итерации это задачи на итерацию 2.
Задачи "изучение ..." имеют потенциально не очень наблюдаемый и отчуждаемый результат.
В целом, плана на вторую итерацию довольно небольшой - задайте себе вопрос, а вы отдали из своего кармана 6 зарплат за месяц по такому плану?</t>
  </si>
  <si>
    <t>В инструкции нет указаний, как убедится, что все ок
В инструкции не указано, как в целом пользоваться (что нужно открыть браузер, куда-то перейти и тд)
Не хватает примеров кривых косых картинок для теста
В compose - не нужно монтировать каталоги (лучшге используйте volume или скопируйте содержимое каталогов на этапе сборки)
Порт СУБД открывать не нужно</t>
  </si>
  <si>
    <t xml:space="preserve">В плане на сл итерацию для каждой из задач непонятен конечный результат (что в итоге осязаемое вы получите?)
Созданные задачи (с меткой итерации 4) не полностью мапятся на план из презентации
https://github.com/moevm/mse1h2024-clock-cv/issues/72 вызывает массу вопросов, как по результату (что будет результатом), так и по достижимости (как понять, что она готова?) и по возможности ее кому-то передать
В compose - не нужно монтировать каталоги (лучшге используйте volume или скопируйте содержимое каталогов на этапе сборки)
Порт СУБД открывать не нужно
Не хватает примеров кривых косых картинок для теста
</t>
  </si>
  <si>
    <t>Автоматизация проверки clock drawing test (cdt) ml</t>
  </si>
  <si>
    <t>Подозреваю, что задачи с итерацией 1 переходят в итерацию 2</t>
  </si>
  <si>
    <t>В инструкции нет указаний, как убедится, что все ок
В инструкции не указано, как в целом пользоваться (что нужно открыть браузер, куда-то перейти и тд
Dockerfile - указывайте все версии всех используемых образов (latest указывать не стоит)
Не используйте порты &lt;1024
Задачи на 3 итерацию очень схематичные и как будто бы совсем-совсем не декомпозированы
Нет скринкаста</t>
  </si>
  <si>
    <t>Нет ссылок на скринкаст в README + нет доступа к нему
Старые замечания никуда не делись:
В инструкции нет указаний, как убедится, что все ок
В инструкции не указано, как в целом пользоваться (что нужно открыть браузер, куда-то перейти и тд
Dockerfile - указывайте все версии всех используемых образов (latest указывать не стоит)
Не используйте порты &lt;1024</t>
  </si>
  <si>
    <t>Старые замечания никуда не делись:
Dockerfile - указывайте все версии всех используемых образов (latest указывать не стоит)
Не используйте порты &lt;1024</t>
  </si>
  <si>
    <t>fullname</t>
  </si>
  <si>
    <t>username</t>
  </si>
  <si>
    <t>last_access</t>
  </si>
  <si>
    <t>total</t>
  </si>
  <si>
    <t>Общие правила работы проектами. Тест (id=118)</t>
  </si>
  <si>
    <t>Планирование календаря. Тест (id=119)</t>
  </si>
  <si>
    <t>Коммуникация по проекту. Тест (id=120)</t>
  </si>
  <si>
    <t>Работа с задачами. Тест (id=121)</t>
  </si>
  <si>
    <t>Студент_139</t>
  </si>
  <si>
    <t>moodle_139</t>
  </si>
  <si>
    <t>student_139@example.com</t>
  </si>
  <si>
    <t>github_139</t>
  </si>
  <si>
    <t>0.0</t>
  </si>
  <si>
    <t>moodle_047</t>
  </si>
  <si>
    <t>40.0</t>
  </si>
  <si>
    <t>10.0</t>
  </si>
  <si>
    <t>moodle_096</t>
  </si>
  <si>
    <t>Студент_148</t>
  </si>
  <si>
    <t>student_148@example.com</t>
  </si>
  <si>
    <t>github_148</t>
  </si>
  <si>
    <t>moodle_090</t>
  </si>
  <si>
    <t>moodle_048</t>
  </si>
  <si>
    <t>Студент_145</t>
  </si>
  <si>
    <t>student_145@example.com</t>
  </si>
  <si>
    <t>github_145</t>
  </si>
  <si>
    <t>Студент_143</t>
  </si>
  <si>
    <t>student_143@example.com</t>
  </si>
  <si>
    <t>github_143</t>
  </si>
  <si>
    <t>moodle_104</t>
  </si>
  <si>
    <t>moodle_029</t>
  </si>
  <si>
    <t>moodle_130</t>
  </si>
  <si>
    <t>Студент_157</t>
  </si>
  <si>
    <t>student_157@example.com</t>
  </si>
  <si>
    <t>github_157</t>
  </si>
  <si>
    <t>moodle_003</t>
  </si>
  <si>
    <t>moodle_068</t>
  </si>
  <si>
    <t>Студент_155</t>
  </si>
  <si>
    <t>student_155@example.com</t>
  </si>
  <si>
    <t>github_155</t>
  </si>
  <si>
    <t>moodle_058</t>
  </si>
  <si>
    <t>38.37</t>
  </si>
  <si>
    <t>9.79</t>
  </si>
  <si>
    <t>8.58</t>
  </si>
  <si>
    <t>moodle_119</t>
  </si>
  <si>
    <t>moodle_069</t>
  </si>
  <si>
    <t>Студент_146</t>
  </si>
  <si>
    <t>moodle_146</t>
  </si>
  <si>
    <t>student_146@example.com</t>
  </si>
  <si>
    <t>github_146</t>
  </si>
  <si>
    <t>Студент_153</t>
  </si>
  <si>
    <t>student_153@example.com</t>
  </si>
  <si>
    <t>github_153</t>
  </si>
  <si>
    <t>moodle_099</t>
  </si>
  <si>
    <t>39.61</t>
  </si>
  <si>
    <t>9.61</t>
  </si>
  <si>
    <t>moodle_080</t>
  </si>
  <si>
    <t>38.0</t>
  </si>
  <si>
    <t>8.0</t>
  </si>
  <si>
    <t>Студент_154</t>
  </si>
  <si>
    <t>student_154@example.com</t>
  </si>
  <si>
    <t>github_154</t>
  </si>
  <si>
    <t>moodle_045</t>
  </si>
  <si>
    <t>moodle_031</t>
  </si>
  <si>
    <t>moodle_083</t>
  </si>
  <si>
    <t>moodle_095</t>
  </si>
  <si>
    <t>29.96</t>
  </si>
  <si>
    <t>9.96</t>
  </si>
  <si>
    <t>moodle_135</t>
  </si>
  <si>
    <t>30.0</t>
  </si>
  <si>
    <t>moodle_015</t>
  </si>
  <si>
    <t>39.79</t>
  </si>
  <si>
    <t>Студент_149</t>
  </si>
  <si>
    <t>student_149@example.com</t>
  </si>
  <si>
    <t>github_149</t>
  </si>
  <si>
    <t>moodle_124</t>
  </si>
  <si>
    <t>moodle_064</t>
  </si>
  <si>
    <t>Студент_137</t>
  </si>
  <si>
    <t>student_137@example.com</t>
  </si>
  <si>
    <t>github_137</t>
  </si>
  <si>
    <t>Студент_140</t>
  </si>
  <si>
    <t>moodle_140</t>
  </si>
  <si>
    <t>student_140@example.com</t>
  </si>
  <si>
    <t>github_140</t>
  </si>
  <si>
    <t>Студент_141</t>
  </si>
  <si>
    <t>student_141@example.com</t>
  </si>
  <si>
    <t>github_141</t>
  </si>
  <si>
    <t>Студент_152</t>
  </si>
  <si>
    <t>student_152@example.com</t>
  </si>
  <si>
    <t>github_152</t>
  </si>
  <si>
    <t>moodle_056</t>
  </si>
  <si>
    <t>moodle_009</t>
  </si>
  <si>
    <t>Студент_156</t>
  </si>
  <si>
    <t>student_156@example.com</t>
  </si>
  <si>
    <t>github_156</t>
  </si>
  <si>
    <t>39.6</t>
  </si>
  <si>
    <t>9.75</t>
  </si>
  <si>
    <t>9.85</t>
  </si>
  <si>
    <t>Студент_142</t>
  </si>
  <si>
    <t>student_142@example.com</t>
  </si>
  <si>
    <t>github_142</t>
  </si>
  <si>
    <t>Студент_144</t>
  </si>
  <si>
    <t>student_144@example.com</t>
  </si>
  <si>
    <t>github_144</t>
  </si>
  <si>
    <t>Студент_150</t>
  </si>
  <si>
    <t>student_150@example.com</t>
  </si>
  <si>
    <t>github_150</t>
  </si>
  <si>
    <t>moodle_050</t>
  </si>
  <si>
    <t>Студент_138</t>
  </si>
  <si>
    <t>moodle_138</t>
  </si>
  <si>
    <t>student_138@example.com</t>
  </si>
  <si>
    <t>github_138</t>
  </si>
  <si>
    <t>README!</t>
  </si>
  <si>
    <t>Тестирование bsc</t>
  </si>
  <si>
    <t>Тестирование msc</t>
  </si>
  <si>
    <t>20.00</t>
  </si>
  <si>
    <t>10.00</t>
  </si>
  <si>
    <t>19.78</t>
  </si>
  <si>
    <t>9.78</t>
  </si>
  <si>
    <t>19.50</t>
  </si>
  <si>
    <t>9.50</t>
  </si>
  <si>
    <t>18.00</t>
  </si>
  <si>
    <t>8.00</t>
  </si>
  <si>
    <t>19.00</t>
  </si>
  <si>
    <t>9.00</t>
  </si>
  <si>
    <t>template_1</t>
  </si>
  <si>
    <t>template_2</t>
  </si>
  <si>
    <t>template_3</t>
  </si>
  <si>
    <t>template_4</t>
  </si>
  <si>
    <t>template_5</t>
  </si>
  <si>
    <t>template_6</t>
  </si>
  <si>
    <t>template_7</t>
  </si>
  <si>
    <t>template_8</t>
  </si>
  <si>
    <t>template_9</t>
  </si>
  <si>
    <t>template_10</t>
  </si>
  <si>
    <t>template_11</t>
  </si>
  <si>
    <t>template_12</t>
  </si>
  <si>
    <t>template_13</t>
  </si>
  <si>
    <t>template_14</t>
  </si>
  <si>
    <t>template_15</t>
  </si>
  <si>
    <t>template_16</t>
  </si>
  <si>
    <t>template_17</t>
  </si>
  <si>
    <t>template_18</t>
  </si>
  <si>
    <t>template_19</t>
  </si>
  <si>
    <t>template_20</t>
  </si>
  <si>
    <t>template_21</t>
  </si>
  <si>
    <t>template_22</t>
  </si>
  <si>
    <t>template_23</t>
  </si>
  <si>
    <t>template_24</t>
  </si>
  <si>
    <t>template_25</t>
  </si>
  <si>
    <t>template_26</t>
  </si>
  <si>
    <t>template_27</t>
  </si>
  <si>
    <t>template_28</t>
  </si>
  <si>
    <t>template_29</t>
  </si>
  <si>
    <t>template_30</t>
  </si>
  <si>
    <t>template_31</t>
  </si>
  <si>
    <t>template_32</t>
  </si>
  <si>
    <t>template_33</t>
  </si>
  <si>
    <t>template_34</t>
  </si>
  <si>
    <t>template_35</t>
  </si>
  <si>
    <t>template_36</t>
  </si>
  <si>
    <t>template_37</t>
  </si>
  <si>
    <t>template_38</t>
  </si>
  <si>
    <t>template_39</t>
  </si>
  <si>
    <t>template_40</t>
  </si>
  <si>
    <t>template_41</t>
  </si>
  <si>
    <t>template_42</t>
  </si>
  <si>
    <t>template_43</t>
  </si>
  <si>
    <t>template_44</t>
  </si>
  <si>
    <t>template_45</t>
  </si>
  <si>
    <t>template_46</t>
  </si>
  <si>
    <t>template_47</t>
  </si>
  <si>
    <t>template_48</t>
  </si>
  <si>
    <t>template_49</t>
  </si>
  <si>
    <t>template_50</t>
  </si>
  <si>
    <t>template_51</t>
  </si>
  <si>
    <t>template_52</t>
  </si>
  <si>
    <t>template_53</t>
  </si>
  <si>
    <t>template_54</t>
  </si>
  <si>
    <t>template_55</t>
  </si>
  <si>
    <t>template_56</t>
  </si>
  <si>
    <t>template_57</t>
  </si>
  <si>
    <t>template_58</t>
  </si>
  <si>
    <t>template_59</t>
  </si>
  <si>
    <t>template_60</t>
  </si>
  <si>
    <t>template_61</t>
  </si>
  <si>
    <t>template_62</t>
  </si>
  <si>
    <t>template_63</t>
  </si>
  <si>
    <t>template_64</t>
  </si>
  <si>
    <t>template_65</t>
  </si>
  <si>
    <t>template_66</t>
  </si>
  <si>
    <t>template_67</t>
  </si>
  <si>
    <t>template_68</t>
  </si>
  <si>
    <t>template_69</t>
  </si>
  <si>
    <t>template_70</t>
  </si>
  <si>
    <t>template_71</t>
  </si>
  <si>
    <t>template_72</t>
  </si>
  <si>
    <t>template_73</t>
  </si>
  <si>
    <t>template_74</t>
  </si>
  <si>
    <t>template_75</t>
  </si>
  <si>
    <t>template_76</t>
  </si>
  <si>
    <t>template_77</t>
  </si>
  <si>
    <t>template_78</t>
  </si>
  <si>
    <t>template_79</t>
  </si>
  <si>
    <t>template_80</t>
  </si>
  <si>
    <t>template_81</t>
  </si>
  <si>
    <t>template_82</t>
  </si>
  <si>
    <t>template_83</t>
  </si>
  <si>
    <t>template_84</t>
  </si>
  <si>
    <t>template_85</t>
  </si>
  <si>
    <t>template_86</t>
  </si>
  <si>
    <t>template_87</t>
  </si>
  <si>
    <t>template_88</t>
  </si>
  <si>
    <t>template_89</t>
  </si>
  <si>
    <t>template_90</t>
  </si>
  <si>
    <t>template_91</t>
  </si>
  <si>
    <t>template_92</t>
  </si>
  <si>
    <t>template_93</t>
  </si>
  <si>
    <t>template_94</t>
  </si>
  <si>
    <t>template_95</t>
  </si>
  <si>
    <t>template_96</t>
  </si>
  <si>
    <t>template_97</t>
  </si>
  <si>
    <t>template_98</t>
  </si>
  <si>
    <t>template_99</t>
  </si>
  <si>
    <t>template_100</t>
  </si>
  <si>
    <t>template_101</t>
  </si>
  <si>
    <t>template_102</t>
  </si>
  <si>
    <t>template_103</t>
  </si>
  <si>
    <t>template_104</t>
  </si>
  <si>
    <t>template_105</t>
  </si>
  <si>
    <t>template_106</t>
  </si>
  <si>
    <t>template_107</t>
  </si>
  <si>
    <t>template_108</t>
  </si>
  <si>
    <t>template_109</t>
  </si>
  <si>
    <t>template_110</t>
  </si>
  <si>
    <t>template_111</t>
  </si>
  <si>
    <t>template_112</t>
  </si>
  <si>
    <t>template_113</t>
  </si>
  <si>
    <t>template_114</t>
  </si>
  <si>
    <t>template_115</t>
  </si>
  <si>
    <t>template_116</t>
  </si>
  <si>
    <t>template_117</t>
  </si>
  <si>
    <t>template_118</t>
  </si>
  <si>
    <t>template_119</t>
  </si>
  <si>
    <t>template_120</t>
  </si>
  <si>
    <t>template_121</t>
  </si>
  <si>
    <t>template_122</t>
  </si>
  <si>
    <t>template_123</t>
  </si>
  <si>
    <t>template_124</t>
  </si>
  <si>
    <t>template_125</t>
  </si>
  <si>
    <t>template_126</t>
  </si>
  <si>
    <t>template_127</t>
  </si>
  <si>
    <t>template_128</t>
  </si>
  <si>
    <t>template_129</t>
  </si>
  <si>
    <t>template_130</t>
  </si>
  <si>
    <t>template_131</t>
  </si>
  <si>
    <t>template_132</t>
  </si>
  <si>
    <t>template_133</t>
  </si>
  <si>
    <t>template_134</t>
  </si>
  <si>
    <t>template_135</t>
  </si>
  <si>
    <t>template_136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</si>
</sst>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17">
    <font>
      <sz val="10"/>
      <color rgb="FF000000"/>
      <name val="Arial"/>
      <charset val="1"/>
    </font>
    <font>
      <b/>
      <sz val="8"/>
      <color theme="1"/>
      <name val="Arial"/>
      <charset val="1"/>
    </font>
    <font>
      <sz val="8"/>
      <color theme="1"/>
      <name val="Arial"/>
      <charset val="1"/>
    </font>
    <font>
      <sz val="8"/>
      <color theme="1"/>
      <name val="Calibri"/>
      <charset val="1"/>
    </font>
    <font>
      <u/>
      <sz val="8"/>
      <color rgb="FF0000FF"/>
      <name val="Cambria"/>
      <charset val="1"/>
    </font>
    <font>
      <sz val="9"/>
      <color rgb="FF000000"/>
      <name val="&quot;Google Sans Mono&quot;"/>
      <charset val="1"/>
    </font>
    <font>
      <sz val="11"/>
      <color theme="1"/>
      <name val="Arial"/>
      <charset val="1"/>
    </font>
    <font>
      <strike/>
      <sz val="8"/>
      <color theme="1"/>
      <name val="Calibri"/>
      <charset val="1"/>
    </font>
    <font>
      <strike/>
      <sz val="8"/>
      <color theme="1"/>
      <name val="Arial"/>
      <charset val="1"/>
    </font>
    <font>
      <strike/>
      <sz val="11"/>
      <color theme="1"/>
      <name val="Arial"/>
      <charset val="1"/>
    </font>
    <font>
      <b/>
      <sz val="9"/>
      <color theme="1"/>
      <name val="Calibri"/>
      <charset val="1"/>
    </font>
    <font>
      <b/>
      <sz val="11"/>
      <color theme="1"/>
      <name val="Arial"/>
      <charset val="1"/>
    </font>
    <font>
      <sz val="9"/>
      <color theme="1"/>
      <name val="Calibri"/>
      <charset val="1"/>
    </font>
    <font>
      <b/>
      <sz val="8"/>
      <color rgb="FFFF0000"/>
      <name val="Arial"/>
      <charset val="1"/>
    </font>
    <font>
      <u/>
      <sz val="9"/>
      <color rgb="FF0000FF"/>
      <name val="Calibri"/>
      <charset val="1"/>
    </font>
    <font>
      <u/>
      <sz val="9"/>
      <color rgb="FF1155CC"/>
      <name val="Calibri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D9EAD3"/>
        <bgColor rgb="FFD3D3D3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/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top"/>
    </xf>
    <xf numFmtId="3" fontId="2" fillId="0" borderId="0" xfId="0" applyNumberFormat="1" applyFont="1" applyAlignment="1">
      <alignment horizontal="center"/>
    </xf>
    <xf numFmtId="0" fontId="4" fillId="0" borderId="0" xfId="0" applyFont="1" applyAlignment="1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/>
    <xf numFmtId="0" fontId="5" fillId="2" borderId="0" xfId="0" applyFont="1" applyFill="1" applyAlignment="1"/>
    <xf numFmtId="0" fontId="6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7" fillId="0" borderId="1" xfId="0" applyFont="1" applyBorder="1" applyAlignment="1">
      <alignment horizontal="left" vertical="top"/>
    </xf>
    <xf numFmtId="0" fontId="8" fillId="0" borderId="0" xfId="0" applyFont="1" applyAlignment="1"/>
    <xf numFmtId="0" fontId="8" fillId="0" borderId="0" xfId="0" applyFont="1" applyAlignment="1">
      <alignment wrapText="1"/>
    </xf>
    <xf numFmtId="0" fontId="9" fillId="0" borderId="0" xfId="0" applyFont="1" applyAlignment="1"/>
    <xf numFmtId="0" fontId="7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3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 applyAlignment="1"/>
    <xf numFmtId="3" fontId="2" fillId="0" borderId="0" xfId="0" applyNumberFormat="1" applyFont="1" applyAlignme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1" fontId="6" fillId="0" borderId="0" xfId="0" applyNumberFormat="1" applyFon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2" xfId="0" applyFont="1" applyBorder="1" applyAlignment="1">
      <alignment horizontal="center"/>
    </xf>
    <xf numFmtId="0" fontId="12" fillId="0" borderId="2" xfId="0" applyFont="1" applyBorder="1" applyAlignment="1"/>
    <xf numFmtId="0" fontId="14" fillId="0" borderId="2" xfId="0" applyFont="1" applyBorder="1" applyAlignment="1"/>
    <xf numFmtId="0" fontId="12" fillId="0" borderId="2" xfId="0" applyFont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righ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2" fillId="3" borderId="2" xfId="0" applyFont="1" applyFill="1" applyBorder="1" applyAlignment="1">
      <alignment horizontal="center"/>
    </xf>
    <xf numFmtId="0" fontId="12" fillId="3" borderId="2" xfId="0" applyFont="1" applyFill="1" applyBorder="1" applyAlignment="1"/>
    <xf numFmtId="0" fontId="14" fillId="3" borderId="2" xfId="0" applyFont="1" applyFill="1" applyBorder="1" applyAlignment="1"/>
    <xf numFmtId="0" fontId="12" fillId="3" borderId="2" xfId="0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top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left" vertical="top" wrapText="1"/>
    </xf>
    <xf numFmtId="0" fontId="15" fillId="3" borderId="2" xfId="0" applyFont="1" applyFill="1" applyBorder="1" applyAlignment="1">
      <alignment wrapText="1"/>
    </xf>
    <xf numFmtId="0" fontId="2" fillId="0" borderId="2" xfId="0" applyFont="1" applyBorder="1" applyAlignment="1">
      <alignment horizontal="left" vertical="top" wrapText="1"/>
    </xf>
    <xf numFmtId="0" fontId="14" fillId="3" borderId="2" xfId="0" applyFont="1" applyFill="1" applyBorder="1" applyAlignment="1">
      <alignment wrapText="1"/>
    </xf>
    <xf numFmtId="0" fontId="12" fillId="0" borderId="0" xfId="0" applyFont="1" applyAlignment="1">
      <alignment horizontal="center"/>
    </xf>
    <xf numFmtId="0" fontId="12" fillId="0" borderId="0" xfId="0" applyFont="1" applyAlignment="1"/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 wrapText="1"/>
    </xf>
    <xf numFmtId="164" fontId="6" fillId="0" borderId="0" xfId="0" applyNumberFormat="1" applyFont="1" applyAlignment="1"/>
    <xf numFmtId="0" fontId="0" fillId="0" borderId="0" xfId="0" applyFill="1"/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3" fontId="1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</cellXfs>
  <cellStyles count="1">
    <cellStyle name="Обычный" xfId="0" builtinId="0"/>
  </cellStyles>
  <dxfs count="7">
    <dxf>
      <fill>
        <patternFill>
          <bgColor rgb="FFFF0000"/>
        </patternFill>
      </fill>
    </dxf>
    <dxf>
      <fill>
        <patternFill>
          <bgColor rgb="FF93C47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4CCCC"/>
        </patternFill>
      </fill>
    </dxf>
    <dxf>
      <font>
        <color rgb="FF000000"/>
      </font>
      <fill>
        <patternFill>
          <bgColor rgb="FFF4CCCC"/>
        </patternFill>
      </fill>
    </dxf>
    <dxf>
      <fill>
        <patternFill>
          <bgColor rgb="FFF4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1001"/>
  <sheetViews>
    <sheetView tabSelected="1" zoomScaleNormal="100" workbookViewId="0">
      <pane xSplit="4" ySplit="2" topLeftCell="G100" activePane="bottomRight" state="frozen"/>
      <selection pane="topRight" activeCell="E1" sqref="E1"/>
      <selection pane="bottomLeft" activeCell="A3" sqref="A3"/>
      <selection pane="bottomRight" activeCell="K137" sqref="K137"/>
    </sheetView>
  </sheetViews>
  <sheetFormatPr defaultColWidth="12.5703125" defaultRowHeight="12.75"/>
  <cols>
    <col min="1" max="1" width="13.85546875" style="1" bestFit="1" customWidth="1"/>
    <col min="2" max="2" width="11.85546875" style="1" bestFit="1" customWidth="1"/>
    <col min="3" max="3" width="4" style="1" bestFit="1" customWidth="1"/>
    <col min="4" max="4" width="6.5703125" style="1" bestFit="1" customWidth="1"/>
    <col min="5" max="6" width="27.7109375" style="1" bestFit="1" customWidth="1"/>
    <col min="7" max="7" width="10" style="1" bestFit="1" customWidth="1"/>
    <col min="8" max="8" width="11" style="1" bestFit="1" customWidth="1"/>
    <col min="9" max="9" width="10.140625" style="1" bestFit="1" customWidth="1"/>
    <col min="10" max="10" width="9.7109375" style="1" bestFit="1" customWidth="1"/>
    <col min="11" max="11" width="64.85546875" style="1" bestFit="1" customWidth="1"/>
    <col min="12" max="12" width="39.7109375" style="1" bestFit="1" customWidth="1"/>
    <col min="13" max="13" width="8.5703125" style="1" bestFit="1" customWidth="1"/>
    <col min="14" max="14" width="11" style="1" bestFit="1" customWidth="1"/>
    <col min="15" max="15" width="9.5703125" style="1" bestFit="1" customWidth="1"/>
    <col min="16" max="16" width="12.42578125" style="1" bestFit="1" customWidth="1"/>
    <col min="17" max="17" width="7.42578125" style="1" bestFit="1" customWidth="1"/>
    <col min="18" max="18" width="30.140625" style="1" bestFit="1" customWidth="1"/>
    <col min="19" max="19" width="26.28515625" style="1" bestFit="1" customWidth="1"/>
    <col min="20" max="21" width="6.85546875" style="1" bestFit="1" customWidth="1"/>
    <col min="22" max="22" width="30.140625" style="1" bestFit="1" customWidth="1"/>
    <col min="23" max="27" width="6.42578125" style="1" bestFit="1" customWidth="1"/>
    <col min="28" max="28" width="5.7109375" style="1" bestFit="1" customWidth="1"/>
    <col min="29" max="30" width="6.85546875" style="1" bestFit="1" customWidth="1"/>
    <col min="31" max="32" width="7" style="1" bestFit="1" customWidth="1"/>
    <col min="33" max="33" width="7.42578125" style="1" customWidth="1"/>
    <col min="34" max="35" width="7.42578125" style="1" bestFit="1" customWidth="1"/>
    <col min="36" max="36" width="7.42578125" style="1" customWidth="1"/>
    <col min="37" max="37" width="7.140625" style="1" bestFit="1" customWidth="1"/>
    <col min="38" max="38" width="6.28515625" style="1" bestFit="1" customWidth="1"/>
    <col min="39" max="41" width="7" style="1" customWidth="1"/>
    <col min="42" max="43" width="6.42578125" style="1" bestFit="1" customWidth="1"/>
    <col min="44" max="44" width="6.7109375" style="1" bestFit="1" customWidth="1"/>
    <col min="45" max="45" width="7" style="1" customWidth="1"/>
    <col min="46" max="46" width="6.85546875" style="1" bestFit="1" customWidth="1"/>
    <col min="47" max="47" width="8.140625" style="1" customWidth="1"/>
    <col min="48" max="48" width="12.42578125" style="1" bestFit="1" customWidth="1"/>
    <col min="49" max="49" width="18" style="1" bestFit="1" customWidth="1"/>
  </cols>
  <sheetData>
    <row r="1" spans="1:79" ht="15.75" customHeight="1">
      <c r="A1" s="74" t="s">
        <v>0</v>
      </c>
      <c r="B1" s="74" t="s">
        <v>1</v>
      </c>
      <c r="C1" s="74" t="s">
        <v>2</v>
      </c>
      <c r="D1" s="74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5" t="s">
        <v>8</v>
      </c>
      <c r="J1" s="76" t="s">
        <v>9</v>
      </c>
      <c r="K1" s="74" t="s">
        <v>10</v>
      </c>
      <c r="L1" s="74" t="s">
        <v>11</v>
      </c>
      <c r="M1" s="2"/>
      <c r="N1" s="2"/>
      <c r="O1" s="3"/>
      <c r="P1" s="3"/>
      <c r="Q1" s="77" t="s">
        <v>12</v>
      </c>
      <c r="R1" s="77"/>
      <c r="S1" s="77"/>
      <c r="T1" s="77"/>
      <c r="U1" s="77"/>
      <c r="V1" s="77" t="s">
        <v>13</v>
      </c>
      <c r="W1" s="77"/>
      <c r="X1" s="77"/>
      <c r="Y1" s="77"/>
      <c r="Z1" s="77"/>
      <c r="AA1" s="77"/>
      <c r="AB1" s="77"/>
      <c r="AC1" s="77"/>
      <c r="AD1" s="77"/>
      <c r="AE1" s="77" t="s">
        <v>14</v>
      </c>
      <c r="AF1" s="77"/>
      <c r="AG1" s="77"/>
      <c r="AH1" s="77"/>
      <c r="AI1" s="77"/>
      <c r="AJ1" s="77"/>
      <c r="AK1" s="77"/>
      <c r="AL1" s="77"/>
      <c r="AM1" s="77" t="s">
        <v>15</v>
      </c>
      <c r="AN1" s="77"/>
      <c r="AO1" s="77"/>
      <c r="AP1" s="77"/>
      <c r="AQ1" s="77"/>
      <c r="AR1" s="77"/>
      <c r="AS1" s="77"/>
      <c r="AT1" s="77"/>
      <c r="AU1" s="3"/>
      <c r="AV1" s="78" t="s">
        <v>16</v>
      </c>
      <c r="AW1" s="74" t="s">
        <v>17</v>
      </c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</row>
    <row r="2" spans="1:79" ht="72.75" customHeight="1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  <c r="U2" s="2" t="s">
        <v>26</v>
      </c>
      <c r="V2" s="2" t="s">
        <v>23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25</v>
      </c>
      <c r="AD2" s="2" t="s">
        <v>26</v>
      </c>
      <c r="AE2" s="2" t="s">
        <v>27</v>
      </c>
      <c r="AF2" s="2" t="s">
        <v>28</v>
      </c>
      <c r="AG2" s="2" t="s">
        <v>29</v>
      </c>
      <c r="AH2" s="2" t="s">
        <v>30</v>
      </c>
      <c r="AI2" s="2" t="s">
        <v>31</v>
      </c>
      <c r="AJ2" s="2" t="s">
        <v>32</v>
      </c>
      <c r="AK2" s="2" t="s">
        <v>25</v>
      </c>
      <c r="AL2" s="2" t="s">
        <v>26</v>
      </c>
      <c r="AM2" s="2" t="s">
        <v>27</v>
      </c>
      <c r="AN2" s="2" t="s">
        <v>28</v>
      </c>
      <c r="AO2" s="2" t="s">
        <v>29</v>
      </c>
      <c r="AP2" s="2" t="s">
        <v>30</v>
      </c>
      <c r="AQ2" s="2" t="s">
        <v>31</v>
      </c>
      <c r="AR2" s="2" t="s">
        <v>32</v>
      </c>
      <c r="AS2" s="2" t="s">
        <v>25</v>
      </c>
      <c r="AT2" s="2" t="s">
        <v>26</v>
      </c>
      <c r="AU2" s="2" t="s">
        <v>33</v>
      </c>
      <c r="AV2" s="78"/>
      <c r="AW2" s="78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</row>
    <row r="3" spans="1:79" ht="15.75" customHeight="1">
      <c r="A3" s="6" t="s">
        <v>34</v>
      </c>
      <c r="B3" s="6" t="s">
        <v>34</v>
      </c>
      <c r="C3" s="6"/>
      <c r="D3" s="6">
        <v>1303</v>
      </c>
      <c r="E3" s="6" t="s">
        <v>35</v>
      </c>
      <c r="F3" s="6" t="s">
        <v>35</v>
      </c>
      <c r="G3" s="6" t="s">
        <v>36</v>
      </c>
      <c r="H3" s="6" t="s">
        <v>37</v>
      </c>
      <c r="I3" s="4" t="s">
        <v>1018</v>
      </c>
      <c r="J3" s="7">
        <f ca="1">IFERROR(__xludf.dummyfunction("index(split(I3,char(9)),1,1)"),7)</f>
        <v>7</v>
      </c>
      <c r="K3" s="7">
        <f ca="1">IFERROR(__xludf.dummyfunction("ifna(index(filter('Посещаемость_баллы'!$A:$L,'Посещаемость_баллы'!$B:$B=$B3,'Посещаемость_баллы'!$C:$C=$C3,'Посещаемость_баллы'!$D:$D=$D3),1,12)*10,0)"),10)</f>
        <v>10</v>
      </c>
      <c r="L3" s="7">
        <f>ROUNDDOWN(IFERROR(VALUE(VLOOKUP(H3,'Онлайн-курс1'!B:F,5,FALSE())),IFERROR(VALUE(VLOOKUP(H3,'Онлайн-курс1'!C:F,4,FALSE())),0))/40*20,0)
+ IFERROR(VALUE(SUBSTITUTE(VLOOKUP(H3,'Онлайн-курс2'!B:I,7,FALSE()),".",",")),IFERROR(VALUE(SUBSTITUTE(VLOOKUP(H3,'Онлайн-курс2'!C:I,6,FALSE()),".",",")),0))*2</f>
        <v>20</v>
      </c>
      <c r="M3" s="8" t="s">
        <v>36</v>
      </c>
      <c r="N3" s="9">
        <v>1</v>
      </c>
      <c r="O3" s="4" t="s">
        <v>38</v>
      </c>
      <c r="P3" s="4">
        <v>0</v>
      </c>
      <c r="Q3" s="10" t="str">
        <f ca="1">IFERROR(__xludf.dummyfunction("iferror(index(QUERY(commits!A$2:$K1001, ""select Count(C) where lower(D) = lower('""&amp;G3&amp;""')""),2,1),""-"")"),"-")</f>
        <v>-</v>
      </c>
      <c r="R3" s="4" t="s">
        <v>39</v>
      </c>
      <c r="S3" s="4">
        <v>4</v>
      </c>
      <c r="T3" s="4">
        <f ca="1">VLOOKUP(A3,Расчёт_оценок!A:C,3,FALSE())</f>
        <v>6</v>
      </c>
      <c r="U3" s="4">
        <f ca="1">IFERROR(VLOOKUP(J3,Проекты!A:P,16,FALSE()),0)</f>
        <v>4</v>
      </c>
      <c r="V3" s="4" t="s">
        <v>40</v>
      </c>
      <c r="W3" s="4">
        <v>1</v>
      </c>
      <c r="X3" s="4">
        <v>5</v>
      </c>
      <c r="Y3" s="4">
        <v>0.6</v>
      </c>
      <c r="Z3" s="4">
        <v>7</v>
      </c>
      <c r="AA3" s="4">
        <v>2</v>
      </c>
      <c r="AB3" s="4">
        <v>0.56999999999999995</v>
      </c>
      <c r="AC3" s="4">
        <f t="shared" ref="AC3:AC34" si="0">SUM(Y3+AB3+IF(V3&lt;&gt;"issue не создавал, issue не комментил",1,0))</f>
        <v>2.17</v>
      </c>
      <c r="AD3" s="4">
        <v>3.8</v>
      </c>
      <c r="AE3" s="4">
        <v>29</v>
      </c>
      <c r="AF3" s="4">
        <v>29</v>
      </c>
      <c r="AG3" s="4">
        <v>3</v>
      </c>
      <c r="AH3" s="4">
        <f ca="1">IFERROR(__xludf.dummyfunction("if(isna(filter(prs!C:U,prs!I:I=G3,prs!G:G&gt;DATE(2024,3,28),prs!G:G&lt;DATE(2024,4,26))),0,countunique(index(filter(prs!C:U,prs!I:I=G3,prs!G:G&gt;DATE(2024,3,28),prs!G:G&lt;DATE(2024,4,26)),,1)))"),7)</f>
        <v>7</v>
      </c>
      <c r="AI3" s="4">
        <f ca="1">IFERROR(__xludf.dummyfunction("if(isna(filter(prs!C:U,prs!I:I=G3,prs!R:R&lt;&gt;""Empty field"",prs!G:G&gt;DATE(2024,3,28),prs!G:G&lt;DATE(2024,4,26))),0,countunique(index(filter(prs!C:U,prs!I:I=G3,prs!R:R&lt;&gt;""Empty field"",prs!G:G&gt;DATE(2024,3,28),prs!G:G&lt;DATE(2024,4,26)),,1)))"),5)</f>
        <v>5</v>
      </c>
      <c r="AJ3" s="4">
        <f t="shared" ref="AJ3:AJ34" ca="1" si="1">IF(AI3&gt;$AA$140,3,IFERROR(ROUND((3*AI3/AH3) * IF(AI3&lt;$AB$140,0.5,1),2),0))</f>
        <v>3</v>
      </c>
      <c r="AK3" s="4">
        <f t="shared" ref="AK3:AK34" ca="1" si="2">AG3+AJ3</f>
        <v>6</v>
      </c>
      <c r="AL3" s="4">
        <f ca="1">IFERROR(__xludf.dummyfunction("filter('Проекты'!AT:AT,'Проекты'!A:A=J3)"),4)</f>
        <v>4</v>
      </c>
      <c r="AM3" s="4">
        <f ca="1">IFERROR(__xludf.dummyfunction("ifna(filter(commits_results!H:I,commits_results!B:B=A3,commits_results!A:A=J3),)"),21)</f>
        <v>21</v>
      </c>
      <c r="AN3" s="4">
        <f ca="1">IFERROR(__xludf.dummyfunction("""COMPUTED_VALUE"""),33)</f>
        <v>33</v>
      </c>
      <c r="AO3" s="4">
        <f t="shared" ref="AO3:AO34" ca="1" si="3">IF(AN3&gt;$W$140,3,IFERROR(ROUND(3*(AM3/AN3) * IF(AM3&lt;$Y$140,0.5,1),2),0))</f>
        <v>3</v>
      </c>
      <c r="AP3" s="4">
        <f ca="1">IFERROR(__xludf.dummyfunction("if(isna(filter(prs!C:U,prs!I:I=G3,prs!G:G&gt;DATE(2024,4,25),prs!G:G&lt;DATE(2024,5,23))),0,countunique(index(filter(prs!C:U,prs!I:I=G3,prs!G:G&gt;DATE(2024,4,25),prs!G:G&lt;DATE(2024,5,23)),,1)))"),5)</f>
        <v>5</v>
      </c>
      <c r="AQ3" s="4">
        <f ca="1">IFERROR(__xludf.dummyfunction("if(isna(filter(prs!C:U,prs!I:I=G3,prs!R:R&lt;&gt;""Empty field"",prs!G:G&gt;DATE(2024,4,25),prs!G:G&lt;DATE(2024,5,23))),0,countunique(index(filter(prs!C:U,prs!I:I=G3,prs!R:R&lt;&gt;""Empty field"",prs!G:G&gt;DATE(2024,4,25),prs!G:G&lt;DATE(2024,5,23)),,1)))"),3)</f>
        <v>3</v>
      </c>
      <c r="AR3" s="4">
        <f t="shared" ref="AR3:AR34" ca="1" si="4">IF(AQ3&gt;$AA$140,3,IFERROR(ROUND((3*AQ3/AP3) * IF(AQ3&lt;$AB$140,0.5,1),2),0))</f>
        <v>3</v>
      </c>
      <c r="AS3" s="4">
        <f t="shared" ref="AS3:AS34" ca="1" si="5">AO3+AR3</f>
        <v>6</v>
      </c>
      <c r="AT3" s="4">
        <f ca="1">IFERROR(__xludf.dummyfunction("filter('Проекты'!BB:BB,'Проекты'!A:A=J3)"),4)</f>
        <v>4</v>
      </c>
      <c r="AU3" s="4">
        <f ca="1">IFERROR(__xludf.dummyfunction("filter('Проекты'!BE:BE,'Проекты'!A:A=J3)"),0)</f>
        <v>0</v>
      </c>
      <c r="AV3" s="11">
        <f t="shared" ref="AV3:AV34" ca="1" si="6">ROUNDUP(SUM(K3:L3,T3:U3,AC3:AD3,AK3:AL3,AS3:AT3,AU3),0)</f>
        <v>66</v>
      </c>
      <c r="AW3" s="4" t="str">
        <f t="shared" ref="AW3:AW34" ca="1" si="7">IF(AV3&lt;60, "Неудовлетворительно", IF(AV3&lt;75, "Удовлетворительно", IF(AV3&lt;85, "Хорошо", "Отлично")))</f>
        <v>Удовлетворительно</v>
      </c>
      <c r="AX3" s="12"/>
    </row>
    <row r="4" spans="1:79" ht="15.75" customHeight="1">
      <c r="A4" s="6" t="s">
        <v>41</v>
      </c>
      <c r="B4" s="6" t="s">
        <v>41</v>
      </c>
      <c r="C4" s="6"/>
      <c r="D4" s="6">
        <v>1303</v>
      </c>
      <c r="E4" s="6" t="s">
        <v>42</v>
      </c>
      <c r="F4" s="6" t="s">
        <v>42</v>
      </c>
      <c r="G4" s="6" t="s">
        <v>43</v>
      </c>
      <c r="H4" s="6" t="s">
        <v>44</v>
      </c>
      <c r="I4" s="4" t="s">
        <v>1019</v>
      </c>
      <c r="J4" s="7">
        <f ca="1">IFERROR(__xludf.dummyfunction("index(split(I4,char(9)),1,1)"),3)</f>
        <v>3</v>
      </c>
      <c r="K4" s="7">
        <f ca="1">IFERROR(__xludf.dummyfunction("ifna(index(filter('Посещаемость_баллы'!$A:$L,'Посещаемость_баллы'!$B:$B=$B4,'Посещаемость_баллы'!$C:$C=$C4,'Посещаемость_баллы'!$D:$D=$D4),1,12)*10,0)"),8)</f>
        <v>8</v>
      </c>
      <c r="L4" s="7">
        <f>ROUNDDOWN(IFERROR(VALUE(VLOOKUP(H4,'Онлайн-курс1'!B:F,5,FALSE())),IFERROR(VALUE(VLOOKUP(H4,'Онлайн-курс1'!C:F,4,FALSE())),0))/40*20,0)
+ IFERROR(VALUE(SUBSTITUTE(VLOOKUP(H4,'Онлайн-курс2'!B:I,7,FALSE()),".",",")),IFERROR(VALUE(SUBSTITUTE(VLOOKUP(H4,'Онлайн-курс2'!C:I,6,FALSE()),".",",")),0))*2</f>
        <v>20</v>
      </c>
      <c r="M4" s="8" t="s">
        <v>43</v>
      </c>
      <c r="N4" s="9">
        <v>1</v>
      </c>
      <c r="O4" s="4" t="s">
        <v>45</v>
      </c>
      <c r="P4" s="4">
        <v>0</v>
      </c>
      <c r="Q4" s="10" t="str">
        <f ca="1">IFERROR(__xludf.dummyfunction("iferror(index(QUERY(commits!A$2:$K1001, ""select Count(C) where lower(D) = lower('""&amp;G4&amp;""')""),2,1),""-"")"),"-")</f>
        <v>-</v>
      </c>
      <c r="R4" s="4" t="s">
        <v>46</v>
      </c>
      <c r="S4" s="4" t="s">
        <v>47</v>
      </c>
      <c r="T4" s="4">
        <f ca="1">VLOOKUP(A4,Расчёт_оценок!A:C,3,FALSE())</f>
        <v>6</v>
      </c>
      <c r="U4" s="4">
        <f ca="1">IFERROR(VLOOKUP(J4,Проекты!A:P,16,FALSE()),0)</f>
        <v>4</v>
      </c>
      <c r="V4" s="4" t="s">
        <v>48</v>
      </c>
      <c r="W4" s="4">
        <v>26</v>
      </c>
      <c r="X4" s="4">
        <v>34</v>
      </c>
      <c r="Y4" s="4">
        <v>3</v>
      </c>
      <c r="Z4" s="4">
        <v>12</v>
      </c>
      <c r="AA4" s="4">
        <v>8</v>
      </c>
      <c r="AB4" s="4">
        <v>2</v>
      </c>
      <c r="AC4" s="4">
        <f t="shared" si="0"/>
        <v>6</v>
      </c>
      <c r="AD4" s="4">
        <v>4</v>
      </c>
      <c r="AE4" s="4">
        <v>17</v>
      </c>
      <c r="AF4" s="4">
        <v>35</v>
      </c>
      <c r="AG4" s="4">
        <v>3</v>
      </c>
      <c r="AH4" s="4">
        <f ca="1">IFERROR(__xludf.dummyfunction("if(isna(filter(prs!C:U,prs!I:I=G4,prs!G:G&gt;DATE(2024,3,28),prs!G:G&lt;DATE(2024,4,26))),0,countunique(index(filter(prs!C:U,prs!I:I=G4,prs!G:G&gt;DATE(2024,3,28),prs!G:G&lt;DATE(2024,4,26)),,1)))"),22)</f>
        <v>22</v>
      </c>
      <c r="AI4" s="4">
        <f ca="1">IFERROR(__xludf.dummyfunction("if(isna(filter(prs!C:U,prs!I:I=G4,prs!R:R&lt;&gt;""Empty field"",prs!G:G&gt;DATE(2024,3,28),prs!G:G&lt;DATE(2024,4,26))),0,countunique(index(filter(prs!C:U,prs!I:I=G4,prs!R:R&lt;&gt;""Empty field"",prs!G:G&gt;DATE(2024,3,28),prs!G:G&lt;DATE(2024,4,26)),,1)))"),18)</f>
        <v>18</v>
      </c>
      <c r="AJ4" s="4">
        <f t="shared" ca="1" si="1"/>
        <v>3</v>
      </c>
      <c r="AK4" s="4">
        <f t="shared" ca="1" si="2"/>
        <v>6</v>
      </c>
      <c r="AL4" s="4">
        <f ca="1">IFERROR(__xludf.dummyfunction("filter('Проекты'!AT:AT,'Проекты'!A:A=J4)"),4)</f>
        <v>4</v>
      </c>
      <c r="AM4" s="4">
        <f ca="1">IFERROR(__xludf.dummyfunction("ifna(filter(commits_results!H:I,commits_results!B:B=A4,commits_results!A:A=J4),)"),24)</f>
        <v>24</v>
      </c>
      <c r="AN4" s="4">
        <f ca="1">IFERROR(__xludf.dummyfunction("""COMPUTED_VALUE"""),24)</f>
        <v>24</v>
      </c>
      <c r="AO4" s="4">
        <f t="shared" ca="1" si="3"/>
        <v>3</v>
      </c>
      <c r="AP4" s="4">
        <f ca="1">IFERROR(__xludf.dummyfunction("if(isna(filter(prs!C:U,prs!I:I=G4,prs!G:G&gt;DATE(2024,4,25),prs!G:G&lt;DATE(2024,5,23))),0,countunique(index(filter(prs!C:U,prs!I:I=G4,prs!G:G&gt;DATE(2024,4,25),prs!G:G&lt;DATE(2024,5,23)),,1)))"),8)</f>
        <v>8</v>
      </c>
      <c r="AQ4" s="4">
        <f ca="1">IFERROR(__xludf.dummyfunction("if(isna(filter(prs!C:U,prs!I:I=G4,prs!R:R&lt;&gt;""Empty field"",prs!G:G&gt;DATE(2024,4,25),prs!G:G&lt;DATE(2024,5,23))),0,countunique(index(filter(prs!C:U,prs!I:I=G4,prs!R:R&lt;&gt;""Empty field"",prs!G:G&gt;DATE(2024,4,25),prs!G:G&lt;DATE(2024,5,23)),,1)))"),8)</f>
        <v>8</v>
      </c>
      <c r="AR4" s="4">
        <f t="shared" ca="1" si="4"/>
        <v>3</v>
      </c>
      <c r="AS4" s="4">
        <f t="shared" ca="1" si="5"/>
        <v>6</v>
      </c>
      <c r="AT4" s="4">
        <f ca="1">IFERROR(__xludf.dummyfunction("filter('Проекты'!BB:BB,'Проекты'!A:A=J4)"),4)</f>
        <v>4</v>
      </c>
      <c r="AU4" s="4">
        <f ca="1">IFERROR(__xludf.dummyfunction("filter('Проекты'!BE:BE,'Проекты'!A:A=J4)"),10)</f>
        <v>10</v>
      </c>
      <c r="AV4" s="11">
        <f t="shared" ca="1" si="6"/>
        <v>78</v>
      </c>
      <c r="AW4" s="4" t="str">
        <f t="shared" ca="1" si="7"/>
        <v>Хорошо</v>
      </c>
      <c r="AY4" s="12"/>
      <c r="AZ4" s="12"/>
    </row>
    <row r="5" spans="1:79" ht="15.75" customHeight="1">
      <c r="A5" s="6" t="s">
        <v>49</v>
      </c>
      <c r="B5" s="6" t="s">
        <v>49</v>
      </c>
      <c r="C5" s="6"/>
      <c r="D5" s="6">
        <v>1303</v>
      </c>
      <c r="E5" s="6" t="s">
        <v>50</v>
      </c>
      <c r="F5" s="6" t="s">
        <v>50</v>
      </c>
      <c r="G5" s="6" t="s">
        <v>51</v>
      </c>
      <c r="H5" s="6" t="s">
        <v>52</v>
      </c>
      <c r="I5" s="4" t="s">
        <v>1020</v>
      </c>
      <c r="J5" s="7">
        <f ca="1">IFERROR(__xludf.dummyfunction("index(split(I5,char(9)),1,1)"),7)</f>
        <v>7</v>
      </c>
      <c r="K5" s="7">
        <f ca="1">IFERROR(__xludf.dummyfunction("ifna(index(filter('Посещаемость_баллы'!$A:$L,'Посещаемость_баллы'!$B:$B=$B5,'Посещаемость_баллы'!$C:$C=$C5,'Посещаемость_баллы'!$D:$D=$D5),1,12)*10,0)"),10)</f>
        <v>10</v>
      </c>
      <c r="L5" s="7">
        <f>ROUNDDOWN(IFERROR(VALUE(VLOOKUP(H5,'Онлайн-курс1'!B:F,5,FALSE())),IFERROR(VALUE(VLOOKUP(H5,'Онлайн-курс1'!C:F,4,FALSE())),0))/40*20,0)
+ IFERROR(VALUE(SUBSTITUTE(VLOOKUP(H5,'Онлайн-курс2'!B:I,7,FALSE()),".",",")),IFERROR(VALUE(SUBSTITUTE(VLOOKUP(H5,'Онлайн-курс2'!C:I,6,FALSE()),".",",")),0))*2</f>
        <v>20</v>
      </c>
      <c r="M5" s="8" t="s">
        <v>51</v>
      </c>
      <c r="N5" s="9">
        <v>1</v>
      </c>
      <c r="O5" s="4" t="s">
        <v>53</v>
      </c>
      <c r="P5" s="4">
        <v>0</v>
      </c>
      <c r="Q5" s="10" t="str">
        <f ca="1">IFERROR(__xludf.dummyfunction("iferror(index(QUERY(commits!A$2:$K1001, ""select Count(C) where lower(D) = lower('""&amp;G5&amp;""')""),2,1),""-"")"),"-")</f>
        <v>-</v>
      </c>
      <c r="R5" s="4" t="s">
        <v>39</v>
      </c>
      <c r="S5" s="4">
        <v>2</v>
      </c>
      <c r="T5" s="4">
        <f ca="1">VLOOKUP(A5,Расчёт_оценок!A:C,3,FALSE())</f>
        <v>6</v>
      </c>
      <c r="U5" s="4">
        <f ca="1">IFERROR(VLOOKUP(J5,Проекты!A:P,16,FALSE()),0)</f>
        <v>4</v>
      </c>
      <c r="V5" s="4" t="s">
        <v>54</v>
      </c>
      <c r="W5" s="4">
        <v>25</v>
      </c>
      <c r="X5" s="4">
        <v>28</v>
      </c>
      <c r="Y5" s="4">
        <v>3</v>
      </c>
      <c r="Z5" s="4">
        <v>2</v>
      </c>
      <c r="AA5" s="4">
        <v>1</v>
      </c>
      <c r="AB5" s="4">
        <v>0.5</v>
      </c>
      <c r="AC5" s="4">
        <f t="shared" si="0"/>
        <v>3.5</v>
      </c>
      <c r="AD5" s="4">
        <v>3.8</v>
      </c>
      <c r="AE5" s="4">
        <v>15</v>
      </c>
      <c r="AF5" s="4">
        <v>15</v>
      </c>
      <c r="AG5" s="4">
        <v>3</v>
      </c>
      <c r="AH5" s="4">
        <f ca="1">IFERROR(__xludf.dummyfunction("if(isna(filter(prs!C:U,prs!I:I=G5,prs!G:G&gt;DATE(2024,3,28),prs!G:G&lt;DATE(2024,4,26))),0,countunique(index(filter(prs!C:U,prs!I:I=G5,prs!G:G&gt;DATE(2024,3,28),prs!G:G&lt;DATE(2024,4,26)),,1)))"),5)</f>
        <v>5</v>
      </c>
      <c r="AI5" s="4">
        <f ca="1">IFERROR(__xludf.dummyfunction("if(isna(filter(prs!C:U,prs!I:I=G5,prs!R:R&lt;&gt;""Empty field"",prs!G:G&gt;DATE(2024,3,28),prs!G:G&lt;DATE(2024,4,26))),0,countunique(index(filter(prs!C:U,prs!I:I=G5,prs!R:R&lt;&gt;""Empty field"",prs!G:G&gt;DATE(2024,3,28),prs!G:G&lt;DATE(2024,4,26)),,1)))"),5)</f>
        <v>5</v>
      </c>
      <c r="AJ5" s="4">
        <f t="shared" ca="1" si="1"/>
        <v>3</v>
      </c>
      <c r="AK5" s="4">
        <f t="shared" ca="1" si="2"/>
        <v>6</v>
      </c>
      <c r="AL5" s="4">
        <f ca="1">IFERROR(__xludf.dummyfunction("filter('Проекты'!AT:AT,'Проекты'!A:A=J5)"),4)</f>
        <v>4</v>
      </c>
      <c r="AM5" s="4">
        <f ca="1">IFERROR(__xludf.dummyfunction("ifna(filter(commits_results!H:I,commits_results!B:B=A5,commits_results!A:A=J5),)"),2)</f>
        <v>2</v>
      </c>
      <c r="AN5" s="4">
        <f ca="1">IFERROR(__xludf.dummyfunction("""COMPUTED_VALUE"""),11)</f>
        <v>11</v>
      </c>
      <c r="AO5" s="4">
        <f t="shared" ca="1" si="3"/>
        <v>3</v>
      </c>
      <c r="AP5" s="4">
        <f ca="1">IFERROR(__xludf.dummyfunction("if(isna(filter(prs!C:U,prs!I:I=G5,prs!G:G&gt;DATE(2024,4,25),prs!G:G&lt;DATE(2024,5,23))),0,countunique(index(filter(prs!C:U,prs!I:I=G5,prs!G:G&gt;DATE(2024,4,25),prs!G:G&lt;DATE(2024,5,23)),,1)))"),3)</f>
        <v>3</v>
      </c>
      <c r="AQ5" s="4">
        <f ca="1">IFERROR(__xludf.dummyfunction("if(isna(filter(prs!C:U,prs!I:I=G5,prs!R:R&lt;&gt;""Empty field"",prs!G:G&gt;DATE(2024,4,25),prs!G:G&lt;DATE(2024,5,23))),0,countunique(index(filter(prs!C:U,prs!I:I=G5,prs!R:R&lt;&gt;""Empty field"",prs!G:G&gt;DATE(2024,4,25),prs!G:G&lt;DATE(2024,5,23)),,1)))"),0)</f>
        <v>0</v>
      </c>
      <c r="AR5" s="4">
        <f t="shared" ca="1" si="4"/>
        <v>0</v>
      </c>
      <c r="AS5" s="4">
        <f t="shared" ca="1" si="5"/>
        <v>3</v>
      </c>
      <c r="AT5" s="4">
        <f ca="1">IFERROR(__xludf.dummyfunction("filter('Проекты'!BB:BB,'Проекты'!A:A=J5)"),4)</f>
        <v>4</v>
      </c>
      <c r="AU5" s="4">
        <f ca="1">IFERROR(__xludf.dummyfunction("filter('Проекты'!BE:BE,'Проекты'!A:A=J5)"),0)</f>
        <v>0</v>
      </c>
      <c r="AV5" s="11">
        <f t="shared" ca="1" si="6"/>
        <v>65</v>
      </c>
      <c r="AW5" s="4" t="str">
        <f t="shared" ca="1" si="7"/>
        <v>Удовлетворительно</v>
      </c>
    </row>
    <row r="6" spans="1:79" ht="15.75" customHeight="1">
      <c r="A6" s="6" t="s">
        <v>55</v>
      </c>
      <c r="B6" s="6" t="s">
        <v>55</v>
      </c>
      <c r="C6" s="6"/>
      <c r="D6" s="6">
        <v>1303</v>
      </c>
      <c r="E6" s="6" t="s">
        <v>56</v>
      </c>
      <c r="F6" s="6" t="s">
        <v>56</v>
      </c>
      <c r="G6" s="6" t="s">
        <v>57</v>
      </c>
      <c r="H6" s="6" t="s">
        <v>58</v>
      </c>
      <c r="I6" s="4" t="s">
        <v>1021</v>
      </c>
      <c r="J6" s="7">
        <f ca="1">IFERROR(__xludf.dummyfunction("index(split(I6,char(9)),1,1)"),17)</f>
        <v>17</v>
      </c>
      <c r="K6" s="7">
        <f ca="1">IFERROR(__xludf.dummyfunction("ifna(index(filter('Посещаемость_баллы'!$A:$L,'Посещаемость_баллы'!$B:$B=$B6,'Посещаемость_баллы'!$C:$C=$C6,'Посещаемость_баллы'!$D:$D=$D6),1,12)*10,0)"),0)</f>
        <v>0</v>
      </c>
      <c r="L6" s="7">
        <f>ROUNDDOWN(IFERROR(VALUE(VLOOKUP(H6,'Онлайн-курс1'!B:F,5,FALSE())),IFERROR(VALUE(VLOOKUP(H6,'Онлайн-курс1'!C:F,4,FALSE())),0))/40*20,0)
+ IFERROR(VALUE(SUBSTITUTE(VLOOKUP(H6,'Онлайн-курс2'!B:I,7,FALSE()),".",",")),IFERROR(VALUE(SUBSTITUTE(VLOOKUP(H6,'Онлайн-курс2'!C:I,6,FALSE()),".",",")),0))*2</f>
        <v>0</v>
      </c>
      <c r="M6" s="8" t="s">
        <v>57</v>
      </c>
      <c r="N6" s="9">
        <v>1</v>
      </c>
      <c r="O6" s="4" t="s">
        <v>59</v>
      </c>
      <c r="P6" s="4">
        <v>0</v>
      </c>
      <c r="Q6" s="10" t="str">
        <f ca="1">IFERROR(__xludf.dummyfunction("iferror(index(QUERY(commits!A$2:$K1001, ""select Count(C) where lower(D) = lower('""&amp;G6&amp;""')""),2,1),""-"")"),"-")</f>
        <v>-</v>
      </c>
      <c r="R6" s="4" t="s">
        <v>54</v>
      </c>
      <c r="S6" s="4" t="s">
        <v>47</v>
      </c>
      <c r="T6" s="4">
        <f ca="1">VLOOKUP(A6,Расчёт_оценок!A:C,3,FALSE())</f>
        <v>5</v>
      </c>
      <c r="U6" s="4">
        <f ca="1">IFERROR(VLOOKUP(J6,Проекты!A:P,16,FALSE()),0)</f>
        <v>4</v>
      </c>
      <c r="V6" s="4" t="s">
        <v>40</v>
      </c>
      <c r="W6" s="4">
        <v>0</v>
      </c>
      <c r="X6" s="4">
        <v>0</v>
      </c>
      <c r="Y6" s="4">
        <v>0</v>
      </c>
      <c r="Z6" s="4">
        <v>1</v>
      </c>
      <c r="AA6" s="4">
        <v>1</v>
      </c>
      <c r="AB6" s="4">
        <v>1</v>
      </c>
      <c r="AC6" s="4">
        <f t="shared" si="0"/>
        <v>2</v>
      </c>
      <c r="AD6" s="4">
        <v>0.2</v>
      </c>
      <c r="AE6" s="4">
        <v>1</v>
      </c>
      <c r="AF6" s="4">
        <v>1</v>
      </c>
      <c r="AG6" s="4">
        <v>1.5</v>
      </c>
      <c r="AH6" s="4">
        <f ca="1">IFERROR(__xludf.dummyfunction("if(isna(filter(prs!C:U,prs!I:I=G6,prs!G:G&gt;DATE(2024,3,28),prs!G:G&lt;DATE(2024,4,26))),0,countunique(index(filter(prs!C:U,prs!I:I=G6,prs!G:G&gt;DATE(2024,3,28),prs!G:G&lt;DATE(2024,4,26)),,1)))"),4)</f>
        <v>4</v>
      </c>
      <c r="AI6" s="4">
        <f ca="1">IFERROR(__xludf.dummyfunction("if(isna(filter(prs!C:U,prs!I:I=G6,prs!R:R&lt;&gt;""Empty field"",prs!G:G&gt;DATE(2024,3,28),prs!G:G&lt;DATE(2024,4,26))),0,countunique(index(filter(prs!C:U,prs!I:I=G6,prs!R:R&lt;&gt;""Empty field"",prs!G:G&gt;DATE(2024,3,28),prs!G:G&lt;DATE(2024,4,26)),,1)))"),2)</f>
        <v>2</v>
      </c>
      <c r="AJ6" s="4">
        <f t="shared" ca="1" si="1"/>
        <v>3</v>
      </c>
      <c r="AK6" s="4">
        <f t="shared" ca="1" si="2"/>
        <v>4.5</v>
      </c>
      <c r="AL6" s="4">
        <f ca="1">IFERROR(__xludf.dummyfunction("filter('Проекты'!AT:AT,'Проекты'!A:A=J6)"),1.3)</f>
        <v>1.3</v>
      </c>
      <c r="AM6" s="4">
        <f ca="1">IFERROR(__xludf.dummyfunction("ifna(filter(commits_results!H:I,commits_results!B:B=A6,commits_results!A:A=J6),)"),1)</f>
        <v>1</v>
      </c>
      <c r="AN6" s="4">
        <f ca="1">IFERROR(__xludf.dummyfunction("""COMPUTED_VALUE"""),1)</f>
        <v>1</v>
      </c>
      <c r="AO6" s="4">
        <f t="shared" ca="1" si="3"/>
        <v>3</v>
      </c>
      <c r="AP6" s="4">
        <f ca="1">IFERROR(__xludf.dummyfunction("if(isna(filter(prs!C:U,prs!I:I=G6,prs!G:G&gt;DATE(2024,4,25),prs!G:G&lt;DATE(2024,5,23))),0,countunique(index(filter(prs!C:U,prs!I:I=G6,prs!G:G&gt;DATE(2024,4,25),prs!G:G&lt;DATE(2024,5,23)),,1)))"),4)</f>
        <v>4</v>
      </c>
      <c r="AQ6" s="4">
        <f ca="1">IFERROR(__xludf.dummyfunction("if(isna(filter(prs!C:U,prs!I:I=G6,prs!R:R&lt;&gt;""Empty field"",prs!G:G&gt;DATE(2024,4,25),prs!G:G&lt;DATE(2024,5,23))),0,countunique(index(filter(prs!C:U,prs!I:I=G6,prs!R:R&lt;&gt;""Empty field"",prs!G:G&gt;DATE(2024,4,25),prs!G:G&lt;DATE(2024,5,23)),,1)))"),2)</f>
        <v>2</v>
      </c>
      <c r="AR6" s="4">
        <f t="shared" ca="1" si="4"/>
        <v>3</v>
      </c>
      <c r="AS6" s="4">
        <f t="shared" ca="1" si="5"/>
        <v>6</v>
      </c>
      <c r="AT6" s="4">
        <f ca="1">IFERROR(__xludf.dummyfunction("filter('Проекты'!BB:BB,'Проекты'!A:A=J6)"),0.5)</f>
        <v>0.5</v>
      </c>
      <c r="AU6" s="4">
        <f ca="1">IFERROR(__xludf.dummyfunction("filter('Проекты'!BE:BE,'Проекты'!A:A=J6)"),0)</f>
        <v>0</v>
      </c>
      <c r="AV6" s="11">
        <f t="shared" ca="1" si="6"/>
        <v>24</v>
      </c>
      <c r="AW6" s="4" t="str">
        <f t="shared" ca="1" si="7"/>
        <v>Неудовлетворительно</v>
      </c>
    </row>
    <row r="7" spans="1:79" ht="15.75" customHeight="1">
      <c r="A7" s="6" t="s">
        <v>60</v>
      </c>
      <c r="B7" s="6" t="s">
        <v>60</v>
      </c>
      <c r="C7" s="6"/>
      <c r="D7" s="6">
        <v>1303</v>
      </c>
      <c r="E7" s="6" t="s">
        <v>61</v>
      </c>
      <c r="F7" s="6" t="s">
        <v>61</v>
      </c>
      <c r="G7" s="6" t="s">
        <v>62</v>
      </c>
      <c r="H7" s="6" t="s">
        <v>63</v>
      </c>
      <c r="I7" s="4" t="s">
        <v>1022</v>
      </c>
      <c r="J7" s="7">
        <f ca="1">IFERROR(__xludf.dummyfunction("index(split(I7,char(9)),1,1)"),2)</f>
        <v>2</v>
      </c>
      <c r="K7" s="7">
        <f ca="1">IFERROR(__xludf.dummyfunction("ifna(index(filter('Посещаемость_баллы'!$A:$L,'Посещаемость_баллы'!$B:$B=$B7,'Посещаемость_баллы'!$C:$C=$C7,'Посещаемость_баллы'!$D:$D=$D7),1,12)*10,0)"),2)</f>
        <v>2</v>
      </c>
      <c r="L7" s="7">
        <f>ROUNDDOWN(IFERROR(VALUE(VLOOKUP(H7,'Онлайн-курс1'!B:F,5,FALSE())),IFERROR(VALUE(VLOOKUP(H7,'Онлайн-курс1'!C:F,4,FALSE())),0))/40*20,0)
+ IFERROR(VALUE(SUBSTITUTE(VLOOKUP(H7,'Онлайн-курс2'!B:I,7,FALSE()),".",",")),IFERROR(VALUE(SUBSTITUTE(VLOOKUP(H7,'Онлайн-курс2'!C:I,6,FALSE()),".",",")),0))*2</f>
        <v>0</v>
      </c>
      <c r="M7" s="8" t="s">
        <v>62</v>
      </c>
      <c r="N7" s="9">
        <v>1</v>
      </c>
      <c r="O7" s="4" t="s">
        <v>64</v>
      </c>
      <c r="P7" s="4">
        <v>0</v>
      </c>
      <c r="Q7" s="10" t="str">
        <f ca="1">IFERROR(__xludf.dummyfunction("iferror(index(QUERY(commits!A$2:$K1001, ""select Count(C) where lower(D) = lower('""&amp;G7&amp;""')""),2,1),""-"")"),"-")</f>
        <v>-</v>
      </c>
      <c r="R7" s="4" t="s">
        <v>54</v>
      </c>
      <c r="S7" s="4" t="s">
        <v>47</v>
      </c>
      <c r="T7" s="4">
        <f ca="1">VLOOKUP(A7,Расчёт_оценок!A:C,3,FALSE())</f>
        <v>5</v>
      </c>
      <c r="U7" s="4">
        <f ca="1">IFERROR(VLOOKUP(J7,Проекты!A:P,16,FALSE()),0)</f>
        <v>3</v>
      </c>
      <c r="V7" s="4" t="s">
        <v>54</v>
      </c>
      <c r="W7" s="4">
        <v>10</v>
      </c>
      <c r="X7" s="4">
        <v>10</v>
      </c>
      <c r="Y7" s="4">
        <v>3</v>
      </c>
      <c r="Z7" s="4">
        <v>3</v>
      </c>
      <c r="AA7" s="4">
        <v>3</v>
      </c>
      <c r="AB7" s="4">
        <v>2</v>
      </c>
      <c r="AC7" s="4">
        <f t="shared" si="0"/>
        <v>5</v>
      </c>
      <c r="AD7" s="4">
        <v>3.4</v>
      </c>
      <c r="AE7" s="4">
        <v>34</v>
      </c>
      <c r="AF7" s="4">
        <v>34</v>
      </c>
      <c r="AG7" s="4">
        <v>3</v>
      </c>
      <c r="AH7" s="4">
        <v>6</v>
      </c>
      <c r="AI7" s="4">
        <v>6</v>
      </c>
      <c r="AJ7" s="4">
        <f t="shared" si="1"/>
        <v>3</v>
      </c>
      <c r="AK7" s="4">
        <f t="shared" si="2"/>
        <v>6</v>
      </c>
      <c r="AL7" s="4">
        <f ca="1">IFERROR(__xludf.dummyfunction("filter('Проекты'!AT:AT,'Проекты'!A:A=J7)"),3.3)</f>
        <v>3.3</v>
      </c>
      <c r="AM7" s="4">
        <f ca="1">IFERROR(__xludf.dummyfunction("ifna(filter(commits_results!H:I,commits_results!B:B=A7,commits_results!A:A=J7),)"),15)</f>
        <v>15</v>
      </c>
      <c r="AN7" s="4">
        <f ca="1">IFERROR(__xludf.dummyfunction("""COMPUTED_VALUE"""),15)</f>
        <v>15</v>
      </c>
      <c r="AO7" s="4">
        <f t="shared" ca="1" si="3"/>
        <v>3</v>
      </c>
      <c r="AP7" s="4">
        <v>2</v>
      </c>
      <c r="AQ7" s="4">
        <v>2</v>
      </c>
      <c r="AR7" s="4">
        <f t="shared" si="4"/>
        <v>3</v>
      </c>
      <c r="AS7" s="4">
        <f t="shared" ca="1" si="5"/>
        <v>6</v>
      </c>
      <c r="AT7" s="4">
        <f ca="1">IFERROR(__xludf.dummyfunction("filter('Проекты'!BB:BB,'Проекты'!A:A=J7)"),2.8)</f>
        <v>2.8</v>
      </c>
      <c r="AU7" s="4">
        <f ca="1">IFERROR(__xludf.dummyfunction("filter('Проекты'!BE:BE,'Проекты'!A:A=J7)"),0)</f>
        <v>0</v>
      </c>
      <c r="AV7" s="11">
        <f t="shared" ca="1" si="6"/>
        <v>37</v>
      </c>
      <c r="AW7" s="4" t="str">
        <f t="shared" ca="1" si="7"/>
        <v>Неудовлетворительно</v>
      </c>
    </row>
    <row r="8" spans="1:79" ht="15.75" customHeight="1">
      <c r="A8" s="6" t="s">
        <v>65</v>
      </c>
      <c r="B8" s="6" t="s">
        <v>65</v>
      </c>
      <c r="C8" s="6"/>
      <c r="D8" s="6">
        <v>1303</v>
      </c>
      <c r="E8" s="6" t="s">
        <v>66</v>
      </c>
      <c r="F8" s="6" t="s">
        <v>66</v>
      </c>
      <c r="G8" s="6" t="s">
        <v>67</v>
      </c>
      <c r="H8" s="6" t="s">
        <v>68</v>
      </c>
      <c r="I8" s="4" t="s">
        <v>1023</v>
      </c>
      <c r="J8" s="7">
        <f ca="1">IFERROR(__xludf.dummyfunction("index(split(I8,char(9)),1,1)"),6)</f>
        <v>6</v>
      </c>
      <c r="K8" s="7">
        <f ca="1">IFERROR(__xludf.dummyfunction("ifna(index(filter('Посещаемость_баллы'!$A:$L,'Посещаемость_баллы'!$B:$B=$B8,'Посещаемость_баллы'!$C:$C=$C8,'Посещаемость_баллы'!$D:$D=$D8),1,12)*10,0)"),10)</f>
        <v>10</v>
      </c>
      <c r="L8" s="7">
        <f>ROUNDDOWN(IFERROR(VALUE(VLOOKUP(H8,'Онлайн-курс1'!B:F,5,FALSE())),IFERROR(VALUE(VLOOKUP(H8,'Онлайн-курс1'!C:F,4,FALSE())),0))/40*20,0)
+ IFERROR(VALUE(SUBSTITUTE(VLOOKUP(H8,'Онлайн-курс2'!B:I,7,FALSE()),".",",")),IFERROR(VALUE(SUBSTITUTE(VLOOKUP(H8,'Онлайн-курс2'!C:I,6,FALSE()),".",",")),0))*2</f>
        <v>0</v>
      </c>
      <c r="M8" s="8" t="s">
        <v>67</v>
      </c>
      <c r="N8" s="9">
        <v>1</v>
      </c>
      <c r="O8" s="4" t="s">
        <v>69</v>
      </c>
      <c r="P8" s="4">
        <v>0</v>
      </c>
      <c r="Q8" s="10" t="str">
        <f ca="1">IFERROR(__xludf.dummyfunction("iferror(index(QUERY(commits!A$2:$K1001, ""select Count(C) where lower(D) = lower('""&amp;G8&amp;""')""),2,1),""-"")"),"-")</f>
        <v>-</v>
      </c>
      <c r="R8" s="4" t="s">
        <v>70</v>
      </c>
      <c r="S8" s="4">
        <v>2</v>
      </c>
      <c r="T8" s="4">
        <f ca="1">VLOOKUP(A8,Расчёт_оценок!A:C,3,FALSE())</f>
        <v>6</v>
      </c>
      <c r="U8" s="4">
        <f ca="1">IFERROR(VLOOKUP(J8,Проекты!A:P,16,FALSE()),0)</f>
        <v>4</v>
      </c>
      <c r="V8" s="4" t="s">
        <v>71</v>
      </c>
      <c r="W8" s="4">
        <v>2</v>
      </c>
      <c r="X8" s="4">
        <v>3</v>
      </c>
      <c r="Y8" s="4">
        <v>1</v>
      </c>
      <c r="Z8" s="4">
        <v>4</v>
      </c>
      <c r="AA8" s="4">
        <v>4</v>
      </c>
      <c r="AB8" s="4">
        <v>2</v>
      </c>
      <c r="AC8" s="4">
        <f t="shared" si="0"/>
        <v>4</v>
      </c>
      <c r="AD8" s="4">
        <v>3.2</v>
      </c>
      <c r="AE8" s="4">
        <v>0</v>
      </c>
      <c r="AF8" s="4">
        <v>18</v>
      </c>
      <c r="AG8" s="4">
        <v>3</v>
      </c>
      <c r="AH8" s="4">
        <f ca="1">IFERROR(__xludf.dummyfunction("if(isna(filter(prs!C:U,prs!I:I=G8,prs!G:G&gt;DATE(2024,3,28),prs!G:G&lt;DATE(2024,4,26))),0,countunique(index(filter(prs!C:U,prs!I:I=G8,prs!G:G&gt;DATE(2024,3,28),prs!G:G&lt;DATE(2024,4,26)),,1)))"),4)</f>
        <v>4</v>
      </c>
      <c r="AI8" s="4">
        <f ca="1">IFERROR(__xludf.dummyfunction("if(isna(filter(prs!C:U,prs!I:I=G8,prs!R:R&lt;&gt;""Empty field"",prs!G:G&gt;DATE(2024,3,28),prs!G:G&lt;DATE(2024,4,26))),0,countunique(index(filter(prs!C:U,prs!I:I=G8,prs!R:R&lt;&gt;""Empty field"",prs!G:G&gt;DATE(2024,3,28),prs!G:G&lt;DATE(2024,4,26)),,1)))"),4)</f>
        <v>4</v>
      </c>
      <c r="AJ8" s="4">
        <f t="shared" ca="1" si="1"/>
        <v>3</v>
      </c>
      <c r="AK8" s="4">
        <f t="shared" ca="1" si="2"/>
        <v>6</v>
      </c>
      <c r="AL8" s="4">
        <f ca="1">IFERROR(__xludf.dummyfunction("filter('Проекты'!AT:AT,'Проекты'!A:A=J8)"),3.7)</f>
        <v>3.7</v>
      </c>
      <c r="AM8" s="4">
        <f ca="1">IFERROR(__xludf.dummyfunction("ifna(filter(commits_results!H:I,commits_results!B:B=A8,commits_results!A:A=J8),)"),23)</f>
        <v>23</v>
      </c>
      <c r="AN8" s="4">
        <f ca="1">IFERROR(__xludf.dummyfunction("""COMPUTED_VALUE"""),23)</f>
        <v>23</v>
      </c>
      <c r="AO8" s="4">
        <f t="shared" ca="1" si="3"/>
        <v>3</v>
      </c>
      <c r="AP8" s="4">
        <f ca="1">IFERROR(__xludf.dummyfunction("if(isna(filter(prs!C:U,prs!I:I=G8,prs!G:G&gt;DATE(2024,4,25),prs!G:G&lt;DATE(2024,5,23))),0,countunique(index(filter(prs!C:U,prs!I:I=G8,prs!G:G&gt;DATE(2024,4,25),prs!G:G&lt;DATE(2024,5,23)),,1)))"),2)</f>
        <v>2</v>
      </c>
      <c r="AQ8" s="4">
        <f ca="1">IFERROR(__xludf.dummyfunction("if(isna(filter(prs!C:U,prs!I:I=G8,prs!R:R&lt;&gt;""Empty field"",prs!G:G&gt;DATE(2024,4,25),prs!G:G&lt;DATE(2024,5,23))),0,countunique(index(filter(prs!C:U,prs!I:I=G8,prs!R:R&lt;&gt;""Empty field"",prs!G:G&gt;DATE(2024,4,25),prs!G:G&lt;DATE(2024,5,23)),,1)))"),2)</f>
        <v>2</v>
      </c>
      <c r="AR8" s="4">
        <f t="shared" ca="1" si="4"/>
        <v>3</v>
      </c>
      <c r="AS8" s="4">
        <f t="shared" ca="1" si="5"/>
        <v>6</v>
      </c>
      <c r="AT8" s="4">
        <f ca="1">IFERROR(__xludf.dummyfunction("filter('Проекты'!BB:BB,'Проекты'!A:A=J8)"),3)</f>
        <v>3</v>
      </c>
      <c r="AU8" s="4">
        <f ca="1">IFERROR(__xludf.dummyfunction("filter('Проекты'!BE:BE,'Проекты'!A:A=J8)"),10)</f>
        <v>10</v>
      </c>
      <c r="AV8" s="11">
        <f t="shared" ca="1" si="6"/>
        <v>56</v>
      </c>
      <c r="AW8" s="4" t="str">
        <f t="shared" ca="1" si="7"/>
        <v>Неудовлетворительно</v>
      </c>
    </row>
    <row r="9" spans="1:79" ht="15.75" customHeight="1">
      <c r="A9" s="6" t="s">
        <v>72</v>
      </c>
      <c r="B9" s="6" t="s">
        <v>72</v>
      </c>
      <c r="C9" s="6"/>
      <c r="D9" s="6">
        <v>1303</v>
      </c>
      <c r="E9" s="6" t="s">
        <v>73</v>
      </c>
      <c r="F9" s="6" t="s">
        <v>73</v>
      </c>
      <c r="G9" s="6" t="s">
        <v>74</v>
      </c>
      <c r="H9" s="6" t="s">
        <v>75</v>
      </c>
      <c r="I9" s="4" t="s">
        <v>1024</v>
      </c>
      <c r="J9" s="7">
        <f ca="1">IFERROR(__xludf.dummyfunction("index(split(I9,char(9)),1,1)"),15)</f>
        <v>15</v>
      </c>
      <c r="K9" s="7">
        <f ca="1">IFERROR(__xludf.dummyfunction("ifna(index(filter('Посещаемость_баллы'!$A:$L,'Посещаемость_баллы'!$B:$B=$B9,'Посещаемость_баллы'!$C:$C=$C9,'Посещаемость_баллы'!$D:$D=$D9),1,12)*10,0)"),10)</f>
        <v>10</v>
      </c>
      <c r="L9" s="7">
        <f>ROUNDDOWN(IFERROR(VALUE(VLOOKUP(H9,'Онлайн-курс1'!B:F,5,FALSE())),IFERROR(VALUE(VLOOKUP(H9,'Онлайн-курс1'!C:F,4,FALSE())),0))/40*20,0)
+ IFERROR(VALUE(SUBSTITUTE(VLOOKUP(H9,'Онлайн-курс2'!B:I,7,FALSE()),".",",")),IFERROR(VALUE(SUBSTITUTE(VLOOKUP(H9,'Онлайн-курс2'!C:I,6,FALSE()),".",",")),0))*2</f>
        <v>20</v>
      </c>
      <c r="M9" s="8" t="s">
        <v>74</v>
      </c>
      <c r="N9" s="9">
        <v>0</v>
      </c>
      <c r="O9" s="4" t="s">
        <v>76</v>
      </c>
      <c r="P9" s="4">
        <v>0</v>
      </c>
      <c r="Q9" s="10" t="str">
        <f ca="1">IFERROR(__xludf.dummyfunction("iferror(index(QUERY(commits!A$2:$K1001, ""select Count(C) where lower(D) = lower('""&amp;G9&amp;""')""),2,1),""-"")"),"-")</f>
        <v>-</v>
      </c>
      <c r="R9" s="4" t="s">
        <v>77</v>
      </c>
      <c r="S9" s="4" t="s">
        <v>47</v>
      </c>
      <c r="T9" s="4">
        <f ca="1">VLOOKUP(A9,Расчёт_оценок!A:C,3,FALSE())</f>
        <v>6</v>
      </c>
      <c r="U9" s="4">
        <f ca="1">IFERROR(VLOOKUP(J9,Проекты!A:P,16,FALSE()),0)</f>
        <v>4</v>
      </c>
      <c r="V9" s="4" t="s">
        <v>40</v>
      </c>
      <c r="W9" s="4">
        <v>1</v>
      </c>
      <c r="X9" s="4">
        <v>1</v>
      </c>
      <c r="Y9" s="4">
        <v>1.5</v>
      </c>
      <c r="Z9" s="4">
        <v>1</v>
      </c>
      <c r="AA9" s="4">
        <v>1</v>
      </c>
      <c r="AB9" s="4">
        <v>1</v>
      </c>
      <c r="AC9" s="4">
        <f t="shared" si="0"/>
        <v>3.5</v>
      </c>
      <c r="AD9" s="4">
        <v>2</v>
      </c>
      <c r="AE9" s="4">
        <v>4</v>
      </c>
      <c r="AF9" s="4">
        <v>4</v>
      </c>
      <c r="AG9" s="4">
        <v>1.5</v>
      </c>
      <c r="AH9" s="4">
        <f ca="1">IFERROR(__xludf.dummyfunction("if(isna(filter(prs!C:U,prs!I:I=G9,prs!G:G&gt;DATE(2024,3,28),prs!G:G&lt;DATE(2024,4,26))),0,countunique(index(filter(prs!C:U,prs!I:I=G9,prs!G:G&gt;DATE(2024,3,28),prs!G:G&lt;DATE(2024,4,26)),,1)))"),6)</f>
        <v>6</v>
      </c>
      <c r="AI9" s="4">
        <f ca="1">IFERROR(__xludf.dummyfunction("if(isna(filter(prs!C:U,prs!I:I=G9,prs!R:R&lt;&gt;""Empty field"",prs!G:G&gt;DATE(2024,3,28),prs!G:G&lt;DATE(2024,4,26))),0,countunique(index(filter(prs!C:U,prs!I:I=G9,prs!R:R&lt;&gt;""Empty field"",prs!G:G&gt;DATE(2024,3,28),prs!G:G&lt;DATE(2024,4,26)),,1)))"),6)</f>
        <v>6</v>
      </c>
      <c r="AJ9" s="4">
        <f t="shared" ca="1" si="1"/>
        <v>3</v>
      </c>
      <c r="AK9" s="4">
        <f t="shared" ca="1" si="2"/>
        <v>4.5</v>
      </c>
      <c r="AL9" s="4">
        <f ca="1">IFERROR(__xludf.dummyfunction("filter('Проекты'!AT:AT,'Проекты'!A:A=J9)"),2.2)</f>
        <v>2.2000000000000002</v>
      </c>
      <c r="AM9" s="4">
        <f ca="1">IFERROR(__xludf.dummyfunction("ifna(filter(commits_results!H:I,commits_results!B:B=A9,commits_results!A:A=J9),)"),5)</f>
        <v>5</v>
      </c>
      <c r="AN9" s="4">
        <f ca="1">IFERROR(__xludf.dummyfunction("""COMPUTED_VALUE"""),5)</f>
        <v>5</v>
      </c>
      <c r="AO9" s="4">
        <f t="shared" ca="1" si="3"/>
        <v>3</v>
      </c>
      <c r="AP9" s="4">
        <f ca="1">IFERROR(__xludf.dummyfunction("if(isna(filter(prs!C:U,prs!I:I=G9,prs!G:G&gt;DATE(2024,4,25),prs!G:G&lt;DATE(2024,5,23))),0,countunique(index(filter(prs!C:U,prs!I:I=G9,prs!G:G&gt;DATE(2024,4,25),prs!G:G&lt;DATE(2024,5,23)),,1)))"),6)</f>
        <v>6</v>
      </c>
      <c r="AQ9" s="4">
        <f ca="1">IFERROR(__xludf.dummyfunction("if(isna(filter(prs!C:U,prs!I:I=G9,prs!R:R&lt;&gt;""Empty field"",prs!G:G&gt;DATE(2024,4,25),prs!G:G&lt;DATE(2024,5,23))),0,countunique(index(filter(prs!C:U,prs!I:I=G9,prs!R:R&lt;&gt;""Empty field"",prs!G:G&gt;DATE(2024,4,25),prs!G:G&lt;DATE(2024,5,23)),,1)))"),6)</f>
        <v>6</v>
      </c>
      <c r="AR9" s="4">
        <f t="shared" ca="1" si="4"/>
        <v>3</v>
      </c>
      <c r="AS9" s="4">
        <f t="shared" ca="1" si="5"/>
        <v>6</v>
      </c>
      <c r="AT9" s="4">
        <f ca="1">IFERROR(__xludf.dummyfunction("filter('Проекты'!BB:BB,'Проекты'!A:A=J9)"),3.7)</f>
        <v>3.7</v>
      </c>
      <c r="AU9" s="4">
        <f ca="1">IFERROR(__xludf.dummyfunction("filter('Проекты'!BE:BE,'Проекты'!A:A=J9)"),0)</f>
        <v>0</v>
      </c>
      <c r="AV9" s="11">
        <f t="shared" ca="1" si="6"/>
        <v>62</v>
      </c>
      <c r="AW9" s="4" t="str">
        <f t="shared" ca="1" si="7"/>
        <v>Удовлетворительно</v>
      </c>
    </row>
    <row r="10" spans="1:79" ht="15.75" customHeight="1">
      <c r="A10" s="6" t="s">
        <v>78</v>
      </c>
      <c r="B10" s="6" t="s">
        <v>78</v>
      </c>
      <c r="C10" s="6"/>
      <c r="D10" s="6">
        <v>1303</v>
      </c>
      <c r="E10" s="6" t="s">
        <v>79</v>
      </c>
      <c r="F10" s="6" t="s">
        <v>79</v>
      </c>
      <c r="G10" s="6" t="s">
        <v>80</v>
      </c>
      <c r="H10" s="6" t="s">
        <v>81</v>
      </c>
      <c r="I10" s="4" t="s">
        <v>1025</v>
      </c>
      <c r="J10" s="7">
        <f ca="1">IFERROR(__xludf.dummyfunction("index(split(I10,char(9)),1,1)"),2)</f>
        <v>2</v>
      </c>
      <c r="K10" s="7">
        <f ca="1">IFERROR(__xludf.dummyfunction("ifna(index(filter('Посещаемость_баллы'!$A:$L,'Посещаемость_баллы'!$B:$B=$B10,'Посещаемость_баллы'!$C:$C=$C10,'Посещаемость_баллы'!$D:$D=$D10),1,12)*10,0)"),8)</f>
        <v>8</v>
      </c>
      <c r="L10" s="7">
        <f>ROUNDDOWN(IFERROR(VALUE(VLOOKUP(H10,'Онлайн-курс1'!B:F,5,FALSE())),IFERROR(VALUE(VLOOKUP(H10,'Онлайн-курс1'!C:F,4,FALSE())),0))/40*20,0)
+ IFERROR(VALUE(SUBSTITUTE(VLOOKUP(H10,'Онлайн-курс2'!B:I,7,FALSE()),".",",")),IFERROR(VALUE(SUBSTITUTE(VLOOKUP(H10,'Онлайн-курс2'!C:I,6,FALSE()),".",",")),0))*2</f>
        <v>20</v>
      </c>
      <c r="M10" s="8" t="s">
        <v>80</v>
      </c>
      <c r="N10" s="9">
        <v>1</v>
      </c>
      <c r="O10" s="4" t="s">
        <v>82</v>
      </c>
      <c r="P10" s="4">
        <v>0</v>
      </c>
      <c r="Q10" s="10" t="str">
        <f ca="1">IFERROR(__xludf.dummyfunction("iferror(index(QUERY(commits!A$2:$K1001, ""select Count(C) where lower(D) = lower('""&amp;G10&amp;""')""),2,1),""-"")"),"-")</f>
        <v>-</v>
      </c>
      <c r="R10" s="4" t="s">
        <v>54</v>
      </c>
      <c r="S10" s="4" t="s">
        <v>47</v>
      </c>
      <c r="T10" s="4">
        <f ca="1">VLOOKUP(A10,Расчёт_оценок!A:C,3,FALSE())</f>
        <v>5</v>
      </c>
      <c r="U10" s="4">
        <f ca="1">IFERROR(VLOOKUP(J10,Проекты!A:P,16,FALSE()),0)</f>
        <v>3</v>
      </c>
      <c r="V10" s="4" t="s">
        <v>54</v>
      </c>
      <c r="W10" s="4">
        <v>12</v>
      </c>
      <c r="X10" s="4">
        <v>12</v>
      </c>
      <c r="Y10" s="4">
        <v>3</v>
      </c>
      <c r="Z10" s="4">
        <v>5</v>
      </c>
      <c r="AA10" s="4">
        <v>4</v>
      </c>
      <c r="AB10" s="4">
        <v>2</v>
      </c>
      <c r="AC10" s="4">
        <f t="shared" si="0"/>
        <v>5</v>
      </c>
      <c r="AD10" s="4">
        <v>3.4</v>
      </c>
      <c r="AE10" s="4">
        <v>18</v>
      </c>
      <c r="AF10" s="4">
        <v>18</v>
      </c>
      <c r="AG10" s="4">
        <v>3</v>
      </c>
      <c r="AH10" s="4">
        <v>10</v>
      </c>
      <c r="AI10" s="4">
        <v>9</v>
      </c>
      <c r="AJ10" s="4">
        <f t="shared" si="1"/>
        <v>3</v>
      </c>
      <c r="AK10" s="4">
        <f t="shared" si="2"/>
        <v>6</v>
      </c>
      <c r="AL10" s="4">
        <f ca="1">IFERROR(__xludf.dummyfunction("filter('Проекты'!AT:AT,'Проекты'!A:A=J10)"),3.3)</f>
        <v>3.3</v>
      </c>
      <c r="AM10" s="4">
        <f ca="1">IFERROR(__xludf.dummyfunction("ifna(filter(commits_results!H:I,commits_results!B:B=A10,commits_results!A:A=J10),)"),15)</f>
        <v>15</v>
      </c>
      <c r="AN10" s="4">
        <f ca="1">IFERROR(__xludf.dummyfunction("""COMPUTED_VALUE"""),21)</f>
        <v>21</v>
      </c>
      <c r="AO10" s="4">
        <f t="shared" ca="1" si="3"/>
        <v>3</v>
      </c>
      <c r="AP10" s="4">
        <v>4</v>
      </c>
      <c r="AQ10" s="4">
        <v>3</v>
      </c>
      <c r="AR10" s="4">
        <f t="shared" si="4"/>
        <v>3</v>
      </c>
      <c r="AS10" s="4">
        <f t="shared" ca="1" si="5"/>
        <v>6</v>
      </c>
      <c r="AT10" s="4">
        <f ca="1">IFERROR(__xludf.dummyfunction("filter('Проекты'!BB:BB,'Проекты'!A:A=J10)"),2.8)</f>
        <v>2.8</v>
      </c>
      <c r="AU10" s="4">
        <f ca="1">IFERROR(__xludf.dummyfunction("filter('Проекты'!BE:BE,'Проекты'!A:A=J10)"),0)</f>
        <v>0</v>
      </c>
      <c r="AV10" s="11">
        <f t="shared" ca="1" si="6"/>
        <v>63</v>
      </c>
      <c r="AW10" s="4" t="str">
        <f t="shared" ca="1" si="7"/>
        <v>Удовлетворительно</v>
      </c>
    </row>
    <row r="11" spans="1:79" ht="15.75" customHeight="1">
      <c r="A11" s="6" t="s">
        <v>83</v>
      </c>
      <c r="B11" s="6" t="s">
        <v>83</v>
      </c>
      <c r="C11" s="6"/>
      <c r="D11" s="6">
        <v>1303</v>
      </c>
      <c r="E11" s="6" t="s">
        <v>84</v>
      </c>
      <c r="F11" s="6" t="s">
        <v>84</v>
      </c>
      <c r="G11" s="6" t="s">
        <v>85</v>
      </c>
      <c r="H11" s="6" t="s">
        <v>86</v>
      </c>
      <c r="I11" s="4" t="s">
        <v>1026</v>
      </c>
      <c r="J11" s="7">
        <f ca="1">IFERROR(__xludf.dummyfunction("index(split(I11,char(9)),1,1)"),2)</f>
        <v>2</v>
      </c>
      <c r="K11" s="7">
        <f ca="1">IFERROR(__xludf.dummyfunction("ifna(index(filter('Посещаемость_баллы'!$A:$L,'Посещаемость_баллы'!$B:$B=$B11,'Посещаемость_баллы'!$C:$C=$C11,'Посещаемость_баллы'!$D:$D=$D11),1,12)*10,0)"),4)</f>
        <v>4</v>
      </c>
      <c r="L11" s="7">
        <f>ROUNDDOWN(IFERROR(VALUE(VLOOKUP(H11,'Онлайн-курс1'!B:F,5,FALSE())),IFERROR(VALUE(VLOOKUP(H11,'Онлайн-курс1'!C:F,4,FALSE())),0))/40*20,0)
+ IFERROR(VALUE(SUBSTITUTE(VLOOKUP(H11,'Онлайн-курс2'!B:I,7,FALSE()),".",",")),IFERROR(VALUE(SUBSTITUTE(VLOOKUP(H11,'Онлайн-курс2'!C:I,6,FALSE()),".",",")),0))*2</f>
        <v>20</v>
      </c>
      <c r="M11" s="8" t="s">
        <v>85</v>
      </c>
      <c r="N11" s="9">
        <v>1</v>
      </c>
      <c r="O11" s="4" t="s">
        <v>87</v>
      </c>
      <c r="P11" s="4">
        <v>0</v>
      </c>
      <c r="Q11" s="10" t="str">
        <f ca="1">IFERROR(__xludf.dummyfunction("iferror(index(QUERY(commits!A$2:$K1001, ""select Count(C) where lower(D) = lower('""&amp;G11&amp;""')""),2,1),""-"")"),"-")</f>
        <v>-</v>
      </c>
      <c r="R11" s="4" t="s">
        <v>54</v>
      </c>
      <c r="S11" s="4" t="s">
        <v>47</v>
      </c>
      <c r="T11" s="4">
        <f ca="1">VLOOKUP(A11,Расчёт_оценок!A:C,3,FALSE())</f>
        <v>5</v>
      </c>
      <c r="U11" s="4">
        <f ca="1">IFERROR(VLOOKUP(J11,Проекты!A:P,16,FALSE()),0)</f>
        <v>3</v>
      </c>
      <c r="V11" s="4" t="s">
        <v>54</v>
      </c>
      <c r="W11" s="4">
        <v>5</v>
      </c>
      <c r="X11" s="4">
        <v>5</v>
      </c>
      <c r="Y11" s="4">
        <v>1.5</v>
      </c>
      <c r="Z11" s="4">
        <v>5</v>
      </c>
      <c r="AA11" s="4">
        <v>4</v>
      </c>
      <c r="AB11" s="4">
        <v>2</v>
      </c>
      <c r="AC11" s="4">
        <f t="shared" si="0"/>
        <v>3.5</v>
      </c>
      <c r="AD11" s="4">
        <v>3.4</v>
      </c>
      <c r="AE11" s="4">
        <v>20</v>
      </c>
      <c r="AF11" s="4">
        <v>20</v>
      </c>
      <c r="AG11" s="4">
        <v>3</v>
      </c>
      <c r="AH11" s="4">
        <v>6</v>
      </c>
      <c r="AI11" s="4">
        <v>5</v>
      </c>
      <c r="AJ11" s="4">
        <f t="shared" si="1"/>
        <v>3</v>
      </c>
      <c r="AK11" s="4">
        <f t="shared" si="2"/>
        <v>6</v>
      </c>
      <c r="AL11" s="4">
        <f ca="1">IFERROR(__xludf.dummyfunction("filter('Проекты'!AT:AT,'Проекты'!A:A=J11)"),3.3)</f>
        <v>3.3</v>
      </c>
      <c r="AM11" s="4">
        <f ca="1">IFERROR(__xludf.dummyfunction("ifna(filter(commits_results!H:I,commits_results!B:B=A11,commits_results!A:A=J11),)"),9)</f>
        <v>9</v>
      </c>
      <c r="AN11" s="4">
        <f ca="1">IFERROR(__xludf.dummyfunction("""COMPUTED_VALUE"""),23)</f>
        <v>23</v>
      </c>
      <c r="AO11" s="4">
        <f t="shared" ca="1" si="3"/>
        <v>3</v>
      </c>
      <c r="AP11" s="4">
        <v>2</v>
      </c>
      <c r="AQ11" s="4">
        <v>1</v>
      </c>
      <c r="AR11" s="4">
        <f t="shared" si="4"/>
        <v>3</v>
      </c>
      <c r="AS11" s="4">
        <f t="shared" ca="1" si="5"/>
        <v>6</v>
      </c>
      <c r="AT11" s="4">
        <f ca="1">IFERROR(__xludf.dummyfunction("filter('Проекты'!BB:BB,'Проекты'!A:A=J11)"),2.8)</f>
        <v>2.8</v>
      </c>
      <c r="AU11" s="4">
        <f ca="1">IFERROR(__xludf.dummyfunction("filter('Проекты'!BE:BE,'Проекты'!A:A=J11)"),0)</f>
        <v>0</v>
      </c>
      <c r="AV11" s="11">
        <f t="shared" ca="1" si="6"/>
        <v>57</v>
      </c>
      <c r="AW11" s="4" t="str">
        <f t="shared" ca="1" si="7"/>
        <v>Неудовлетворительно</v>
      </c>
    </row>
    <row r="12" spans="1:79" ht="15.75" customHeight="1">
      <c r="A12" s="6" t="s">
        <v>88</v>
      </c>
      <c r="B12" s="6" t="s">
        <v>88</v>
      </c>
      <c r="C12" s="6"/>
      <c r="D12" s="6">
        <v>1303</v>
      </c>
      <c r="E12" s="6" t="s">
        <v>89</v>
      </c>
      <c r="F12" s="6" t="s">
        <v>89</v>
      </c>
      <c r="G12" s="6" t="s">
        <v>90</v>
      </c>
      <c r="H12" s="6" t="s">
        <v>91</v>
      </c>
      <c r="I12" s="4" t="s">
        <v>1027</v>
      </c>
      <c r="J12" s="7">
        <f ca="1">IFERROR(__xludf.dummyfunction("index(split(I12,char(9)),1,1)"),4)</f>
        <v>4</v>
      </c>
      <c r="K12" s="7">
        <f ca="1">IFERROR(__xludf.dummyfunction("ifna(index(filter('Посещаемость_баллы'!$A:$L,'Посещаемость_баллы'!$B:$B=$B12,'Посещаемость_баллы'!$C:$C=$C12,'Посещаемость_баллы'!$D:$D=$D12),1,12)*10,0)"),2)</f>
        <v>2</v>
      </c>
      <c r="L12" s="7">
        <f>ROUNDDOWN(IFERROR(VALUE(VLOOKUP(H12,'Онлайн-курс1'!B:F,5,FALSE())),IFERROR(VALUE(VLOOKUP(H12,'Онлайн-курс1'!C:F,4,FALSE())),0))/40*20,0)
+ IFERROR(VALUE(SUBSTITUTE(VLOOKUP(H12,'Онлайн-курс2'!B:I,7,FALSE()),".",",")),IFERROR(VALUE(SUBSTITUTE(VLOOKUP(H12,'Онлайн-курс2'!C:I,6,FALSE()),".",",")),0))*2</f>
        <v>20</v>
      </c>
      <c r="M12" s="8" t="s">
        <v>90</v>
      </c>
      <c r="N12" s="9">
        <v>1</v>
      </c>
      <c r="O12" s="4" t="s">
        <v>92</v>
      </c>
      <c r="P12" s="4">
        <v>0</v>
      </c>
      <c r="Q12" s="10" t="str">
        <f ca="1">IFERROR(__xludf.dummyfunction("iferror(index(QUERY(commits!A$2:$K1001, ""select Count(C) where lower(D) = lower('""&amp;G12&amp;""')""),2,1),""-"")"),"-")</f>
        <v>-</v>
      </c>
      <c r="R12" s="4" t="s">
        <v>54</v>
      </c>
      <c r="S12" s="4" t="s">
        <v>47</v>
      </c>
      <c r="T12" s="4">
        <f ca="1">VLOOKUP(A12,Расчёт_оценок!A:C,3,FALSE())</f>
        <v>4</v>
      </c>
      <c r="U12" s="4">
        <f ca="1">IFERROR(VLOOKUP(J12,Проекты!A:P,16,FALSE()),0)</f>
        <v>4</v>
      </c>
      <c r="V12" s="4" t="s">
        <v>40</v>
      </c>
      <c r="W12" s="4">
        <v>12</v>
      </c>
      <c r="X12" s="4">
        <v>12</v>
      </c>
      <c r="Y12" s="4">
        <v>3</v>
      </c>
      <c r="Z12" s="4">
        <v>3</v>
      </c>
      <c r="AA12" s="4">
        <v>3</v>
      </c>
      <c r="AB12" s="4">
        <v>2</v>
      </c>
      <c r="AC12" s="4">
        <f t="shared" si="0"/>
        <v>6</v>
      </c>
      <c r="AD12" s="4">
        <v>2.6</v>
      </c>
      <c r="AE12" s="4">
        <v>13</v>
      </c>
      <c r="AF12" s="4">
        <v>13</v>
      </c>
      <c r="AG12" s="4">
        <v>3</v>
      </c>
      <c r="AH12" s="4">
        <f ca="1">IFERROR(__xludf.dummyfunction("if(isna(filter(prs!C:U,prs!I:I=G12,prs!G:G&gt;DATE(2024,3,28),prs!G:G&lt;DATE(2024,4,26))),0,countunique(index(filter(prs!C:U,prs!I:I=G12,prs!G:G&gt;DATE(2024,3,28),prs!G:G&lt;DATE(2024,4,26)),,1)))"),8)</f>
        <v>8</v>
      </c>
      <c r="AI12" s="4">
        <f ca="1">IFERROR(__xludf.dummyfunction("if(isna(filter(prs!C:U,prs!I:I=G12,prs!R:R&lt;&gt;""Empty field"",prs!G:G&gt;DATE(2024,3,28),prs!G:G&lt;DATE(2024,4,26))),0,countunique(index(filter(prs!C:U,prs!I:I=G12,prs!R:R&lt;&gt;""Empty field"",prs!G:G&gt;DATE(2024,3,28),prs!G:G&lt;DATE(2024,4,26)),,1)))"),8)</f>
        <v>8</v>
      </c>
      <c r="AJ12" s="4">
        <f t="shared" ca="1" si="1"/>
        <v>3</v>
      </c>
      <c r="AK12" s="4">
        <f t="shared" ca="1" si="2"/>
        <v>6</v>
      </c>
      <c r="AL12" s="4">
        <f ca="1">IFERROR(__xludf.dummyfunction("filter('Проекты'!AT:AT,'Проекты'!A:A=J12)"),3.9)</f>
        <v>3.9</v>
      </c>
      <c r="AM12" s="4">
        <f ca="1">IFERROR(__xludf.dummyfunction("ifna(filter(commits_results!H:I,commits_results!B:B=A12,commits_results!A:A=J12),)"),7)</f>
        <v>7</v>
      </c>
      <c r="AN12" s="4">
        <f ca="1">IFERROR(__xludf.dummyfunction("""COMPUTED_VALUE"""),7)</f>
        <v>7</v>
      </c>
      <c r="AO12" s="4">
        <f t="shared" ca="1" si="3"/>
        <v>3</v>
      </c>
      <c r="AP12" s="4">
        <f ca="1">IFERROR(__xludf.dummyfunction("if(isna(filter(prs!C:U,prs!I:I=G12,prs!G:G&gt;DATE(2024,4,25),prs!G:G&lt;DATE(2024,5,23))),0,countunique(index(filter(prs!C:U,prs!I:I=G12,prs!G:G&gt;DATE(2024,4,25),prs!G:G&lt;DATE(2024,5,23)),,1)))"),4)</f>
        <v>4</v>
      </c>
      <c r="AQ12" s="4">
        <f ca="1">IFERROR(__xludf.dummyfunction("if(isna(filter(prs!C:U,prs!I:I=G12,prs!R:R&lt;&gt;""Empty field"",prs!G:G&gt;DATE(2024,4,25),prs!G:G&lt;DATE(2024,5,23))),0,countunique(index(filter(prs!C:U,prs!I:I=G12,prs!R:R&lt;&gt;""Empty field"",prs!G:G&gt;DATE(2024,4,25),prs!G:G&lt;DATE(2024,5,23)),,1)))"),4)</f>
        <v>4</v>
      </c>
      <c r="AR12" s="4">
        <f t="shared" ca="1" si="4"/>
        <v>3</v>
      </c>
      <c r="AS12" s="4">
        <f t="shared" ca="1" si="5"/>
        <v>6</v>
      </c>
      <c r="AT12" s="4">
        <f ca="1">IFERROR(__xludf.dummyfunction("filter('Проекты'!BB:BB,'Проекты'!A:A=J12)"),2.5)</f>
        <v>2.5</v>
      </c>
      <c r="AU12" s="4">
        <f ca="1">IFERROR(__xludf.dummyfunction("filter('Проекты'!BE:BE,'Проекты'!A:A=J12)"),0)</f>
        <v>0</v>
      </c>
      <c r="AV12" s="11">
        <f t="shared" ca="1" si="6"/>
        <v>57</v>
      </c>
      <c r="AW12" s="4" t="str">
        <f t="shared" ca="1" si="7"/>
        <v>Неудовлетворительно</v>
      </c>
    </row>
    <row r="13" spans="1:79" ht="15.75" customHeight="1">
      <c r="A13" s="6" t="s">
        <v>93</v>
      </c>
      <c r="B13" s="6" t="s">
        <v>93</v>
      </c>
      <c r="C13" s="6"/>
      <c r="D13" s="6">
        <v>1303</v>
      </c>
      <c r="E13" s="6" t="s">
        <v>94</v>
      </c>
      <c r="F13" s="6" t="s">
        <v>94</v>
      </c>
      <c r="G13" s="6" t="s">
        <v>95</v>
      </c>
      <c r="H13" s="6" t="s">
        <v>96</v>
      </c>
      <c r="I13" s="4" t="s">
        <v>1028</v>
      </c>
      <c r="J13" s="7">
        <f ca="1">IFERROR(__xludf.dummyfunction("index(split(I13,char(9)),1,1)"),15)</f>
        <v>15</v>
      </c>
      <c r="K13" s="7">
        <f ca="1">IFERROR(__xludf.dummyfunction("ifna(index(filter('Посещаемость_баллы'!$A:$L,'Посещаемость_баллы'!$B:$B=$B13,'Посещаемость_баллы'!$C:$C=$C13,'Посещаемость_баллы'!$D:$D=$D13),1,12)*10,0)"),8)</f>
        <v>8</v>
      </c>
      <c r="L13" s="7">
        <f>ROUNDDOWN(IFERROR(VALUE(VLOOKUP(H13,'Онлайн-курс1'!B:F,5,FALSE())),IFERROR(VALUE(VLOOKUP(H13,'Онлайн-курс1'!C:F,4,FALSE())),0))/40*20,0)
+ IFERROR(VALUE(SUBSTITUTE(VLOOKUP(H13,'Онлайн-курс2'!B:I,7,FALSE()),".",",")),IFERROR(VALUE(SUBSTITUTE(VLOOKUP(H13,'Онлайн-курс2'!C:I,6,FALSE()),".",",")),0))*2</f>
        <v>20</v>
      </c>
      <c r="M13" s="8" t="s">
        <v>95</v>
      </c>
      <c r="N13" s="9">
        <v>1</v>
      </c>
      <c r="O13" s="4" t="s">
        <v>97</v>
      </c>
      <c r="P13" s="4">
        <v>0</v>
      </c>
      <c r="Q13" s="10" t="str">
        <f ca="1">IFERROR(__xludf.dummyfunction("iferror(index(QUERY(commits!A$2:$K1001, ""select Count(C) where lower(D) = lower('""&amp;G13&amp;""')""),2,1),""-"")"),"-")</f>
        <v>-</v>
      </c>
      <c r="R13" s="4" t="s">
        <v>77</v>
      </c>
      <c r="S13" s="4" t="s">
        <v>47</v>
      </c>
      <c r="T13" s="4">
        <f ca="1">VLOOKUP(A13,Расчёт_оценок!A:C,3,FALSE())</f>
        <v>6</v>
      </c>
      <c r="U13" s="4">
        <f ca="1">IFERROR(VLOOKUP(J13,Проекты!A:P,16,FALSE()),0)</f>
        <v>4</v>
      </c>
      <c r="V13" s="4" t="s">
        <v>40</v>
      </c>
      <c r="W13" s="4">
        <v>1</v>
      </c>
      <c r="X13" s="4">
        <v>1</v>
      </c>
      <c r="Y13" s="4">
        <v>1.5</v>
      </c>
      <c r="Z13" s="4">
        <v>1</v>
      </c>
      <c r="AA13" s="4">
        <v>1</v>
      </c>
      <c r="AB13" s="4">
        <v>1</v>
      </c>
      <c r="AC13" s="4">
        <f t="shared" si="0"/>
        <v>3.5</v>
      </c>
      <c r="AD13" s="4">
        <v>2</v>
      </c>
      <c r="AE13" s="4">
        <v>1</v>
      </c>
      <c r="AF13" s="4">
        <v>1</v>
      </c>
      <c r="AG13" s="4">
        <v>1.5</v>
      </c>
      <c r="AH13" s="4">
        <f ca="1">IFERROR(__xludf.dummyfunction("if(isna(filter(prs!C:U,prs!I:I=G13,prs!G:G&gt;DATE(2024,3,28),prs!G:G&lt;DATE(2024,4,26))),0,countunique(index(filter(prs!C:U,prs!I:I=G13,prs!G:G&gt;DATE(2024,3,28),prs!G:G&lt;DATE(2024,4,26)),,1)))"),2)</f>
        <v>2</v>
      </c>
      <c r="AI13" s="4">
        <f ca="1">IFERROR(__xludf.dummyfunction("if(isna(filter(prs!C:U,prs!I:I=G13,prs!R:R&lt;&gt;""Empty field"",prs!G:G&gt;DATE(2024,3,28),prs!G:G&lt;DATE(2024,4,26))),0,countunique(index(filter(prs!C:U,prs!I:I=G13,prs!R:R&lt;&gt;""Empty field"",prs!G:G&gt;DATE(2024,3,28),prs!G:G&lt;DATE(2024,4,26)),,1)))"),2)</f>
        <v>2</v>
      </c>
      <c r="AJ13" s="4">
        <f t="shared" ca="1" si="1"/>
        <v>3</v>
      </c>
      <c r="AK13" s="4">
        <f t="shared" ca="1" si="2"/>
        <v>4.5</v>
      </c>
      <c r="AL13" s="4">
        <f ca="1">IFERROR(__xludf.dummyfunction("filter('Проекты'!AT:AT,'Проекты'!A:A=J13)"),2.2)</f>
        <v>2.2000000000000002</v>
      </c>
      <c r="AM13" s="4">
        <f ca="1">IFERROR(__xludf.dummyfunction("ifna(filter(commits_results!H:I,commits_results!B:B=A13,commits_results!A:A=J13),)"),5)</f>
        <v>5</v>
      </c>
      <c r="AN13" s="4">
        <f ca="1">IFERROR(__xludf.dummyfunction("""COMPUTED_VALUE"""),5)</f>
        <v>5</v>
      </c>
      <c r="AO13" s="4">
        <f t="shared" ca="1" si="3"/>
        <v>3</v>
      </c>
      <c r="AP13" s="4">
        <f ca="1">IFERROR(__xludf.dummyfunction("if(isna(filter(prs!C:U,prs!I:I=G13,prs!G:G&gt;DATE(2024,4,25),prs!G:G&lt;DATE(2024,5,23))),0,countunique(index(filter(prs!C:U,prs!I:I=G13,prs!G:G&gt;DATE(2024,4,25),prs!G:G&lt;DATE(2024,5,23)),,1)))"),4)</f>
        <v>4</v>
      </c>
      <c r="AQ13" s="4">
        <f ca="1">IFERROR(__xludf.dummyfunction("if(isna(filter(prs!C:U,prs!I:I=G13,prs!R:R&lt;&gt;""Empty field"",prs!G:G&gt;DATE(2024,4,25),prs!G:G&lt;DATE(2024,5,23))),0,countunique(index(filter(prs!C:U,prs!I:I=G13,prs!R:R&lt;&gt;""Empty field"",prs!G:G&gt;DATE(2024,4,25),prs!G:G&lt;DATE(2024,5,23)),,1)))"),4)</f>
        <v>4</v>
      </c>
      <c r="AR13" s="4">
        <f t="shared" ca="1" si="4"/>
        <v>3</v>
      </c>
      <c r="AS13" s="4">
        <f t="shared" ca="1" si="5"/>
        <v>6</v>
      </c>
      <c r="AT13" s="4">
        <f ca="1">IFERROR(__xludf.dummyfunction("filter('Проекты'!BB:BB,'Проекты'!A:A=J13)"),3.7)</f>
        <v>3.7</v>
      </c>
      <c r="AU13" s="4">
        <f ca="1">IFERROR(__xludf.dummyfunction("filter('Проекты'!BE:BE,'Проекты'!A:A=J13)"),0)</f>
        <v>0</v>
      </c>
      <c r="AV13" s="11">
        <f t="shared" ca="1" si="6"/>
        <v>60</v>
      </c>
      <c r="AW13" s="4" t="str">
        <f t="shared" ca="1" si="7"/>
        <v>Удовлетворительно</v>
      </c>
    </row>
    <row r="14" spans="1:79" ht="15.75" customHeight="1">
      <c r="A14" s="6" t="s">
        <v>98</v>
      </c>
      <c r="B14" s="6" t="s">
        <v>98</v>
      </c>
      <c r="C14" s="6"/>
      <c r="D14" s="6">
        <v>1303</v>
      </c>
      <c r="E14" s="6" t="s">
        <v>99</v>
      </c>
      <c r="F14" s="6" t="s">
        <v>99</v>
      </c>
      <c r="G14" s="6" t="s">
        <v>100</v>
      </c>
      <c r="H14" s="6" t="s">
        <v>101</v>
      </c>
      <c r="I14" s="4" t="s">
        <v>1029</v>
      </c>
      <c r="J14" s="7">
        <f ca="1">IFERROR(__xludf.dummyfunction("index(split(I14,char(9)),1,1)"),12)</f>
        <v>12</v>
      </c>
      <c r="K14" s="7">
        <f ca="1">IFERROR(__xludf.dummyfunction("ifna(index(filter('Посещаемость_баллы'!$A:$L,'Посещаемость_баллы'!$B:$B=$B14,'Посещаемость_баллы'!$C:$C=$C14,'Посещаемость_баллы'!$D:$D=$D14),1,12)*10,0)"),0)</f>
        <v>0</v>
      </c>
      <c r="L14" s="7">
        <f>ROUNDDOWN(IFERROR(VALUE(VLOOKUP(H14,'Онлайн-курс1'!B:F,5,FALSE())),IFERROR(VALUE(VLOOKUP(H14,'Онлайн-курс1'!C:F,4,FALSE())),0))/40*20,0)
+ IFERROR(VALUE(SUBSTITUTE(VLOOKUP(H14,'Онлайн-курс2'!B:I,7,FALSE()),".",",")),IFERROR(VALUE(SUBSTITUTE(VLOOKUP(H14,'Онлайн-курс2'!C:I,6,FALSE()),".",",")),0))*2</f>
        <v>20</v>
      </c>
      <c r="M14" s="8" t="s">
        <v>100</v>
      </c>
      <c r="N14" s="9">
        <v>1</v>
      </c>
      <c r="O14" s="4" t="s">
        <v>102</v>
      </c>
      <c r="P14" s="4">
        <v>0</v>
      </c>
      <c r="Q14" s="10" t="str">
        <f ca="1">IFERROR(__xludf.dummyfunction("iferror(index(QUERY(commits!A$2:$K1001, ""select Count(C) where lower(D) = lower('""&amp;G14&amp;""')""),2,1),""-"")"),"-")</f>
        <v>-</v>
      </c>
      <c r="R14" s="4" t="s">
        <v>54</v>
      </c>
      <c r="S14" s="4" t="s">
        <v>47</v>
      </c>
      <c r="T14" s="4">
        <f ca="1">VLOOKUP(A14,Расчёт_оценок!A:C,3,FALSE())</f>
        <v>5</v>
      </c>
      <c r="U14" s="4">
        <f ca="1">IFERROR(VLOOKUP(J14,Проекты!A:P,16,FALSE()),0)</f>
        <v>4</v>
      </c>
      <c r="V14" s="4" t="s">
        <v>103</v>
      </c>
      <c r="W14" s="4">
        <v>8</v>
      </c>
      <c r="X14" s="4">
        <v>8</v>
      </c>
      <c r="Y14" s="4">
        <v>3</v>
      </c>
      <c r="Z14" s="4">
        <v>3</v>
      </c>
      <c r="AA14" s="4">
        <v>2</v>
      </c>
      <c r="AB14" s="4">
        <v>1.33</v>
      </c>
      <c r="AC14" s="4">
        <f t="shared" si="0"/>
        <v>5.33</v>
      </c>
      <c r="AD14" s="4">
        <v>3.8</v>
      </c>
      <c r="AE14" s="4">
        <v>7</v>
      </c>
      <c r="AF14" s="4">
        <v>7</v>
      </c>
      <c r="AG14" s="4">
        <v>3</v>
      </c>
      <c r="AH14" s="4">
        <f ca="1">IFERROR(__xludf.dummyfunction("if(isna(filter(prs!C:U,prs!I:I=G14,prs!G:G&gt;DATE(2024,3,28),prs!G:G&lt;DATE(2024,4,26))),0,countunique(index(filter(prs!C:U,prs!I:I=G14,prs!G:G&gt;DATE(2024,3,28),prs!G:G&lt;DATE(2024,4,26)),,1)))"),6)</f>
        <v>6</v>
      </c>
      <c r="AI14" s="4">
        <f ca="1">IFERROR(__xludf.dummyfunction("if(isna(filter(prs!C:U,prs!I:I=G14,prs!R:R&lt;&gt;""Empty field"",prs!G:G&gt;DATE(2024,3,28),prs!G:G&lt;DATE(2024,4,26))),0,countunique(index(filter(prs!C:U,prs!I:I=G14,prs!R:R&lt;&gt;""Empty field"",prs!G:G&gt;DATE(2024,3,28),prs!G:G&lt;DATE(2024,4,26)),,1)))"),6)</f>
        <v>6</v>
      </c>
      <c r="AJ14" s="4">
        <f t="shared" ca="1" si="1"/>
        <v>3</v>
      </c>
      <c r="AK14" s="4">
        <f t="shared" ca="1" si="2"/>
        <v>6</v>
      </c>
      <c r="AL14" s="4">
        <f ca="1">IFERROR(__xludf.dummyfunction("filter('Проекты'!AT:AT,'Проекты'!A:A=J14)"),3.3)</f>
        <v>3.3</v>
      </c>
      <c r="AM14" s="4">
        <f ca="1">IFERROR(__xludf.dummyfunction("ifna(filter(commits_results!H:I,commits_results!B:B=A14,commits_results!A:A=J14),)"),5)</f>
        <v>5</v>
      </c>
      <c r="AN14" s="4">
        <f ca="1">IFERROR(__xludf.dummyfunction("""COMPUTED_VALUE"""),5)</f>
        <v>5</v>
      </c>
      <c r="AO14" s="4">
        <f t="shared" ca="1" si="3"/>
        <v>3</v>
      </c>
      <c r="AP14" s="4">
        <f ca="1">IFERROR(__xludf.dummyfunction("if(isna(filter(prs!C:U,prs!I:I=G14,prs!G:G&gt;DATE(2024,4,25),prs!G:G&lt;DATE(2024,5,23))),0,countunique(index(filter(prs!C:U,prs!I:I=G14,prs!G:G&gt;DATE(2024,4,25),prs!G:G&lt;DATE(2024,5,23)),,1)))"),2)</f>
        <v>2</v>
      </c>
      <c r="AQ14" s="4">
        <f ca="1">IFERROR(__xludf.dummyfunction("if(isna(filter(prs!C:U,prs!I:I=G14,prs!R:R&lt;&gt;""Empty field"",prs!G:G&gt;DATE(2024,4,25),prs!G:G&lt;DATE(2024,5,23))),0,countunique(index(filter(prs!C:U,prs!I:I=G14,prs!R:R&lt;&gt;""Empty field"",prs!G:G&gt;DATE(2024,4,25),prs!G:G&lt;DATE(2024,5,23)),,1)))"),2)</f>
        <v>2</v>
      </c>
      <c r="AR14" s="4">
        <f t="shared" ca="1" si="4"/>
        <v>3</v>
      </c>
      <c r="AS14" s="4">
        <f t="shared" ca="1" si="5"/>
        <v>6</v>
      </c>
      <c r="AT14" s="4">
        <f ca="1">IFERROR(__xludf.dummyfunction("filter('Проекты'!BB:BB,'Проекты'!A:A=J14)"),1.1)</f>
        <v>1.1000000000000001</v>
      </c>
      <c r="AU14" s="4">
        <f ca="1">IFERROR(__xludf.dummyfunction("filter('Проекты'!BE:BE,'Проекты'!A:A=J14)"),0)</f>
        <v>0</v>
      </c>
      <c r="AV14" s="11">
        <f t="shared" ca="1" si="6"/>
        <v>55</v>
      </c>
      <c r="AW14" s="4" t="str">
        <f t="shared" ca="1" si="7"/>
        <v>Неудовлетворительно</v>
      </c>
    </row>
    <row r="15" spans="1:79" ht="15.75" customHeight="1">
      <c r="A15" s="6" t="s">
        <v>104</v>
      </c>
      <c r="B15" s="6" t="s">
        <v>104</v>
      </c>
      <c r="C15" s="6"/>
      <c r="D15" s="6">
        <v>1303</v>
      </c>
      <c r="E15" s="6" t="s">
        <v>105</v>
      </c>
      <c r="F15" s="6" t="s">
        <v>105</v>
      </c>
      <c r="G15" s="6" t="s">
        <v>106</v>
      </c>
      <c r="H15" s="6" t="s">
        <v>107</v>
      </c>
      <c r="I15" s="4" t="s">
        <v>1030</v>
      </c>
      <c r="J15" s="7">
        <f ca="1">IFERROR(__xludf.dummyfunction("index(split(I15,char(9)),1,1)"),15)</f>
        <v>15</v>
      </c>
      <c r="K15" s="7">
        <f ca="1">IFERROR(__xludf.dummyfunction("ifna(index(filter('Посещаемость_баллы'!$A:$L,'Посещаемость_баллы'!$B:$B=$B15,'Посещаемость_баллы'!$C:$C=$C15,'Посещаемость_баллы'!$D:$D=$D15),1,12)*10,0)"),10)</f>
        <v>10</v>
      </c>
      <c r="L15" s="7">
        <f>ROUNDDOWN(IFERROR(VALUE(VLOOKUP(H15,'Онлайн-курс1'!B:F,5,FALSE())),IFERROR(VALUE(VLOOKUP(H15,'Онлайн-курс1'!C:F,4,FALSE())),0))/40*20,0)
+ IFERROR(VALUE(SUBSTITUTE(VLOOKUP(H15,'Онлайн-курс2'!B:I,7,FALSE()),".",",")),IFERROR(VALUE(SUBSTITUTE(VLOOKUP(H15,'Онлайн-курс2'!C:I,6,FALSE()),".",",")),0))*2</f>
        <v>0</v>
      </c>
      <c r="M15" s="8" t="s">
        <v>106</v>
      </c>
      <c r="N15" s="9">
        <v>1</v>
      </c>
      <c r="O15" s="4" t="s">
        <v>108</v>
      </c>
      <c r="P15" s="4">
        <v>0</v>
      </c>
      <c r="Q15" s="10" t="str">
        <f ca="1">IFERROR(__xludf.dummyfunction("iferror(index(QUERY(commits!A$2:$K1001, ""select Count(C) where lower(D) = lower('""&amp;G15&amp;""')""),2,1),""-"")"),"-")</f>
        <v>-</v>
      </c>
      <c r="R15" s="4" t="s">
        <v>46</v>
      </c>
      <c r="S15" s="4" t="s">
        <v>47</v>
      </c>
      <c r="T15" s="4">
        <f ca="1">VLOOKUP(A15,Расчёт_оценок!A:C,3,FALSE())</f>
        <v>6</v>
      </c>
      <c r="U15" s="4">
        <f ca="1">IFERROR(VLOOKUP(J15,Проекты!A:P,16,FALSE()),0)</f>
        <v>4</v>
      </c>
      <c r="V15" s="4" t="s">
        <v>103</v>
      </c>
      <c r="W15" s="4">
        <v>2</v>
      </c>
      <c r="X15" s="4">
        <v>2</v>
      </c>
      <c r="Y15" s="4">
        <v>1.5</v>
      </c>
      <c r="Z15" s="4">
        <v>2</v>
      </c>
      <c r="AA15" s="4">
        <v>2</v>
      </c>
      <c r="AB15" s="4">
        <v>2</v>
      </c>
      <c r="AC15" s="4">
        <f t="shared" si="0"/>
        <v>4.5</v>
      </c>
      <c r="AD15" s="4">
        <v>2</v>
      </c>
      <c r="AE15" s="4">
        <v>6</v>
      </c>
      <c r="AF15" s="4">
        <v>6</v>
      </c>
      <c r="AG15" s="4">
        <v>3</v>
      </c>
      <c r="AH15" s="4">
        <f ca="1">IFERROR(__xludf.dummyfunction("if(isna(filter(prs!C:U,prs!I:I=G15,prs!G:G&gt;DATE(2024,3,28),prs!G:G&lt;DATE(2024,4,26))),0,countunique(index(filter(prs!C:U,prs!I:I=G15,prs!G:G&gt;DATE(2024,3,28),prs!G:G&lt;DATE(2024,4,26)),,1)))"),4)</f>
        <v>4</v>
      </c>
      <c r="AI15" s="4">
        <f ca="1">IFERROR(__xludf.dummyfunction("if(isna(filter(prs!C:U,prs!I:I=G15,prs!R:R&lt;&gt;""Empty field"",prs!G:G&gt;DATE(2024,3,28),prs!G:G&lt;DATE(2024,4,26))),0,countunique(index(filter(prs!C:U,prs!I:I=G15,prs!R:R&lt;&gt;""Empty field"",prs!G:G&gt;DATE(2024,3,28),prs!G:G&lt;DATE(2024,4,26)),,1)))"),4)</f>
        <v>4</v>
      </c>
      <c r="AJ15" s="4">
        <f t="shared" ca="1" si="1"/>
        <v>3</v>
      </c>
      <c r="AK15" s="4">
        <f t="shared" ca="1" si="2"/>
        <v>6</v>
      </c>
      <c r="AL15" s="4">
        <f ca="1">IFERROR(__xludf.dummyfunction("filter('Проекты'!AT:AT,'Проекты'!A:A=J15)"),2.2)</f>
        <v>2.2000000000000002</v>
      </c>
      <c r="AM15" s="4">
        <f ca="1">IFERROR(__xludf.dummyfunction("ifna(filter(commits_results!H:I,commits_results!B:B=A15,commits_results!A:A=J15),)"),7)</f>
        <v>7</v>
      </c>
      <c r="AN15" s="4">
        <f ca="1">IFERROR(__xludf.dummyfunction("""COMPUTED_VALUE"""),7)</f>
        <v>7</v>
      </c>
      <c r="AO15" s="4">
        <f t="shared" ca="1" si="3"/>
        <v>3</v>
      </c>
      <c r="AP15" s="4">
        <f ca="1">IFERROR(__xludf.dummyfunction("if(isna(filter(prs!C:U,prs!I:I=G15,prs!G:G&gt;DATE(2024,4,25),prs!G:G&lt;DATE(2024,5,23))),0,countunique(index(filter(prs!C:U,prs!I:I=G15,prs!G:G&gt;DATE(2024,4,25),prs!G:G&lt;DATE(2024,5,23)),,1)))"),3)</f>
        <v>3</v>
      </c>
      <c r="AQ15" s="4">
        <f ca="1">IFERROR(__xludf.dummyfunction("if(isna(filter(prs!C:U,prs!I:I=G15,prs!R:R&lt;&gt;""Empty field"",prs!G:G&gt;DATE(2024,4,25),prs!G:G&lt;DATE(2024,5,23))),0,countunique(index(filter(prs!C:U,prs!I:I=G15,prs!R:R&lt;&gt;""Empty field"",prs!G:G&gt;DATE(2024,4,25),prs!G:G&lt;DATE(2024,5,23)),,1)))"),3)</f>
        <v>3</v>
      </c>
      <c r="AR15" s="4">
        <f t="shared" ca="1" si="4"/>
        <v>3</v>
      </c>
      <c r="AS15" s="4">
        <f t="shared" ca="1" si="5"/>
        <v>6</v>
      </c>
      <c r="AT15" s="4">
        <f ca="1">IFERROR(__xludf.dummyfunction("filter('Проекты'!BB:BB,'Проекты'!A:A=J15)"),3.7)</f>
        <v>3.7</v>
      </c>
      <c r="AU15" s="4">
        <f ca="1">IFERROR(__xludf.dummyfunction("filter('Проекты'!BE:BE,'Проекты'!A:A=J15)"),0)</f>
        <v>0</v>
      </c>
      <c r="AV15" s="11">
        <f t="shared" ca="1" si="6"/>
        <v>45</v>
      </c>
      <c r="AW15" s="4" t="str">
        <f t="shared" ca="1" si="7"/>
        <v>Неудовлетворительно</v>
      </c>
    </row>
    <row r="16" spans="1:79" ht="15.75" customHeight="1">
      <c r="A16" s="6" t="s">
        <v>109</v>
      </c>
      <c r="B16" s="6" t="s">
        <v>109</v>
      </c>
      <c r="C16" s="6"/>
      <c r="D16" s="6">
        <v>1303</v>
      </c>
      <c r="E16" s="6" t="s">
        <v>110</v>
      </c>
      <c r="F16" s="6" t="s">
        <v>110</v>
      </c>
      <c r="G16" s="6" t="s">
        <v>111</v>
      </c>
      <c r="H16" s="6" t="s">
        <v>112</v>
      </c>
      <c r="I16" s="4" t="s">
        <v>1031</v>
      </c>
      <c r="J16" s="7">
        <f ca="1">IFERROR(__xludf.dummyfunction("index(split(I16,char(9)),1,1)"),15)</f>
        <v>15</v>
      </c>
      <c r="K16" s="7">
        <f ca="1">IFERROR(__xludf.dummyfunction("ifna(index(filter('Посещаемость_баллы'!$A:$L,'Посещаемость_баллы'!$B:$B=$B16,'Посещаемость_баллы'!$C:$C=$C16,'Посещаемость_баллы'!$D:$D=$D16),1,12)*10,0)"),6)</f>
        <v>6</v>
      </c>
      <c r="L16" s="7">
        <f>ROUNDDOWN(IFERROR(VALUE(VLOOKUP(H16,'Онлайн-курс1'!B:F,5,FALSE())),IFERROR(VALUE(VLOOKUP(H16,'Онлайн-курс1'!C:F,4,FALSE())),0))/40*20,0)
+ IFERROR(VALUE(SUBSTITUTE(VLOOKUP(H16,'Онлайн-курс2'!B:I,7,FALSE()),".",",")),IFERROR(VALUE(SUBSTITUTE(VLOOKUP(H16,'Онлайн-курс2'!C:I,6,FALSE()),".",",")),0))*2</f>
        <v>20</v>
      </c>
      <c r="M16" s="8" t="s">
        <v>111</v>
      </c>
      <c r="N16" s="9">
        <v>1</v>
      </c>
      <c r="O16" s="4" t="s">
        <v>113</v>
      </c>
      <c r="P16" s="4">
        <v>0</v>
      </c>
      <c r="Q16" s="10" t="str">
        <f ca="1">IFERROR(__xludf.dummyfunction("iferror(index(QUERY(commits!A$2:$K1001, ""select Count(C) where lower(D) = lower('""&amp;G16&amp;""')""),2,1),""-"")"),"-")</f>
        <v>-</v>
      </c>
      <c r="R16" s="4" t="s">
        <v>77</v>
      </c>
      <c r="S16" s="4" t="s">
        <v>47</v>
      </c>
      <c r="T16" s="4">
        <f ca="1">VLOOKUP(A16,Расчёт_оценок!A:C,3,FALSE())</f>
        <v>6</v>
      </c>
      <c r="U16" s="4">
        <f ca="1">IFERROR(VLOOKUP(J16,Проекты!A:P,16,FALSE()),0)</f>
        <v>4</v>
      </c>
      <c r="V16" s="4" t="s">
        <v>71</v>
      </c>
      <c r="W16" s="4">
        <v>0</v>
      </c>
      <c r="X16" s="4">
        <v>0</v>
      </c>
      <c r="Y16" s="4">
        <v>0</v>
      </c>
      <c r="Z16" s="4">
        <v>4</v>
      </c>
      <c r="AA16" s="4">
        <v>3</v>
      </c>
      <c r="AB16" s="4">
        <v>1.5</v>
      </c>
      <c r="AC16" s="4">
        <f t="shared" si="0"/>
        <v>2.5</v>
      </c>
      <c r="AD16" s="4">
        <v>2</v>
      </c>
      <c r="AE16" s="4">
        <v>1</v>
      </c>
      <c r="AF16" s="4">
        <v>1</v>
      </c>
      <c r="AG16" s="4">
        <v>1.5</v>
      </c>
      <c r="AH16" s="4">
        <f ca="1">IFERROR(__xludf.dummyfunction("if(isna(filter(prs!C:U,prs!I:I=G16,prs!G:G&gt;DATE(2024,3,28),prs!G:G&lt;DATE(2024,4,26))),0,countunique(index(filter(prs!C:U,prs!I:I=G16,prs!G:G&gt;DATE(2024,3,28),prs!G:G&lt;DATE(2024,4,26)),,1)))"),2)</f>
        <v>2</v>
      </c>
      <c r="AI16" s="4">
        <f ca="1">IFERROR(__xludf.dummyfunction("if(isna(filter(prs!C:U,prs!I:I=G16,prs!R:R&lt;&gt;""Empty field"",prs!G:G&gt;DATE(2024,3,28),prs!G:G&lt;DATE(2024,4,26))),0,countunique(index(filter(prs!C:U,prs!I:I=G16,prs!R:R&lt;&gt;""Empty field"",prs!G:G&gt;DATE(2024,3,28),prs!G:G&lt;DATE(2024,4,26)),,1)))"),2)</f>
        <v>2</v>
      </c>
      <c r="AJ16" s="4">
        <f t="shared" ca="1" si="1"/>
        <v>3</v>
      </c>
      <c r="AK16" s="4">
        <f t="shared" ca="1" si="2"/>
        <v>4.5</v>
      </c>
      <c r="AL16" s="4">
        <f ca="1">IFERROR(__xludf.dummyfunction("filter('Проекты'!AT:AT,'Проекты'!A:A=J16)"),2.2)</f>
        <v>2.2000000000000002</v>
      </c>
      <c r="AM16" s="4">
        <f ca="1">IFERROR(__xludf.dummyfunction("ifna(filter(commits_results!H:I,commits_results!B:B=A16,commits_results!A:A=J16),)"),3)</f>
        <v>3</v>
      </c>
      <c r="AN16" s="4">
        <f ca="1">IFERROR(__xludf.dummyfunction("""COMPUTED_VALUE"""),5)</f>
        <v>5</v>
      </c>
      <c r="AO16" s="4">
        <f t="shared" ca="1" si="3"/>
        <v>3</v>
      </c>
      <c r="AP16" s="4">
        <f ca="1">IFERROR(__xludf.dummyfunction("if(isna(filter(prs!C:U,prs!I:I=G16,prs!G:G&gt;DATE(2024,4,25),prs!G:G&lt;DATE(2024,5,23))),0,countunique(index(filter(prs!C:U,prs!I:I=G16,prs!G:G&gt;DATE(2024,4,25),prs!G:G&lt;DATE(2024,5,23)),,1)))"),3)</f>
        <v>3</v>
      </c>
      <c r="AQ16" s="4">
        <f ca="1">IFERROR(__xludf.dummyfunction("if(isna(filter(prs!C:U,prs!I:I=G16,prs!R:R&lt;&gt;""Empty field"",prs!G:G&gt;DATE(2024,4,25),prs!G:G&lt;DATE(2024,5,23))),0,countunique(index(filter(prs!C:U,prs!I:I=G16,prs!R:R&lt;&gt;""Empty field"",prs!G:G&gt;DATE(2024,4,25),prs!G:G&lt;DATE(2024,5,23)),,1)))"),1)</f>
        <v>1</v>
      </c>
      <c r="AR16" s="4">
        <f t="shared" ca="1" si="4"/>
        <v>3</v>
      </c>
      <c r="AS16" s="4">
        <f t="shared" ca="1" si="5"/>
        <v>6</v>
      </c>
      <c r="AT16" s="4">
        <f ca="1">IFERROR(__xludf.dummyfunction("filter('Проекты'!BB:BB,'Проекты'!A:A=J16)"),3.7)</f>
        <v>3.7</v>
      </c>
      <c r="AU16" s="4">
        <f ca="1">IFERROR(__xludf.dummyfunction("filter('Проекты'!BE:BE,'Проекты'!A:A=J16)"),0)</f>
        <v>0</v>
      </c>
      <c r="AV16" s="11">
        <f t="shared" ca="1" si="6"/>
        <v>57</v>
      </c>
      <c r="AW16" s="4" t="str">
        <f t="shared" ca="1" si="7"/>
        <v>Неудовлетворительно</v>
      </c>
    </row>
    <row r="17" spans="1:51" ht="15.75" customHeight="1">
      <c r="A17" s="6" t="s">
        <v>114</v>
      </c>
      <c r="B17" s="6" t="s">
        <v>114</v>
      </c>
      <c r="C17" s="6"/>
      <c r="D17" s="6">
        <v>1303</v>
      </c>
      <c r="E17" s="6" t="s">
        <v>115</v>
      </c>
      <c r="F17" s="6" t="s">
        <v>115</v>
      </c>
      <c r="G17" s="6" t="s">
        <v>116</v>
      </c>
      <c r="H17" s="6" t="s">
        <v>117</v>
      </c>
      <c r="I17" s="4" t="s">
        <v>1032</v>
      </c>
      <c r="J17" s="7">
        <f ca="1">IFERROR(__xludf.dummyfunction("index(split(I17,char(9)),1,1)"),4)</f>
        <v>4</v>
      </c>
      <c r="K17" s="7">
        <f ca="1">IFERROR(__xludf.dummyfunction("ifna(index(filter('Посещаемость_баллы'!$A:$L,'Посещаемость_баллы'!$B:$B=$B17,'Посещаемость_баллы'!$C:$C=$C17,'Посещаемость_баллы'!$D:$D=$D17),1,12)*10,0)"),10)</f>
        <v>10</v>
      </c>
      <c r="L17" s="7">
        <f>ROUNDDOWN(IFERROR(VALUE(VLOOKUP(H17,'Онлайн-курс1'!B:F,5,FALSE())),IFERROR(VALUE(VLOOKUP(H17,'Онлайн-курс1'!C:F,4,FALSE())),0))/40*20,0)
+ IFERROR(VALUE(SUBSTITUTE(VLOOKUP(H17,'Онлайн-курс2'!B:I,7,FALSE()),".",",")),IFERROR(VALUE(SUBSTITUTE(VLOOKUP(H17,'Онлайн-курс2'!C:I,6,FALSE()),".",",")),0))*2</f>
        <v>20</v>
      </c>
      <c r="M17" s="8" t="s">
        <v>116</v>
      </c>
      <c r="N17" s="9">
        <v>1</v>
      </c>
      <c r="O17" s="4" t="s">
        <v>118</v>
      </c>
      <c r="P17" s="4">
        <v>0</v>
      </c>
      <c r="Q17" s="10" t="str">
        <f ca="1">IFERROR(__xludf.dummyfunction("iferror(index(QUERY(commits!A$2:$K1001, ""select Count(C) where lower(D) = lower('""&amp;G17&amp;""')""),2,1),""-"")"),"-")</f>
        <v>-</v>
      </c>
      <c r="R17" s="4" t="s">
        <v>54</v>
      </c>
      <c r="S17" s="4" t="s">
        <v>47</v>
      </c>
      <c r="T17" s="4">
        <f ca="1">VLOOKUP(A17,Расчёт_оценок!A:C,3,FALSE())</f>
        <v>2</v>
      </c>
      <c r="U17" s="4">
        <f ca="1">IFERROR(VLOOKUP(J17,Проекты!A:P,16,FALSE()),0)</f>
        <v>4</v>
      </c>
      <c r="V17" s="4" t="s">
        <v>71</v>
      </c>
      <c r="W17" s="4">
        <v>17</v>
      </c>
      <c r="X17" s="4">
        <v>17</v>
      </c>
      <c r="Y17" s="4">
        <v>3</v>
      </c>
      <c r="Z17" s="4">
        <v>4</v>
      </c>
      <c r="AA17" s="4">
        <v>4</v>
      </c>
      <c r="AB17" s="4">
        <v>2</v>
      </c>
      <c r="AC17" s="4">
        <f t="shared" si="0"/>
        <v>6</v>
      </c>
      <c r="AD17" s="4">
        <v>2.6</v>
      </c>
      <c r="AE17" s="4">
        <v>4</v>
      </c>
      <c r="AF17" s="4">
        <v>6</v>
      </c>
      <c r="AG17" s="4">
        <v>1</v>
      </c>
      <c r="AH17" s="4">
        <f ca="1">IFERROR(__xludf.dummyfunction("if(isna(filter(prs!C:U,prs!I:I=G17,prs!G:G&gt;DATE(2024,3,28),prs!G:G&lt;DATE(2024,4,26))),0,countunique(index(filter(prs!C:U,prs!I:I=G17,prs!G:G&gt;DATE(2024,3,28),prs!G:G&lt;DATE(2024,4,26)),,1)))"),6)</f>
        <v>6</v>
      </c>
      <c r="AI17" s="4">
        <f ca="1">IFERROR(__xludf.dummyfunction("if(isna(filter(prs!C:U,prs!I:I=G17,prs!R:R&lt;&gt;""Empty field"",prs!G:G&gt;DATE(2024,3,28),prs!G:G&lt;DATE(2024,4,26))),0,countunique(index(filter(prs!C:U,prs!I:I=G17,prs!R:R&lt;&gt;""Empty field"",prs!G:G&gt;DATE(2024,3,28),prs!G:G&lt;DATE(2024,4,26)),,1)))"),5)</f>
        <v>5</v>
      </c>
      <c r="AJ17" s="4">
        <f t="shared" ca="1" si="1"/>
        <v>3</v>
      </c>
      <c r="AK17" s="4">
        <f t="shared" ca="1" si="2"/>
        <v>4</v>
      </c>
      <c r="AL17" s="4">
        <f ca="1">IFERROR(__xludf.dummyfunction("filter('Проекты'!AT:AT,'Проекты'!A:A=J17)"),3.9)</f>
        <v>3.9</v>
      </c>
      <c r="AM17" s="4">
        <f ca="1">IFERROR(__xludf.dummyfunction("ifna(filter(commits_results!H:I,commits_results!B:B=A17,commits_results!A:A=J17),)"),10)</f>
        <v>10</v>
      </c>
      <c r="AN17" s="4">
        <f ca="1">IFERROR(__xludf.dummyfunction("""COMPUTED_VALUE"""),10)</f>
        <v>10</v>
      </c>
      <c r="AO17" s="4">
        <f t="shared" ca="1" si="3"/>
        <v>3</v>
      </c>
      <c r="AP17" s="4">
        <f ca="1">IFERROR(__xludf.dummyfunction("if(isna(filter(prs!C:U,prs!I:I=G17,prs!G:G&gt;DATE(2024,4,25),prs!G:G&lt;DATE(2024,5,23))),0,countunique(index(filter(prs!C:U,prs!I:I=G17,prs!G:G&gt;DATE(2024,4,25),prs!G:G&lt;DATE(2024,5,23)),,1)))"),3)</f>
        <v>3</v>
      </c>
      <c r="AQ17" s="4">
        <f ca="1">IFERROR(__xludf.dummyfunction("if(isna(filter(prs!C:U,prs!I:I=G17,prs!R:R&lt;&gt;""Empty field"",prs!G:G&gt;DATE(2024,4,25),prs!G:G&lt;DATE(2024,5,23))),0,countunique(index(filter(prs!C:U,prs!I:I=G17,prs!R:R&lt;&gt;""Empty field"",prs!G:G&gt;DATE(2024,4,25),prs!G:G&lt;DATE(2024,5,23)),,1)))"),3)</f>
        <v>3</v>
      </c>
      <c r="AR17" s="4">
        <f t="shared" ca="1" si="4"/>
        <v>3</v>
      </c>
      <c r="AS17" s="4">
        <f t="shared" ca="1" si="5"/>
        <v>6</v>
      </c>
      <c r="AT17" s="4">
        <f ca="1">IFERROR(__xludf.dummyfunction("filter('Проекты'!BB:BB,'Проекты'!A:A=J17)"),2.5)</f>
        <v>2.5</v>
      </c>
      <c r="AU17" s="4">
        <f ca="1">IFERROR(__xludf.dummyfunction("filter('Проекты'!BE:BE,'Проекты'!A:A=J17)"),0)</f>
        <v>0</v>
      </c>
      <c r="AV17" s="11">
        <f t="shared" ca="1" si="6"/>
        <v>61</v>
      </c>
      <c r="AW17" s="4" t="str">
        <f t="shared" ca="1" si="7"/>
        <v>Удовлетворительно</v>
      </c>
    </row>
    <row r="18" spans="1:51" ht="15.75" customHeight="1">
      <c r="A18" s="6" t="s">
        <v>119</v>
      </c>
      <c r="B18" s="6" t="s">
        <v>119</v>
      </c>
      <c r="C18" s="6"/>
      <c r="D18" s="6">
        <v>1303</v>
      </c>
      <c r="E18" s="6" t="s">
        <v>120</v>
      </c>
      <c r="F18" s="6" t="s">
        <v>120</v>
      </c>
      <c r="G18" s="6" t="s">
        <v>121</v>
      </c>
      <c r="H18" s="6" t="s">
        <v>122</v>
      </c>
      <c r="I18" s="4" t="s">
        <v>1033</v>
      </c>
      <c r="J18" s="7">
        <f ca="1">IFERROR(__xludf.dummyfunction("index(split(I18,char(9)),1,1)"),3)</f>
        <v>3</v>
      </c>
      <c r="K18" s="7">
        <f ca="1">IFERROR(__xludf.dummyfunction("ifna(index(filter('Посещаемость_баллы'!$A:$L,'Посещаемость_баллы'!$B:$B=$B18,'Посещаемость_баллы'!$C:$C=$C18,'Посещаемость_баллы'!$D:$D=$D18),1,12)*10,0)"),10)</f>
        <v>10</v>
      </c>
      <c r="L18" s="7">
        <f>ROUNDDOWN(IFERROR(VALUE(VLOOKUP(H18,'Онлайн-курс1'!B:F,5,FALSE())),IFERROR(VALUE(VLOOKUP(H18,'Онлайн-курс1'!C:F,4,FALSE())),0))/40*20,0)
+ IFERROR(VALUE(SUBSTITUTE(VLOOKUP(H18,'Онлайн-курс2'!B:I,7,FALSE()),".",",")),IFERROR(VALUE(SUBSTITUTE(VLOOKUP(H18,'Онлайн-курс2'!C:I,6,FALSE()),".",",")),0))*2</f>
        <v>20</v>
      </c>
      <c r="M18" s="8" t="s">
        <v>121</v>
      </c>
      <c r="N18" s="9">
        <v>1</v>
      </c>
      <c r="O18" s="4" t="s">
        <v>123</v>
      </c>
      <c r="P18" s="4">
        <v>0</v>
      </c>
      <c r="Q18" s="10" t="str">
        <f ca="1">IFERROR(__xludf.dummyfunction("iferror(index(QUERY(commits!A$2:$K1001, ""select Count(C) where lower(D) = lower('""&amp;G18&amp;""')""),2,1),""-"")"),"-")</f>
        <v>-</v>
      </c>
      <c r="R18" s="4" t="s">
        <v>54</v>
      </c>
      <c r="S18" s="4" t="s">
        <v>47</v>
      </c>
      <c r="T18" s="4">
        <f ca="1">VLOOKUP(A18,Расчёт_оценок!A:C,3,FALSE())</f>
        <v>5</v>
      </c>
      <c r="U18" s="4">
        <f ca="1">IFERROR(VLOOKUP(J18,Проекты!A:P,16,FALSE()),0)</f>
        <v>4</v>
      </c>
      <c r="V18" s="4" t="s">
        <v>124</v>
      </c>
      <c r="W18" s="4">
        <v>6</v>
      </c>
      <c r="X18" s="4">
        <v>6</v>
      </c>
      <c r="Y18" s="4">
        <v>3</v>
      </c>
      <c r="Z18" s="4">
        <v>2</v>
      </c>
      <c r="AA18" s="4">
        <v>2</v>
      </c>
      <c r="AB18" s="4">
        <v>2</v>
      </c>
      <c r="AC18" s="4">
        <f t="shared" si="0"/>
        <v>6</v>
      </c>
      <c r="AD18" s="4">
        <v>4</v>
      </c>
      <c r="AE18" s="4">
        <v>8</v>
      </c>
      <c r="AF18" s="4">
        <v>8</v>
      </c>
      <c r="AG18" s="4">
        <v>3</v>
      </c>
      <c r="AH18" s="4">
        <f ca="1">IFERROR(__xludf.dummyfunction("if(isna(filter(prs!C:U,prs!I:I=G18,prs!G:G&gt;DATE(2024,3,28),prs!G:G&lt;DATE(2024,4,26))),0,countunique(index(filter(prs!C:U,prs!I:I=G18,prs!G:G&gt;DATE(2024,3,28),prs!G:G&lt;DATE(2024,4,26)),,1)))"),10)</f>
        <v>10</v>
      </c>
      <c r="AI18" s="4">
        <f ca="1">IFERROR(__xludf.dummyfunction("if(isna(filter(prs!C:U,prs!I:I=G18,prs!R:R&lt;&gt;""Empty field"",prs!G:G&gt;DATE(2024,3,28),prs!G:G&lt;DATE(2024,4,26))),0,countunique(index(filter(prs!C:U,prs!I:I=G18,prs!R:R&lt;&gt;""Empty field"",prs!G:G&gt;DATE(2024,3,28),prs!G:G&lt;DATE(2024,4,26)),,1)))"),10)</f>
        <v>10</v>
      </c>
      <c r="AJ18" s="4">
        <f t="shared" ca="1" si="1"/>
        <v>3</v>
      </c>
      <c r="AK18" s="4">
        <f t="shared" ca="1" si="2"/>
        <v>6</v>
      </c>
      <c r="AL18" s="4">
        <f ca="1">IFERROR(__xludf.dummyfunction("filter('Проекты'!AT:AT,'Проекты'!A:A=J18)"),4)</f>
        <v>4</v>
      </c>
      <c r="AM18" s="4">
        <f ca="1">IFERROR(__xludf.dummyfunction("ifna(filter(commits_results!H:I,commits_results!B:B=A18,commits_results!A:A=J18),)"),9)</f>
        <v>9</v>
      </c>
      <c r="AN18" s="4">
        <f ca="1">IFERROR(__xludf.dummyfunction("""COMPUTED_VALUE"""),9)</f>
        <v>9</v>
      </c>
      <c r="AO18" s="4">
        <f t="shared" ca="1" si="3"/>
        <v>3</v>
      </c>
      <c r="AP18" s="4">
        <f ca="1">IFERROR(__xludf.dummyfunction("if(isna(filter(prs!C:U,prs!I:I=G18,prs!G:G&gt;DATE(2024,4,25),prs!G:G&lt;DATE(2024,5,23))),0,countunique(index(filter(prs!C:U,prs!I:I=G18,prs!G:G&gt;DATE(2024,4,25),prs!G:G&lt;DATE(2024,5,23)),,1)))"),4)</f>
        <v>4</v>
      </c>
      <c r="AQ18" s="4">
        <f ca="1">IFERROR(__xludf.dummyfunction("if(isna(filter(prs!C:U,prs!I:I=G18,prs!R:R&lt;&gt;""Empty field"",prs!G:G&gt;DATE(2024,4,25),prs!G:G&lt;DATE(2024,5,23))),0,countunique(index(filter(prs!C:U,prs!I:I=G18,prs!R:R&lt;&gt;""Empty field"",prs!G:G&gt;DATE(2024,4,25),prs!G:G&lt;DATE(2024,5,23)),,1)))"),4)</f>
        <v>4</v>
      </c>
      <c r="AR18" s="4">
        <f t="shared" ca="1" si="4"/>
        <v>3</v>
      </c>
      <c r="AS18" s="4">
        <f t="shared" ca="1" si="5"/>
        <v>6</v>
      </c>
      <c r="AT18" s="4">
        <f ca="1">IFERROR(__xludf.dummyfunction("filter('Проекты'!BB:BB,'Проекты'!A:A=J18)"),4)</f>
        <v>4</v>
      </c>
      <c r="AU18" s="4">
        <f ca="1">IFERROR(__xludf.dummyfunction("filter('Проекты'!BE:BE,'Проекты'!A:A=J18)"),10)</f>
        <v>10</v>
      </c>
      <c r="AV18" s="11">
        <f t="shared" ca="1" si="6"/>
        <v>79</v>
      </c>
      <c r="AW18" s="4" t="str">
        <f t="shared" ca="1" si="7"/>
        <v>Хорошо</v>
      </c>
    </row>
    <row r="19" spans="1:51" ht="15.75" customHeight="1">
      <c r="A19" s="6" t="s">
        <v>125</v>
      </c>
      <c r="B19" s="6" t="s">
        <v>125</v>
      </c>
      <c r="C19" s="6"/>
      <c r="D19" s="6">
        <v>1303</v>
      </c>
      <c r="E19" s="6" t="s">
        <v>126</v>
      </c>
      <c r="F19" s="6" t="s">
        <v>126</v>
      </c>
      <c r="G19" s="6" t="s">
        <v>127</v>
      </c>
      <c r="H19" s="6" t="s">
        <v>128</v>
      </c>
      <c r="I19" s="4" t="s">
        <v>1034</v>
      </c>
      <c r="J19" s="7">
        <f ca="1">IFERROR(__xludf.dummyfunction("index(split(I19,char(9)),1,1)"),14)</f>
        <v>14</v>
      </c>
      <c r="K19" s="7">
        <f ca="1">IFERROR(__xludf.dummyfunction("ifna(index(filter('Посещаемость_баллы'!$A:$L,'Посещаемость_баллы'!$B:$B=$B19,'Посещаемость_баллы'!$C:$C=$C19,'Посещаемость_баллы'!$D:$D=$D19),1,12)*10,0)"),8)</f>
        <v>8</v>
      </c>
      <c r="L19" s="7">
        <f>ROUNDDOWN(IFERROR(VALUE(VLOOKUP(H19,'Онлайн-курс1'!B:F,5,FALSE())),IFERROR(VALUE(VLOOKUP(H19,'Онлайн-курс1'!C:F,4,FALSE())),0))/40*20,0)
+ IFERROR(VALUE(SUBSTITUTE(VLOOKUP(H19,'Онлайн-курс2'!B:I,7,FALSE()),".",",")),IFERROR(VALUE(SUBSTITUTE(VLOOKUP(H19,'Онлайн-курс2'!C:I,6,FALSE()),".",",")),0))*2</f>
        <v>20</v>
      </c>
      <c r="M19" s="8" t="s">
        <v>127</v>
      </c>
      <c r="N19" s="9">
        <v>1</v>
      </c>
      <c r="O19" s="4" t="s">
        <v>129</v>
      </c>
      <c r="P19" s="4">
        <v>0</v>
      </c>
      <c r="Q19" s="10" t="str">
        <f ca="1">IFERROR(__xludf.dummyfunction("iferror(index(QUERY(commits!A$2:$K1001, ""select Count(C) where lower(D) = lower('""&amp;G19&amp;""')""),2,1),""-"")"),"-")</f>
        <v>-</v>
      </c>
      <c r="R19" s="4" t="s">
        <v>130</v>
      </c>
      <c r="S19" s="4" t="s">
        <v>47</v>
      </c>
      <c r="T19" s="4">
        <f ca="1">VLOOKUP(A19,Расчёт_оценок!A:C,3,FALSE())</f>
        <v>6</v>
      </c>
      <c r="U19" s="4">
        <f ca="1">IFERROR(VLOOKUP(J19,Проекты!A:P,16,FALSE()),0)</f>
        <v>4</v>
      </c>
      <c r="V19" s="4" t="s">
        <v>131</v>
      </c>
      <c r="W19" s="4">
        <v>9</v>
      </c>
      <c r="X19" s="4">
        <v>11</v>
      </c>
      <c r="Y19" s="4">
        <f>IF(W19&gt;$W$140,3,IFERROR(ROUND(3*(W19/X19) * IF(W19&lt;$Y$140,0.5,1),2),0))</f>
        <v>3</v>
      </c>
      <c r="Z19" s="4">
        <v>3</v>
      </c>
      <c r="AA19" s="4">
        <v>2</v>
      </c>
      <c r="AB19" s="4">
        <v>1.33</v>
      </c>
      <c r="AC19" s="4">
        <f t="shared" si="0"/>
        <v>5.33</v>
      </c>
      <c r="AD19" s="4">
        <v>2.1</v>
      </c>
      <c r="AE19" s="4">
        <v>13</v>
      </c>
      <c r="AF19" s="4">
        <v>13</v>
      </c>
      <c r="AG19" s="4">
        <v>3</v>
      </c>
      <c r="AH19" s="4">
        <f ca="1">IFERROR(__xludf.dummyfunction("if(isna(filter(prs!C:U,prs!I:I=G19,prs!G:G&gt;DATE(2024,3,28),prs!G:G&lt;DATE(2024,4,26))),0,countunique(index(filter(prs!C:U,prs!I:I=G19,prs!G:G&gt;DATE(2024,3,28),prs!G:G&lt;DATE(2024,4,26)),,1)))"),4)</f>
        <v>4</v>
      </c>
      <c r="AI19" s="4">
        <f ca="1">IFERROR(__xludf.dummyfunction("if(isna(filter(prs!C:U,prs!I:I=G19,prs!R:R&lt;&gt;""Empty field"",prs!G:G&gt;DATE(2024,3,28),prs!G:G&lt;DATE(2024,4,26))),0,countunique(index(filter(prs!C:U,prs!I:I=G19,prs!R:R&lt;&gt;""Empty field"",prs!G:G&gt;DATE(2024,3,28),prs!G:G&lt;DATE(2024,4,26)),,1)))"),4)</f>
        <v>4</v>
      </c>
      <c r="AJ19" s="4">
        <f t="shared" ca="1" si="1"/>
        <v>3</v>
      </c>
      <c r="AK19" s="4">
        <f t="shared" ca="1" si="2"/>
        <v>6</v>
      </c>
      <c r="AL19" s="4">
        <f ca="1">IFERROR(__xludf.dummyfunction("filter('Проекты'!AT:AT,'Проекты'!A:A=J19)"),3.5)</f>
        <v>3.5</v>
      </c>
      <c r="AM19" s="4">
        <f ca="1">IFERROR(__xludf.dummyfunction("ifna(filter(commits_results!H:I,commits_results!B:B=A19,commits_results!A:A=J19),)"),31)</f>
        <v>31</v>
      </c>
      <c r="AN19" s="4">
        <f ca="1">IFERROR(__xludf.dummyfunction("""COMPUTED_VALUE"""),31)</f>
        <v>31</v>
      </c>
      <c r="AO19" s="4">
        <f t="shared" ca="1" si="3"/>
        <v>3</v>
      </c>
      <c r="AP19" s="4">
        <f ca="1">IFERROR(__xludf.dummyfunction("if(isna(filter(prs!C:U,prs!I:I=G19,prs!G:G&gt;DATE(2024,4,25),prs!G:G&lt;DATE(2024,5,23))),0,countunique(index(filter(prs!C:U,prs!I:I=G19,prs!G:G&gt;DATE(2024,4,25),prs!G:G&lt;DATE(2024,5,23)),,1)))"),5)</f>
        <v>5</v>
      </c>
      <c r="AQ19" s="4">
        <f ca="1">IFERROR(__xludf.dummyfunction("if(isna(filter(prs!C:U,prs!I:I=G19,prs!R:R&lt;&gt;""Empty field"",prs!G:G&gt;DATE(2024,4,25),prs!G:G&lt;DATE(2024,5,23))),0,countunique(index(filter(prs!C:U,prs!I:I=G19,prs!R:R&lt;&gt;""Empty field"",prs!G:G&gt;DATE(2024,4,25),prs!G:G&lt;DATE(2024,5,23)),,1)))"),5)</f>
        <v>5</v>
      </c>
      <c r="AR19" s="4">
        <f t="shared" ca="1" si="4"/>
        <v>3</v>
      </c>
      <c r="AS19" s="4">
        <f t="shared" ca="1" si="5"/>
        <v>6</v>
      </c>
      <c r="AT19" s="4">
        <f ca="1">IFERROR(__xludf.dummyfunction("filter('Проекты'!BB:BB,'Проекты'!A:A=J19)"),4)</f>
        <v>4</v>
      </c>
      <c r="AU19" s="4">
        <f ca="1">IFERROR(__xludf.dummyfunction("filter('Проекты'!BE:BE,'Проекты'!A:A=J19)"),0)</f>
        <v>0</v>
      </c>
      <c r="AV19" s="11">
        <f t="shared" ca="1" si="6"/>
        <v>65</v>
      </c>
      <c r="AW19" s="4" t="str">
        <f t="shared" ca="1" si="7"/>
        <v>Удовлетворительно</v>
      </c>
      <c r="AX19" s="13"/>
    </row>
    <row r="20" spans="1:51" ht="15.75" customHeight="1">
      <c r="A20" s="6" t="s">
        <v>132</v>
      </c>
      <c r="B20" s="6" t="s">
        <v>132</v>
      </c>
      <c r="C20" s="6"/>
      <c r="D20" s="6">
        <v>1303</v>
      </c>
      <c r="E20" s="6" t="s">
        <v>133</v>
      </c>
      <c r="F20" s="6" t="s">
        <v>133</v>
      </c>
      <c r="G20" s="6" t="s">
        <v>134</v>
      </c>
      <c r="H20" s="6" t="s">
        <v>135</v>
      </c>
      <c r="I20" s="4" t="s">
        <v>1035</v>
      </c>
      <c r="J20" s="7">
        <f ca="1">IFERROR(__xludf.dummyfunction("index(split(I20,char(9)),1,1)"),15)</f>
        <v>15</v>
      </c>
      <c r="K20" s="7">
        <f ca="1">IFERROR(__xludf.dummyfunction("ifna(index(filter('Посещаемость_баллы'!$A:$L,'Посещаемость_баллы'!$B:$B=$B20,'Посещаемость_баллы'!$C:$C=$C20,'Посещаемость_баллы'!$D:$D=$D20),1,12)*10,0)"),2)</f>
        <v>2</v>
      </c>
      <c r="L20" s="7">
        <f>ROUNDDOWN(IFERROR(VALUE(VLOOKUP(H20,'Онлайн-курс1'!B:F,5,FALSE())),IFERROR(VALUE(VLOOKUP(H20,'Онлайн-курс1'!C:F,4,FALSE())),0))/40*20,0)
+ IFERROR(VALUE(SUBSTITUTE(VLOOKUP(H20,'Онлайн-курс2'!B:I,7,FALSE()),".",",")),IFERROR(VALUE(SUBSTITUTE(VLOOKUP(H20,'Онлайн-курс2'!C:I,6,FALSE()),".",",")),0))*2</f>
        <v>0</v>
      </c>
      <c r="M20" s="8" t="s">
        <v>134</v>
      </c>
      <c r="N20" s="9">
        <v>1</v>
      </c>
      <c r="O20" s="4" t="s">
        <v>136</v>
      </c>
      <c r="P20" s="4">
        <v>0</v>
      </c>
      <c r="Q20" s="10" t="str">
        <f ca="1">IFERROR(__xludf.dummyfunction("iferror(index(QUERY(commits!A$2:$K1001, ""select Count(C) where lower(D) = lower('""&amp;G20&amp;""')""),2,1),""-"")"),"-")</f>
        <v>-</v>
      </c>
      <c r="R20" s="4" t="s">
        <v>46</v>
      </c>
      <c r="S20" s="4" t="s">
        <v>47</v>
      </c>
      <c r="T20" s="4">
        <f ca="1">VLOOKUP(A20,Расчёт_оценок!A:C,3,FALSE())</f>
        <v>6</v>
      </c>
      <c r="U20" s="4">
        <f ca="1">IFERROR(VLOOKUP(J20,Проекты!A:P,16,FALSE()),0)</f>
        <v>4</v>
      </c>
      <c r="V20" s="4" t="s">
        <v>40</v>
      </c>
      <c r="W20" s="4">
        <v>2</v>
      </c>
      <c r="X20" s="4">
        <v>2</v>
      </c>
      <c r="Y20" s="4">
        <v>1.5</v>
      </c>
      <c r="Z20" s="4">
        <v>1</v>
      </c>
      <c r="AA20" s="4">
        <v>1</v>
      </c>
      <c r="AB20" s="4">
        <v>1</v>
      </c>
      <c r="AC20" s="4">
        <f t="shared" si="0"/>
        <v>3.5</v>
      </c>
      <c r="AD20" s="4">
        <v>2</v>
      </c>
      <c r="AE20" s="4">
        <v>7</v>
      </c>
      <c r="AF20" s="4">
        <v>12</v>
      </c>
      <c r="AG20" s="4">
        <v>3</v>
      </c>
      <c r="AH20" s="4">
        <f ca="1">IFERROR(__xludf.dummyfunction("if(isna(filter(prs!C:U,prs!I:I=G20,prs!G:G&gt;DATE(2024,3,28),prs!G:G&lt;DATE(2024,4,26))),0,countunique(index(filter(prs!C:U,prs!I:I=G20,prs!G:G&gt;DATE(2024,3,28),prs!G:G&lt;DATE(2024,4,26)),,1)))"),8)</f>
        <v>8</v>
      </c>
      <c r="AI20" s="4">
        <f ca="1">IFERROR(__xludf.dummyfunction("if(isna(filter(prs!C:U,prs!I:I=G20,prs!R:R&lt;&gt;""Empty field"",prs!G:G&gt;DATE(2024,3,28),prs!G:G&lt;DATE(2024,4,26))),0,countunique(index(filter(prs!C:U,prs!I:I=G20,prs!R:R&lt;&gt;""Empty field"",prs!G:G&gt;DATE(2024,3,28),prs!G:G&lt;DATE(2024,4,26)),,1)))"),4)</f>
        <v>4</v>
      </c>
      <c r="AJ20" s="4">
        <f t="shared" ca="1" si="1"/>
        <v>3</v>
      </c>
      <c r="AK20" s="4">
        <f t="shared" ca="1" si="2"/>
        <v>6</v>
      </c>
      <c r="AL20" s="4">
        <f ca="1">IFERROR(__xludf.dummyfunction("filter('Проекты'!AT:AT,'Проекты'!A:A=J20)"),2.2)</f>
        <v>2.2000000000000002</v>
      </c>
      <c r="AM20" s="4">
        <f ca="1">IFERROR(__xludf.dummyfunction("ifna(filter(commits_results!H:I,commits_results!B:B=A20,commits_results!A:A=J20),)"),1)</f>
        <v>1</v>
      </c>
      <c r="AN20" s="4">
        <f ca="1">IFERROR(__xludf.dummyfunction("""COMPUTED_VALUE"""),7)</f>
        <v>7</v>
      </c>
      <c r="AO20" s="4">
        <f t="shared" ca="1" si="3"/>
        <v>3</v>
      </c>
      <c r="AP20" s="4">
        <f ca="1">IFERROR(__xludf.dummyfunction("if(isna(filter(prs!C:U,prs!I:I=G20,prs!G:G&gt;DATE(2024,4,25),prs!G:G&lt;DATE(2024,5,23))),0,countunique(index(filter(prs!C:U,prs!I:I=G20,prs!G:G&gt;DATE(2024,4,25),prs!G:G&lt;DATE(2024,5,23)),,1)))"),6)</f>
        <v>6</v>
      </c>
      <c r="AQ20" s="4">
        <f ca="1">IFERROR(__xludf.dummyfunction("if(isna(filter(prs!C:U,prs!I:I=G20,prs!R:R&lt;&gt;""Empty field"",prs!G:G&gt;DATE(2024,4,25),prs!G:G&lt;DATE(2024,5,23))),0,countunique(index(filter(prs!C:U,prs!I:I=G20,prs!R:R&lt;&gt;""Empty field"",prs!G:G&gt;DATE(2024,4,25),prs!G:G&lt;DATE(2024,5,23)),,1)))"),1)</f>
        <v>1</v>
      </c>
      <c r="AR20" s="4">
        <f t="shared" ca="1" si="4"/>
        <v>3</v>
      </c>
      <c r="AS20" s="4">
        <f t="shared" ca="1" si="5"/>
        <v>6</v>
      </c>
      <c r="AT20" s="4">
        <f ca="1">IFERROR(__xludf.dummyfunction("filter('Проекты'!BB:BB,'Проекты'!A:A=J20)"),3.7)</f>
        <v>3.7</v>
      </c>
      <c r="AU20" s="4">
        <f ca="1">IFERROR(__xludf.dummyfunction("filter('Проекты'!BE:BE,'Проекты'!A:A=J20)"),0)</f>
        <v>0</v>
      </c>
      <c r="AV20" s="11">
        <f t="shared" ca="1" si="6"/>
        <v>36</v>
      </c>
      <c r="AW20" s="4" t="str">
        <f t="shared" ca="1" si="7"/>
        <v>Неудовлетворительно</v>
      </c>
    </row>
    <row r="21" spans="1:51" ht="15.75" customHeight="1">
      <c r="A21" s="6" t="s">
        <v>137</v>
      </c>
      <c r="B21" s="6" t="s">
        <v>137</v>
      </c>
      <c r="C21" s="6"/>
      <c r="D21" s="6">
        <v>1303</v>
      </c>
      <c r="E21" s="6" t="s">
        <v>138</v>
      </c>
      <c r="F21" s="6" t="s">
        <v>138</v>
      </c>
      <c r="G21" s="6" t="s">
        <v>139</v>
      </c>
      <c r="H21" s="6" t="s">
        <v>140</v>
      </c>
      <c r="I21" s="4" t="s">
        <v>1036</v>
      </c>
      <c r="J21" s="7">
        <f ca="1">IFERROR(__xludf.dummyfunction("index(split(I21,char(9)),1,1)"),4)</f>
        <v>4</v>
      </c>
      <c r="K21" s="7">
        <f ca="1">IFERROR(__xludf.dummyfunction("ifna(index(filter('Посещаемость_баллы'!$A:$L,'Посещаемость_баллы'!$B:$B=$B21,'Посещаемость_баллы'!$C:$C=$C21,'Посещаемость_баллы'!$D:$D=$D21),1,12)*10,0)"),6)</f>
        <v>6</v>
      </c>
      <c r="L21" s="7">
        <f>ROUNDDOWN(IFERROR(VALUE(VLOOKUP(H21,'Онлайн-курс1'!B:F,5,FALSE())),IFERROR(VALUE(VLOOKUP(H21,'Онлайн-курс1'!C:F,4,FALSE())),0))/40*20,0)
+ IFERROR(VALUE(SUBSTITUTE(VLOOKUP(H21,'Онлайн-курс2'!B:I,7,FALSE()),".",",")),IFERROR(VALUE(SUBSTITUTE(VLOOKUP(H21,'Онлайн-курс2'!C:I,6,FALSE()),".",",")),0))*2</f>
        <v>20</v>
      </c>
      <c r="M21" s="8" t="s">
        <v>139</v>
      </c>
      <c r="N21" s="9">
        <v>1</v>
      </c>
      <c r="O21" s="4" t="s">
        <v>141</v>
      </c>
      <c r="P21" s="4">
        <v>0</v>
      </c>
      <c r="Q21" s="10" t="str">
        <f ca="1">IFERROR(__xludf.dummyfunction("iferror(index(QUERY(commits!A$2:$K1001, ""select Count(C) where lower(D) = lower('""&amp;G21&amp;""')""),2,1),""-"")"),"-")</f>
        <v>-</v>
      </c>
      <c r="R21" s="4" t="s">
        <v>54</v>
      </c>
      <c r="S21" s="4" t="s">
        <v>47</v>
      </c>
      <c r="T21" s="4">
        <f ca="1">VLOOKUP(A21,Расчёт_оценок!A:C,3,FALSE())</f>
        <v>5</v>
      </c>
      <c r="U21" s="4">
        <f ca="1">IFERROR(VLOOKUP(J21,Проекты!A:P,16,FALSE()),0)</f>
        <v>4</v>
      </c>
      <c r="V21" s="4" t="s">
        <v>54</v>
      </c>
      <c r="W21" s="4">
        <v>12</v>
      </c>
      <c r="X21" s="4">
        <v>12</v>
      </c>
      <c r="Y21" s="4">
        <v>3</v>
      </c>
      <c r="Z21" s="4">
        <v>2</v>
      </c>
      <c r="AA21" s="4">
        <v>2</v>
      </c>
      <c r="AB21" s="4">
        <v>2</v>
      </c>
      <c r="AC21" s="4">
        <f t="shared" si="0"/>
        <v>5</v>
      </c>
      <c r="AD21" s="4">
        <v>2.6</v>
      </c>
      <c r="AE21" s="4">
        <v>15</v>
      </c>
      <c r="AF21" s="4">
        <v>15</v>
      </c>
      <c r="AG21" s="4">
        <v>3</v>
      </c>
      <c r="AH21" s="4">
        <f ca="1">IFERROR(__xludf.dummyfunction("if(isna(filter(prs!C:U,prs!I:I=G21,prs!G:G&gt;DATE(2024,3,28),prs!G:G&lt;DATE(2024,4,26))),0,countunique(index(filter(prs!C:U,prs!I:I=G21,prs!G:G&gt;DATE(2024,3,28),prs!G:G&lt;DATE(2024,4,26)),,1)))"),8)</f>
        <v>8</v>
      </c>
      <c r="AI21" s="4">
        <f ca="1">IFERROR(__xludf.dummyfunction("if(isna(filter(prs!C:U,prs!I:I=G21,prs!R:R&lt;&gt;""Empty field"",prs!G:G&gt;DATE(2024,3,28),prs!G:G&lt;DATE(2024,4,26))),0,countunique(index(filter(prs!C:U,prs!I:I=G21,prs!R:R&lt;&gt;""Empty field"",prs!G:G&gt;DATE(2024,3,28),prs!G:G&lt;DATE(2024,4,26)),,1)))"),8)</f>
        <v>8</v>
      </c>
      <c r="AJ21" s="4">
        <f t="shared" ca="1" si="1"/>
        <v>3</v>
      </c>
      <c r="AK21" s="4">
        <f t="shared" ca="1" si="2"/>
        <v>6</v>
      </c>
      <c r="AL21" s="4">
        <f ca="1">IFERROR(__xludf.dummyfunction("filter('Проекты'!AT:AT,'Проекты'!A:A=J21)"),3.9)</f>
        <v>3.9</v>
      </c>
      <c r="AM21" s="4">
        <f ca="1">IFERROR(__xludf.dummyfunction("ifna(filter(commits_results!H:I,commits_results!B:B=A21,commits_results!A:A=J21),)"),6)</f>
        <v>6</v>
      </c>
      <c r="AN21" s="4">
        <f ca="1">IFERROR(__xludf.dummyfunction("""COMPUTED_VALUE"""),6)</f>
        <v>6</v>
      </c>
      <c r="AO21" s="4">
        <f t="shared" ca="1" si="3"/>
        <v>3</v>
      </c>
      <c r="AP21" s="4">
        <f ca="1">IFERROR(__xludf.dummyfunction("if(isna(filter(prs!C:U,prs!I:I=G21,prs!G:G&gt;DATE(2024,4,25),prs!G:G&lt;DATE(2024,5,23))),0,countunique(index(filter(prs!C:U,prs!I:I=G21,prs!G:G&gt;DATE(2024,4,25),prs!G:G&lt;DATE(2024,5,23)),,1)))"),2)</f>
        <v>2</v>
      </c>
      <c r="AQ21" s="4">
        <f ca="1">IFERROR(__xludf.dummyfunction("if(isna(filter(prs!C:U,prs!I:I=G21,prs!R:R&lt;&gt;""Empty field"",prs!G:G&gt;DATE(2024,4,25),prs!G:G&lt;DATE(2024,5,23))),0,countunique(index(filter(prs!C:U,prs!I:I=G21,prs!R:R&lt;&gt;""Empty field"",prs!G:G&gt;DATE(2024,4,25),prs!G:G&lt;DATE(2024,5,23)),,1)))"),2)</f>
        <v>2</v>
      </c>
      <c r="AR21" s="4">
        <f t="shared" ca="1" si="4"/>
        <v>3</v>
      </c>
      <c r="AS21" s="4">
        <f t="shared" ca="1" si="5"/>
        <v>6</v>
      </c>
      <c r="AT21" s="4">
        <f ca="1">IFERROR(__xludf.dummyfunction("filter('Проекты'!BB:BB,'Проекты'!A:A=J21)"),2.5)</f>
        <v>2.5</v>
      </c>
      <c r="AU21" s="4">
        <f ca="1">IFERROR(__xludf.dummyfunction("filter('Проекты'!BE:BE,'Проекты'!A:A=J21)"),0)</f>
        <v>0</v>
      </c>
      <c r="AV21" s="11">
        <f t="shared" ca="1" si="6"/>
        <v>61</v>
      </c>
      <c r="AW21" s="4" t="str">
        <f t="shared" ca="1" si="7"/>
        <v>Удовлетворительно</v>
      </c>
    </row>
    <row r="22" spans="1:51" ht="15.75" customHeight="1">
      <c r="A22" s="6" t="s">
        <v>142</v>
      </c>
      <c r="B22" s="6" t="s">
        <v>142</v>
      </c>
      <c r="C22" s="6"/>
      <c r="D22" s="6">
        <v>1303</v>
      </c>
      <c r="E22" s="6" t="s">
        <v>143</v>
      </c>
      <c r="F22" s="6" t="s">
        <v>143</v>
      </c>
      <c r="G22" s="6" t="s">
        <v>144</v>
      </c>
      <c r="H22" s="6" t="s">
        <v>145</v>
      </c>
      <c r="I22" s="4" t="s">
        <v>1037</v>
      </c>
      <c r="J22" s="7">
        <f ca="1">IFERROR(__xludf.dummyfunction("index(split(I22,char(9)),1,1)"),16)</f>
        <v>16</v>
      </c>
      <c r="K22" s="7">
        <f ca="1">IFERROR(__xludf.dummyfunction("ifna(index(filter('Посещаемость_баллы'!$A:$L,'Посещаемость_баллы'!$B:$B=$B22,'Посещаемость_баллы'!$C:$C=$C22,'Посещаемость_баллы'!$D:$D=$D22),1,12)*10,0)"),2)</f>
        <v>2</v>
      </c>
      <c r="L22" s="7">
        <f>ROUNDDOWN(IFERROR(VALUE(VLOOKUP(H22,'Онлайн-курс1'!B:F,5,FALSE())),IFERROR(VALUE(VLOOKUP(H22,'Онлайн-курс1'!C:F,4,FALSE())),0))/40*20,0)
+ IFERROR(VALUE(SUBSTITUTE(VLOOKUP(H22,'Онлайн-курс2'!B:I,7,FALSE()),".",",")),IFERROR(VALUE(SUBSTITUTE(VLOOKUP(H22,'Онлайн-курс2'!C:I,6,FALSE()),".",",")),0))*2</f>
        <v>20</v>
      </c>
      <c r="M22" s="8" t="s">
        <v>144</v>
      </c>
      <c r="N22" s="9">
        <v>1</v>
      </c>
      <c r="O22" s="4" t="s">
        <v>146</v>
      </c>
      <c r="P22" s="4">
        <v>0</v>
      </c>
      <c r="Q22" s="10" t="str">
        <f ca="1">IFERROR(__xludf.dummyfunction("iferror(index(QUERY(commits!A$2:$K1001, ""select Count(C) where lower(D) = lower('""&amp;G22&amp;""')""),2,1),""-"")"),"-")</f>
        <v>-</v>
      </c>
      <c r="R22" s="4" t="s">
        <v>147</v>
      </c>
      <c r="S22" s="4" t="s">
        <v>47</v>
      </c>
      <c r="T22" s="4">
        <f ca="1">VLOOKUP(A22,Расчёт_оценок!A:C,3,FALSE())</f>
        <v>6</v>
      </c>
      <c r="U22" s="4">
        <f ca="1">IFERROR(VLOOKUP(J22,Проекты!A:P,16,FALSE()),0)</f>
        <v>4</v>
      </c>
      <c r="V22" s="4" t="s">
        <v>148</v>
      </c>
      <c r="W22" s="4">
        <v>7</v>
      </c>
      <c r="X22" s="4">
        <v>10</v>
      </c>
      <c r="Y22" s="4">
        <v>2.1</v>
      </c>
      <c r="Z22" s="4">
        <v>7</v>
      </c>
      <c r="AA22" s="4">
        <v>5</v>
      </c>
      <c r="AB22" s="4">
        <v>2</v>
      </c>
      <c r="AC22" s="4">
        <f t="shared" si="0"/>
        <v>5.0999999999999996</v>
      </c>
      <c r="AD22" s="4">
        <v>4</v>
      </c>
      <c r="AE22" s="4">
        <v>4</v>
      </c>
      <c r="AF22" s="4">
        <v>4</v>
      </c>
      <c r="AG22" s="4">
        <v>1.5</v>
      </c>
      <c r="AH22" s="4">
        <f ca="1">IFERROR(__xludf.dummyfunction("if(isna(filter(prs!C:U,prs!I:I=G22,prs!G:G&gt;DATE(2024,3,28),prs!G:G&lt;DATE(2024,4,26))),0,countunique(index(filter(prs!C:U,prs!I:I=G22,prs!G:G&gt;DATE(2024,3,28),prs!G:G&lt;DATE(2024,4,26)),,1)))"),10)</f>
        <v>10</v>
      </c>
      <c r="AI22" s="4">
        <f ca="1">IFERROR(__xludf.dummyfunction("if(isna(filter(prs!C:U,prs!I:I=G22,prs!R:R&lt;&gt;""Empty field"",prs!G:G&gt;DATE(2024,3,28),prs!G:G&lt;DATE(2024,4,26))),0,countunique(index(filter(prs!C:U,prs!I:I=G22,prs!R:R&lt;&gt;""Empty field"",prs!G:G&gt;DATE(2024,3,28),prs!G:G&lt;DATE(2024,4,26)),,1)))"),8)</f>
        <v>8</v>
      </c>
      <c r="AJ22" s="4">
        <f t="shared" ca="1" si="1"/>
        <v>3</v>
      </c>
      <c r="AK22" s="4">
        <f t="shared" ca="1" si="2"/>
        <v>4.5</v>
      </c>
      <c r="AL22" s="4">
        <f ca="1">IFERROR(__xludf.dummyfunction("filter('Проекты'!AT:AT,'Проекты'!A:A=J22)"),4)</f>
        <v>4</v>
      </c>
      <c r="AM22" s="4">
        <f ca="1">IFERROR(__xludf.dummyfunction("ifna(filter(commits_results!H:I,commits_results!B:B=A22,commits_results!A:A=J22),)"),4)</f>
        <v>4</v>
      </c>
      <c r="AN22" s="4">
        <f ca="1">IFERROR(__xludf.dummyfunction("""COMPUTED_VALUE"""),4)</f>
        <v>4</v>
      </c>
      <c r="AO22" s="4">
        <f t="shared" ca="1" si="3"/>
        <v>3</v>
      </c>
      <c r="AP22" s="4">
        <f ca="1">IFERROR(__xludf.dummyfunction("if(isna(filter(prs!C:U,prs!I:I=G22,prs!G:G&gt;DATE(2024,4,25),prs!G:G&lt;DATE(2024,5,23))),0,countunique(index(filter(prs!C:U,prs!I:I=G22,prs!G:G&gt;DATE(2024,4,25),prs!G:G&lt;DATE(2024,5,23)),,1)))"),3)</f>
        <v>3</v>
      </c>
      <c r="AQ22" s="4">
        <f ca="1">IFERROR(__xludf.dummyfunction("if(isna(filter(prs!C:U,prs!I:I=G22,prs!R:R&lt;&gt;""Empty field"",prs!G:G&gt;DATE(2024,4,25),prs!G:G&lt;DATE(2024,5,23))),0,countunique(index(filter(prs!C:U,prs!I:I=G22,prs!R:R&lt;&gt;""Empty field"",prs!G:G&gt;DATE(2024,4,25),prs!G:G&lt;DATE(2024,5,23)),,1)))"),3)</f>
        <v>3</v>
      </c>
      <c r="AR22" s="4">
        <f t="shared" ca="1" si="4"/>
        <v>3</v>
      </c>
      <c r="AS22" s="4">
        <f t="shared" ca="1" si="5"/>
        <v>6</v>
      </c>
      <c r="AT22" s="4">
        <f ca="1">IFERROR(__xludf.dummyfunction("filter('Проекты'!BB:BB,'Проекты'!A:A=J22)"),2.4)</f>
        <v>2.4</v>
      </c>
      <c r="AU22" s="4">
        <f ca="1">IFERROR(__xludf.dummyfunction("filter('Проекты'!BE:BE,'Проекты'!A:A=J22)"),0)</f>
        <v>0</v>
      </c>
      <c r="AV22" s="11">
        <f t="shared" ca="1" si="6"/>
        <v>58</v>
      </c>
      <c r="AW22" s="4" t="str">
        <f t="shared" ca="1" si="7"/>
        <v>Неудовлетворительно</v>
      </c>
    </row>
    <row r="23" spans="1:51" ht="15.75" customHeight="1">
      <c r="A23" s="6" t="s">
        <v>149</v>
      </c>
      <c r="B23" s="6" t="s">
        <v>149</v>
      </c>
      <c r="C23" s="6"/>
      <c r="D23" s="6">
        <v>1303</v>
      </c>
      <c r="E23" s="6" t="s">
        <v>150</v>
      </c>
      <c r="F23" s="6" t="s">
        <v>150</v>
      </c>
      <c r="G23" s="6" t="s">
        <v>151</v>
      </c>
      <c r="H23" s="6" t="s">
        <v>152</v>
      </c>
      <c r="I23" s="4" t="s">
        <v>1038</v>
      </c>
      <c r="J23" s="7">
        <f ca="1">IFERROR(__xludf.dummyfunction("index(split(I23,char(9)),1,1)"),3)</f>
        <v>3</v>
      </c>
      <c r="K23" s="7">
        <f ca="1">IFERROR(__xludf.dummyfunction("ifna(index(filter('Посещаемость_баллы'!$A:$L,'Посещаемость_баллы'!$B:$B=$B23,'Посещаемость_баллы'!$C:$C=$C23,'Посещаемость_баллы'!$D:$D=$D23),1,12)*10,0)"),6)</f>
        <v>6</v>
      </c>
      <c r="L23" s="7">
        <f>ROUNDDOWN(IFERROR(VALUE(VLOOKUP(H23,'Онлайн-курс1'!B:F,5,FALSE())),IFERROR(VALUE(VLOOKUP(H23,'Онлайн-курс1'!C:F,4,FALSE())),0))/40*20,0)
+ IFERROR(VALUE(SUBSTITUTE(VLOOKUP(H23,'Онлайн-курс2'!B:I,7,FALSE()),".",",")),IFERROR(VALUE(SUBSTITUTE(VLOOKUP(H23,'Онлайн-курс2'!C:I,6,FALSE()),".",",")),0))*2</f>
        <v>20</v>
      </c>
      <c r="M23" s="8" t="s">
        <v>151</v>
      </c>
      <c r="N23" s="9">
        <v>1</v>
      </c>
      <c r="O23" s="4" t="s">
        <v>153</v>
      </c>
      <c r="P23" s="4">
        <v>0</v>
      </c>
      <c r="Q23" s="10" t="str">
        <f ca="1">IFERROR(__xludf.dummyfunction("iferror(index(QUERY(commits!A$2:$K1001, ""select Count(C) where lower(D) = lower('""&amp;G23&amp;""')""),2,1),""-"")"),"-")</f>
        <v>-</v>
      </c>
      <c r="R23" s="4" t="s">
        <v>77</v>
      </c>
      <c r="S23" s="4" t="s">
        <v>47</v>
      </c>
      <c r="T23" s="4">
        <f ca="1">VLOOKUP(A23,Расчёт_оценок!A:C,3,FALSE())</f>
        <v>6</v>
      </c>
      <c r="U23" s="4">
        <f ca="1">IFERROR(VLOOKUP(J23,Проекты!A:P,16,FALSE()),0)</f>
        <v>4</v>
      </c>
      <c r="V23" s="4" t="s">
        <v>71</v>
      </c>
      <c r="W23" s="4">
        <v>4</v>
      </c>
      <c r="X23" s="4">
        <v>4</v>
      </c>
      <c r="Y23" s="4">
        <v>1.5</v>
      </c>
      <c r="Z23" s="4">
        <v>3</v>
      </c>
      <c r="AA23" s="4">
        <v>3</v>
      </c>
      <c r="AB23" s="4">
        <v>2</v>
      </c>
      <c r="AC23" s="4">
        <f t="shared" si="0"/>
        <v>4.5</v>
      </c>
      <c r="AD23" s="4">
        <v>4</v>
      </c>
      <c r="AE23" s="4">
        <v>22</v>
      </c>
      <c r="AF23" s="4">
        <v>22</v>
      </c>
      <c r="AG23" s="4">
        <v>3</v>
      </c>
      <c r="AH23" s="4">
        <f ca="1">IFERROR(__xludf.dummyfunction("if(isna(filter(prs!C:U,prs!I:I=G23,prs!G:G&gt;DATE(2024,3,28),prs!G:G&lt;DATE(2024,4,26))),0,countunique(index(filter(prs!C:U,prs!I:I=G23,prs!G:G&gt;DATE(2024,3,28),prs!G:G&lt;DATE(2024,4,26)),,1)))"),10)</f>
        <v>10</v>
      </c>
      <c r="AI23" s="4">
        <f ca="1">IFERROR(__xludf.dummyfunction("if(isna(filter(prs!C:U,prs!I:I=G23,prs!R:R&lt;&gt;""Empty field"",prs!G:G&gt;DATE(2024,3,28),prs!G:G&lt;DATE(2024,4,26))),0,countunique(index(filter(prs!C:U,prs!I:I=G23,prs!R:R&lt;&gt;""Empty field"",prs!G:G&gt;DATE(2024,3,28),prs!G:G&lt;DATE(2024,4,26)),,1)))"),10)</f>
        <v>10</v>
      </c>
      <c r="AJ23" s="4">
        <f t="shared" ca="1" si="1"/>
        <v>3</v>
      </c>
      <c r="AK23" s="4">
        <f t="shared" ca="1" si="2"/>
        <v>6</v>
      </c>
      <c r="AL23" s="4">
        <f ca="1">IFERROR(__xludf.dummyfunction("filter('Проекты'!AT:AT,'Проекты'!A:A=J23)"),4)</f>
        <v>4</v>
      </c>
      <c r="AM23" s="4">
        <f ca="1">IFERROR(__xludf.dummyfunction("ifna(filter(commits_results!H:I,commits_results!B:B=A23,commits_results!A:A=J23),)"),31)</f>
        <v>31</v>
      </c>
      <c r="AN23" s="4">
        <f ca="1">IFERROR(__xludf.dummyfunction("""COMPUTED_VALUE"""),31)</f>
        <v>31</v>
      </c>
      <c r="AO23" s="4">
        <f t="shared" ca="1" si="3"/>
        <v>3</v>
      </c>
      <c r="AP23" s="4">
        <f ca="1">IFERROR(__xludf.dummyfunction("if(isna(filter(prs!C:U,prs!I:I=G23,prs!G:G&gt;DATE(2024,4,25),prs!G:G&lt;DATE(2024,5,23))),0,countunique(index(filter(prs!C:U,prs!I:I=G23,prs!G:G&gt;DATE(2024,4,25),prs!G:G&lt;DATE(2024,5,23)),,1)))"),8)</f>
        <v>8</v>
      </c>
      <c r="AQ23" s="4">
        <f ca="1">IFERROR(__xludf.dummyfunction("if(isna(filter(prs!C:U,prs!I:I=G23,prs!R:R&lt;&gt;""Empty field"",prs!G:G&gt;DATE(2024,4,25),prs!G:G&lt;DATE(2024,5,23))),0,countunique(index(filter(prs!C:U,prs!I:I=G23,prs!R:R&lt;&gt;""Empty field"",prs!G:G&gt;DATE(2024,4,25),prs!G:G&lt;DATE(2024,5,23)),,1)))"),8)</f>
        <v>8</v>
      </c>
      <c r="AR23" s="4">
        <f t="shared" ca="1" si="4"/>
        <v>3</v>
      </c>
      <c r="AS23" s="4">
        <f t="shared" ca="1" si="5"/>
        <v>6</v>
      </c>
      <c r="AT23" s="4">
        <f ca="1">IFERROR(__xludf.dummyfunction("filter('Проекты'!BB:BB,'Проекты'!A:A=J23)"),4)</f>
        <v>4</v>
      </c>
      <c r="AU23" s="4">
        <f ca="1">IFERROR(__xludf.dummyfunction("filter('Проекты'!BE:BE,'Проекты'!A:A=J23)"),10)</f>
        <v>10</v>
      </c>
      <c r="AV23" s="11">
        <f t="shared" ca="1" si="6"/>
        <v>75</v>
      </c>
      <c r="AW23" s="4" t="str">
        <f t="shared" ca="1" si="7"/>
        <v>Хорошо</v>
      </c>
      <c r="AY23" s="12"/>
    </row>
    <row r="24" spans="1:51" ht="15.75" customHeight="1">
      <c r="A24" s="6" t="s">
        <v>154</v>
      </c>
      <c r="B24" s="6" t="s">
        <v>154</v>
      </c>
      <c r="C24" s="6"/>
      <c r="D24" s="6">
        <v>1303</v>
      </c>
      <c r="E24" s="6" t="s">
        <v>155</v>
      </c>
      <c r="F24" s="6" t="s">
        <v>155</v>
      </c>
      <c r="G24" s="6" t="s">
        <v>156</v>
      </c>
      <c r="H24" s="6" t="s">
        <v>157</v>
      </c>
      <c r="I24" s="4" t="s">
        <v>1039</v>
      </c>
      <c r="J24" s="7">
        <f ca="1">IFERROR(__xludf.dummyfunction("index(split(I24,char(9)),1,1)"),4)</f>
        <v>4</v>
      </c>
      <c r="K24" s="7">
        <f ca="1">IFERROR(__xludf.dummyfunction("ifna(index(filter('Посещаемость_баллы'!$A:$L,'Посещаемость_баллы'!$B:$B=$B24,'Посещаемость_баллы'!$C:$C=$C24,'Посещаемость_баллы'!$D:$D=$D24),1,12)*10,0)"),10)</f>
        <v>10</v>
      </c>
      <c r="L24" s="7">
        <f>ROUNDDOWN(IFERROR(VALUE(VLOOKUP(H24,'Онлайн-курс1'!B:F,5,FALSE())),IFERROR(VALUE(VLOOKUP(H24,'Онлайн-курс1'!C:F,4,FALSE())),0))/40*20,0)
+ IFERROR(VALUE(SUBSTITUTE(VLOOKUP(H24,'Онлайн-курс2'!B:I,7,FALSE()),".",",")),IFERROR(VALUE(SUBSTITUTE(VLOOKUP(H24,'Онлайн-курс2'!C:I,6,FALSE()),".",",")),0))*2</f>
        <v>20</v>
      </c>
      <c r="M24" s="8" t="s">
        <v>156</v>
      </c>
      <c r="N24" s="9">
        <v>1</v>
      </c>
      <c r="O24" s="4" t="s">
        <v>158</v>
      </c>
      <c r="P24" s="4">
        <v>0</v>
      </c>
      <c r="Q24" s="10" t="str">
        <f ca="1">IFERROR(__xludf.dummyfunction("iferror(index(QUERY(commits!A$2:$K1001, ""select Count(C) where lower(D) = lower('""&amp;G24&amp;""')""),2,1),""-"")"),"-")</f>
        <v>-</v>
      </c>
      <c r="R24" s="4" t="s">
        <v>103</v>
      </c>
      <c r="S24" s="4">
        <v>1</v>
      </c>
      <c r="T24" s="4">
        <f ca="1">VLOOKUP(A24,Расчёт_оценок!A:C,3,FALSE())</f>
        <v>6</v>
      </c>
      <c r="U24" s="4">
        <f ca="1">IFERROR(VLOOKUP(J24,Проекты!A:P,16,FALSE()),0)</f>
        <v>4</v>
      </c>
      <c r="V24" s="4" t="s">
        <v>159</v>
      </c>
      <c r="W24" s="4">
        <v>12</v>
      </c>
      <c r="X24" s="4">
        <v>12</v>
      </c>
      <c r="Y24" s="4">
        <v>3</v>
      </c>
      <c r="Z24" s="4">
        <v>6</v>
      </c>
      <c r="AA24" s="4">
        <v>4</v>
      </c>
      <c r="AB24" s="4">
        <v>1.33</v>
      </c>
      <c r="AC24" s="4">
        <f t="shared" si="0"/>
        <v>5.33</v>
      </c>
      <c r="AD24" s="4">
        <v>2.6</v>
      </c>
      <c r="AE24" s="4">
        <v>34</v>
      </c>
      <c r="AF24" s="4">
        <v>34</v>
      </c>
      <c r="AG24" s="4">
        <v>3</v>
      </c>
      <c r="AH24" s="4">
        <f ca="1">IFERROR(__xludf.dummyfunction("if(isna(filter(prs!C:U,prs!I:I=G24,prs!G:G&gt;DATE(2024,3,28),prs!G:G&lt;DATE(2024,4,26))),0,countunique(index(filter(prs!C:U,prs!I:I=G24,prs!G:G&gt;DATE(2024,3,28),prs!G:G&lt;DATE(2024,4,26)),,1)))"),8)</f>
        <v>8</v>
      </c>
      <c r="AI24" s="4">
        <f ca="1">IFERROR(__xludf.dummyfunction("if(isna(filter(prs!C:U,prs!I:I=G24,prs!R:R&lt;&gt;""Empty field"",prs!G:G&gt;DATE(2024,3,28),prs!G:G&lt;DATE(2024,4,26))),0,countunique(index(filter(prs!C:U,prs!I:I=G24,prs!R:R&lt;&gt;""Empty field"",prs!G:G&gt;DATE(2024,3,28),prs!G:G&lt;DATE(2024,4,26)),,1)))"),8)</f>
        <v>8</v>
      </c>
      <c r="AJ24" s="4">
        <f t="shared" ca="1" si="1"/>
        <v>3</v>
      </c>
      <c r="AK24" s="4">
        <f t="shared" ca="1" si="2"/>
        <v>6</v>
      </c>
      <c r="AL24" s="4">
        <f ca="1">IFERROR(__xludf.dummyfunction("filter('Проекты'!AT:AT,'Проекты'!A:A=J24)"),3.9)</f>
        <v>3.9</v>
      </c>
      <c r="AM24" s="4">
        <f ca="1">IFERROR(__xludf.dummyfunction("ifna(filter(commits_results!H:I,commits_results!B:B=A24,commits_results!A:A=J24),)"),8)</f>
        <v>8</v>
      </c>
      <c r="AN24" s="4">
        <f ca="1">IFERROR(__xludf.dummyfunction("""COMPUTED_VALUE"""),8)</f>
        <v>8</v>
      </c>
      <c r="AO24" s="4">
        <f t="shared" ca="1" si="3"/>
        <v>3</v>
      </c>
      <c r="AP24" s="4">
        <f ca="1">IFERROR(__xludf.dummyfunction("if(isna(filter(prs!C:U,prs!I:I=G24,prs!G:G&gt;DATE(2024,4,25),prs!G:G&lt;DATE(2024,5,23))),0,countunique(index(filter(prs!C:U,prs!I:I=G24,prs!G:G&gt;DATE(2024,4,25),prs!G:G&lt;DATE(2024,5,23)),,1)))"),2)</f>
        <v>2</v>
      </c>
      <c r="AQ24" s="4">
        <f ca="1">IFERROR(__xludf.dummyfunction("if(isna(filter(prs!C:U,prs!I:I=G24,prs!R:R&lt;&gt;""Empty field"",prs!G:G&gt;DATE(2024,4,25),prs!G:G&lt;DATE(2024,5,23))),0,countunique(index(filter(prs!C:U,prs!I:I=G24,prs!R:R&lt;&gt;""Empty field"",prs!G:G&gt;DATE(2024,4,25),prs!G:G&lt;DATE(2024,5,23)),,1)))"),2)</f>
        <v>2</v>
      </c>
      <c r="AR24" s="4">
        <f t="shared" ca="1" si="4"/>
        <v>3</v>
      </c>
      <c r="AS24" s="4">
        <f t="shared" ca="1" si="5"/>
        <v>6</v>
      </c>
      <c r="AT24" s="4">
        <f ca="1">IFERROR(__xludf.dummyfunction("filter('Проекты'!BB:BB,'Проекты'!A:A=J24)"),2.5)</f>
        <v>2.5</v>
      </c>
      <c r="AU24" s="4">
        <f ca="1">IFERROR(__xludf.dummyfunction("filter('Проекты'!BE:BE,'Проекты'!A:A=J24)"),0)</f>
        <v>0</v>
      </c>
      <c r="AV24" s="11">
        <f t="shared" ca="1" si="6"/>
        <v>67</v>
      </c>
      <c r="AW24" s="4" t="str">
        <f t="shared" ca="1" si="7"/>
        <v>Удовлетворительно</v>
      </c>
    </row>
    <row r="25" spans="1:51" ht="15.75" customHeight="1">
      <c r="A25" s="6" t="s">
        <v>160</v>
      </c>
      <c r="B25" s="6" t="s">
        <v>160</v>
      </c>
      <c r="C25" s="6"/>
      <c r="D25" s="6">
        <v>1303</v>
      </c>
      <c r="E25" s="6" t="s">
        <v>161</v>
      </c>
      <c r="F25" s="6" t="s">
        <v>161</v>
      </c>
      <c r="G25" s="6" t="s">
        <v>162</v>
      </c>
      <c r="H25" s="6" t="s">
        <v>163</v>
      </c>
      <c r="I25" s="4" t="s">
        <v>1040</v>
      </c>
      <c r="J25" s="7">
        <f ca="1">IFERROR(__xludf.dummyfunction("index(split(I25,char(9)),1,1)"),11)</f>
        <v>11</v>
      </c>
      <c r="K25" s="7">
        <f ca="1">IFERROR(__xludf.dummyfunction("ifna(index(filter('Посещаемость_баллы'!$A:$L,'Посещаемость_баллы'!$B:$B=$B25,'Посещаемость_баллы'!$C:$C=$C25,'Посещаемость_баллы'!$D:$D=$D25),1,12)*10,0)"),6)</f>
        <v>6</v>
      </c>
      <c r="L25" s="7">
        <f>ROUNDDOWN(IFERROR(VALUE(VLOOKUP(H25,'Онлайн-курс1'!B:F,5,FALSE())),IFERROR(VALUE(VLOOKUP(H25,'Онлайн-курс1'!C:F,4,FALSE())),0))/40*20,0)
+ IFERROR(VALUE(SUBSTITUTE(VLOOKUP(H25,'Онлайн-курс2'!B:I,7,FALSE()),".",",")),IFERROR(VALUE(SUBSTITUTE(VLOOKUP(H25,'Онлайн-курс2'!C:I,6,FALSE()),".",",")),0))*2</f>
        <v>20</v>
      </c>
      <c r="M25" s="8" t="s">
        <v>162</v>
      </c>
      <c r="N25" s="9">
        <v>1</v>
      </c>
      <c r="O25" s="4" t="s">
        <v>164</v>
      </c>
      <c r="P25" s="4">
        <v>0</v>
      </c>
      <c r="Q25" s="10" t="str">
        <f ca="1">IFERROR(__xludf.dummyfunction("iferror(index(QUERY(commits!A$2:$K1001, ""select Count(C) where lower(D) = lower('""&amp;G25&amp;""')""),2,1),""-"")"),"-")</f>
        <v>-</v>
      </c>
      <c r="R25" s="4" t="s">
        <v>40</v>
      </c>
      <c r="S25" s="4">
        <v>1</v>
      </c>
      <c r="T25" s="4">
        <f ca="1">VLOOKUP(A25,Расчёт_оценок!A:C,3,FALSE())</f>
        <v>6</v>
      </c>
      <c r="U25" s="4">
        <f ca="1">IFERROR(VLOOKUP(J25,Проекты!A:P,16,FALSE()),0)</f>
        <v>3</v>
      </c>
      <c r="V25" s="4" t="s">
        <v>54</v>
      </c>
      <c r="W25" s="4">
        <v>8</v>
      </c>
      <c r="X25" s="4">
        <v>8</v>
      </c>
      <c r="Y25" s="4">
        <v>3</v>
      </c>
      <c r="Z25" s="4">
        <v>1</v>
      </c>
      <c r="AA25" s="4">
        <v>1</v>
      </c>
      <c r="AB25" s="4">
        <v>1</v>
      </c>
      <c r="AC25" s="4">
        <f t="shared" si="0"/>
        <v>4</v>
      </c>
      <c r="AD25" s="4">
        <v>2.9</v>
      </c>
      <c r="AE25" s="4">
        <v>1</v>
      </c>
      <c r="AF25" s="4">
        <v>1</v>
      </c>
      <c r="AG25" s="4">
        <v>1.5</v>
      </c>
      <c r="AH25" s="4">
        <f ca="1">IFERROR(__xludf.dummyfunction("if(isna(filter(prs!C:U,prs!I:I=G25,prs!G:G&gt;DATE(2024,3,28),prs!G:G&lt;DATE(2024,4,26))),0,countunique(index(filter(prs!C:U,prs!I:I=G25,prs!G:G&gt;DATE(2024,3,28),prs!G:G&lt;DATE(2024,4,26)),,1)))"),2)</f>
        <v>2</v>
      </c>
      <c r="AI25" s="4">
        <f ca="1">IFERROR(__xludf.dummyfunction("if(isna(filter(prs!C:U,prs!I:I=G25,prs!R:R&lt;&gt;""Empty field"",prs!G:G&gt;DATE(2024,3,28),prs!G:G&lt;DATE(2024,4,26))),0,countunique(index(filter(prs!C:U,prs!I:I=G25,prs!R:R&lt;&gt;""Empty field"",prs!G:G&gt;DATE(2024,3,28),prs!G:G&lt;DATE(2024,4,26)),,1)))"),2)</f>
        <v>2</v>
      </c>
      <c r="AJ25" s="4">
        <f t="shared" ca="1" si="1"/>
        <v>3</v>
      </c>
      <c r="AK25" s="4">
        <f t="shared" ca="1" si="2"/>
        <v>4.5</v>
      </c>
      <c r="AL25" s="4">
        <f ca="1">IFERROR(__xludf.dummyfunction("filter('Проекты'!AT:AT,'Проекты'!A:A=J25)"),4)</f>
        <v>4</v>
      </c>
      <c r="AM25" s="4">
        <f ca="1">IFERROR(__xludf.dummyfunction("ifna(filter(commits_results!H:I,commits_results!B:B=A25,commits_results!A:A=J25),)"),3)</f>
        <v>3</v>
      </c>
      <c r="AN25" s="4">
        <f ca="1">IFERROR(__xludf.dummyfunction("""COMPUTED_VALUE"""),3)</f>
        <v>3</v>
      </c>
      <c r="AO25" s="4">
        <f t="shared" ca="1" si="3"/>
        <v>3</v>
      </c>
      <c r="AP25" s="4">
        <f ca="1">IFERROR(__xludf.dummyfunction("if(isna(filter(prs!C:U,prs!I:I=G25,prs!G:G&gt;DATE(2024,4,25),prs!G:G&lt;DATE(2024,5,23))),0,countunique(index(filter(prs!C:U,prs!I:I=G25,prs!G:G&gt;DATE(2024,4,25),prs!G:G&lt;DATE(2024,5,23)),,1)))"),4)</f>
        <v>4</v>
      </c>
      <c r="AQ25" s="4">
        <f ca="1">IFERROR(__xludf.dummyfunction("if(isna(filter(prs!C:U,prs!I:I=G25,prs!R:R&lt;&gt;""Empty field"",prs!G:G&gt;DATE(2024,4,25),prs!G:G&lt;DATE(2024,5,23))),0,countunique(index(filter(prs!C:U,prs!I:I=G25,prs!R:R&lt;&gt;""Empty field"",prs!G:G&gt;DATE(2024,4,25),prs!G:G&lt;DATE(2024,5,23)),,1)))"),4)</f>
        <v>4</v>
      </c>
      <c r="AR25" s="4">
        <f t="shared" ca="1" si="4"/>
        <v>3</v>
      </c>
      <c r="AS25" s="4">
        <f t="shared" ca="1" si="5"/>
        <v>6</v>
      </c>
      <c r="AT25" s="4">
        <f ca="1">IFERROR(__xludf.dummyfunction("filter('Проекты'!BB:BB,'Проекты'!A:A=J25)"),3.7)</f>
        <v>3.7</v>
      </c>
      <c r="AU25" s="4">
        <f ca="1">IFERROR(__xludf.dummyfunction("filter('Проекты'!BE:BE,'Проекты'!A:A=J25)"),0)</f>
        <v>0</v>
      </c>
      <c r="AV25" s="11">
        <f t="shared" ca="1" si="6"/>
        <v>61</v>
      </c>
      <c r="AW25" s="4" t="str">
        <f t="shared" ca="1" si="7"/>
        <v>Удовлетворительно</v>
      </c>
    </row>
    <row r="26" spans="1:51" ht="15.75" customHeight="1">
      <c r="A26" s="6" t="s">
        <v>165</v>
      </c>
      <c r="B26" s="6" t="s">
        <v>165</v>
      </c>
      <c r="C26" s="6"/>
      <c r="D26" s="6">
        <v>1303</v>
      </c>
      <c r="E26" s="6" t="s">
        <v>166</v>
      </c>
      <c r="F26" s="6" t="s">
        <v>166</v>
      </c>
      <c r="G26" s="6" t="s">
        <v>167</v>
      </c>
      <c r="H26" s="6" t="s">
        <v>168</v>
      </c>
      <c r="I26" s="4" t="s">
        <v>1041</v>
      </c>
      <c r="J26" s="7">
        <f ca="1">IFERROR(__xludf.dummyfunction("index(split(I26,char(9)),1,1)"),6)</f>
        <v>6</v>
      </c>
      <c r="K26" s="7">
        <f ca="1">IFERROR(__xludf.dummyfunction("ifna(index(filter('Посещаемость_баллы'!$A:$L,'Посещаемость_баллы'!$B:$B=$B26,'Посещаемость_баллы'!$C:$C=$C26,'Посещаемость_баллы'!$D:$D=$D26),1,12)*10,0)"),6)</f>
        <v>6</v>
      </c>
      <c r="L26" s="7">
        <f>ROUNDDOWN(IFERROR(VALUE(VLOOKUP(H26,'Онлайн-курс1'!B:F,5,FALSE())),IFERROR(VALUE(VLOOKUP(H26,'Онлайн-курс1'!C:F,4,FALSE())),0))/40*20,0)
+ IFERROR(VALUE(SUBSTITUTE(VLOOKUP(H26,'Онлайн-курс2'!B:I,7,FALSE()),".",",")),IFERROR(VALUE(SUBSTITUTE(VLOOKUP(H26,'Онлайн-курс2'!C:I,6,FALSE()),".",",")),0))*2</f>
        <v>20</v>
      </c>
      <c r="M26" s="8" t="s">
        <v>167</v>
      </c>
      <c r="N26" s="9">
        <v>1</v>
      </c>
      <c r="O26" s="4" t="s">
        <v>169</v>
      </c>
      <c r="P26" s="4">
        <v>0</v>
      </c>
      <c r="Q26" s="10" t="str">
        <f ca="1">IFERROR(__xludf.dummyfunction("iferror(index(QUERY(commits!A$2:$K1001, ""select Count(C) where lower(D) = lower('""&amp;G26&amp;""')""),2,1),""-"")"),"-")</f>
        <v>-</v>
      </c>
      <c r="R26" s="4" t="s">
        <v>103</v>
      </c>
      <c r="S26" s="4">
        <v>2</v>
      </c>
      <c r="T26" s="4">
        <f ca="1">VLOOKUP(A26,Расчёт_оценок!A:C,3,FALSE())</f>
        <v>6</v>
      </c>
      <c r="U26" s="4">
        <f ca="1">IFERROR(VLOOKUP(J26,Проекты!A:P,16,FALSE()),0)</f>
        <v>4</v>
      </c>
      <c r="V26" s="4" t="s">
        <v>39</v>
      </c>
      <c r="W26" s="4">
        <v>16</v>
      </c>
      <c r="X26" s="4">
        <v>18</v>
      </c>
      <c r="Y26" s="4">
        <v>3</v>
      </c>
      <c r="Z26" s="4">
        <v>4</v>
      </c>
      <c r="AA26" s="4">
        <v>3</v>
      </c>
      <c r="AB26" s="4">
        <v>1.5</v>
      </c>
      <c r="AC26" s="4">
        <f t="shared" si="0"/>
        <v>5.5</v>
      </c>
      <c r="AD26" s="4">
        <v>3.2</v>
      </c>
      <c r="AE26" s="4">
        <v>3</v>
      </c>
      <c r="AF26" s="4">
        <v>3</v>
      </c>
      <c r="AG26" s="4">
        <v>1.5</v>
      </c>
      <c r="AH26" s="4">
        <f ca="1">IFERROR(__xludf.dummyfunction("if(isna(filter(prs!C:U,prs!I:I=G26,prs!G:G&gt;DATE(2024,3,28),prs!G:G&lt;DATE(2024,4,26))),0,countunique(index(filter(prs!C:U,prs!I:I=G26,prs!G:G&gt;DATE(2024,3,28),prs!G:G&lt;DATE(2024,4,26)),,1)))"),4)</f>
        <v>4</v>
      </c>
      <c r="AI26" s="4">
        <f ca="1">IFERROR(__xludf.dummyfunction("if(isna(filter(prs!C:U,prs!I:I=G26,prs!R:R&lt;&gt;""Empty field"",prs!G:G&gt;DATE(2024,3,28),prs!G:G&lt;DATE(2024,4,26))),0,countunique(index(filter(prs!C:U,prs!I:I=G26,prs!R:R&lt;&gt;""Empty field"",prs!G:G&gt;DATE(2024,3,28),prs!G:G&lt;DATE(2024,4,26)),,1)))"),4)</f>
        <v>4</v>
      </c>
      <c r="AJ26" s="4">
        <f t="shared" ca="1" si="1"/>
        <v>3</v>
      </c>
      <c r="AK26" s="4">
        <f t="shared" ca="1" si="2"/>
        <v>4.5</v>
      </c>
      <c r="AL26" s="4">
        <f ca="1">IFERROR(__xludf.dummyfunction("filter('Проекты'!AT:AT,'Проекты'!A:A=J26)"),3.7)</f>
        <v>3.7</v>
      </c>
      <c r="AM26" s="4">
        <f ca="1">IFERROR(__xludf.dummyfunction("ifna(filter(commits_results!H:I,commits_results!B:B=A26,commits_results!A:A=J26),)"),6)</f>
        <v>6</v>
      </c>
      <c r="AN26" s="4">
        <f ca="1">IFERROR(__xludf.dummyfunction("""COMPUTED_VALUE"""),6)</f>
        <v>6</v>
      </c>
      <c r="AO26" s="4">
        <f t="shared" ca="1" si="3"/>
        <v>3</v>
      </c>
      <c r="AP26" s="4">
        <f ca="1">IFERROR(__xludf.dummyfunction("if(isna(filter(prs!C:U,prs!I:I=G26,prs!G:G&gt;DATE(2024,4,25),prs!G:G&lt;DATE(2024,5,23))),0,countunique(index(filter(prs!C:U,prs!I:I=G26,prs!G:G&gt;DATE(2024,4,25),prs!G:G&lt;DATE(2024,5,23)),,1)))"),2)</f>
        <v>2</v>
      </c>
      <c r="AQ26" s="4">
        <f ca="1">IFERROR(__xludf.dummyfunction("if(isna(filter(prs!C:U,prs!I:I=G26,prs!R:R&lt;&gt;""Empty field"",prs!G:G&gt;DATE(2024,4,25),prs!G:G&lt;DATE(2024,5,23))),0,countunique(index(filter(prs!C:U,prs!I:I=G26,prs!R:R&lt;&gt;""Empty field"",prs!G:G&gt;DATE(2024,4,25),prs!G:G&lt;DATE(2024,5,23)),,1)))"),2)</f>
        <v>2</v>
      </c>
      <c r="AR26" s="4">
        <f t="shared" ca="1" si="4"/>
        <v>3</v>
      </c>
      <c r="AS26" s="4">
        <f t="shared" ca="1" si="5"/>
        <v>6</v>
      </c>
      <c r="AT26" s="4">
        <f ca="1">IFERROR(__xludf.dummyfunction("filter('Проекты'!BB:BB,'Проекты'!A:A=J26)"),3)</f>
        <v>3</v>
      </c>
      <c r="AU26" s="4">
        <f ca="1">IFERROR(__xludf.dummyfunction("filter('Проекты'!BE:BE,'Проекты'!A:A=J26)"),10)</f>
        <v>10</v>
      </c>
      <c r="AV26" s="11">
        <f t="shared" ca="1" si="6"/>
        <v>72</v>
      </c>
      <c r="AW26" s="4" t="str">
        <f t="shared" ca="1" si="7"/>
        <v>Удовлетворительно</v>
      </c>
    </row>
    <row r="27" spans="1:51" ht="15.75" customHeight="1">
      <c r="A27" s="6" t="s">
        <v>170</v>
      </c>
      <c r="B27" s="6" t="s">
        <v>170</v>
      </c>
      <c r="C27" s="6"/>
      <c r="D27" s="6">
        <v>1303</v>
      </c>
      <c r="E27" s="6" t="s">
        <v>171</v>
      </c>
      <c r="F27" s="6" t="s">
        <v>171</v>
      </c>
      <c r="G27" s="6" t="s">
        <v>172</v>
      </c>
      <c r="H27" s="6" t="s">
        <v>173</v>
      </c>
      <c r="I27" s="4" t="s">
        <v>1042</v>
      </c>
      <c r="J27" s="7">
        <f ca="1">IFERROR(__xludf.dummyfunction("index(split(I27,char(9)),1,1)"),4)</f>
        <v>4</v>
      </c>
      <c r="K27" s="7">
        <f ca="1">IFERROR(__xludf.dummyfunction("ifna(index(filter('Посещаемость_баллы'!$A:$L,'Посещаемость_баллы'!$B:$B=$B27,'Посещаемость_баллы'!$C:$C=$C27,'Посещаемость_баллы'!$D:$D=$D27),1,12)*10,0)"),10)</f>
        <v>10</v>
      </c>
      <c r="L27" s="7">
        <f>ROUNDDOWN(IFERROR(VALUE(VLOOKUP(H27,'Онлайн-курс1'!B:F,5,FALSE())),IFERROR(VALUE(VLOOKUP(H27,'Онлайн-курс1'!C:F,4,FALSE())),0))/40*20,0)
+ IFERROR(VALUE(SUBSTITUTE(VLOOKUP(H27,'Онлайн-курс2'!B:I,7,FALSE()),".",",")),IFERROR(VALUE(SUBSTITUTE(VLOOKUP(H27,'Онлайн-курс2'!C:I,6,FALSE()),".",",")),0))*2</f>
        <v>20</v>
      </c>
      <c r="M27" s="8" t="s">
        <v>172</v>
      </c>
      <c r="N27" s="9">
        <v>1</v>
      </c>
      <c r="O27" s="4" t="s">
        <v>174</v>
      </c>
      <c r="P27" s="4">
        <v>0</v>
      </c>
      <c r="Q27" s="10" t="str">
        <f ca="1">IFERROR(__xludf.dummyfunction("iferror(index(QUERY(commits!A$2:$K1001, ""select Count(C) where lower(D) = lower('""&amp;G27&amp;""')""),2,1),""-"")"),"-")</f>
        <v>-</v>
      </c>
      <c r="R27" s="4" t="s">
        <v>54</v>
      </c>
      <c r="S27" s="4" t="s">
        <v>47</v>
      </c>
      <c r="T27" s="4">
        <f ca="1">VLOOKUP(A27,Расчёт_оценок!A:C,3,FALSE())</f>
        <v>6</v>
      </c>
      <c r="U27" s="4">
        <f ca="1">IFERROR(VLOOKUP(J27,Проекты!A:P,16,FALSE()),0)</f>
        <v>4</v>
      </c>
      <c r="V27" s="4" t="s">
        <v>40</v>
      </c>
      <c r="W27" s="4">
        <v>26</v>
      </c>
      <c r="X27" s="4">
        <v>26</v>
      </c>
      <c r="Y27" s="4">
        <v>3</v>
      </c>
      <c r="Z27" s="4">
        <v>9</v>
      </c>
      <c r="AA27" s="4">
        <v>8</v>
      </c>
      <c r="AB27" s="4">
        <v>2</v>
      </c>
      <c r="AC27" s="4">
        <f t="shared" si="0"/>
        <v>6</v>
      </c>
      <c r="AD27" s="4">
        <v>2.6</v>
      </c>
      <c r="AE27" s="4">
        <v>33</v>
      </c>
      <c r="AF27" s="4">
        <v>33</v>
      </c>
      <c r="AG27" s="4">
        <v>3</v>
      </c>
      <c r="AH27" s="4">
        <f ca="1">IFERROR(__xludf.dummyfunction("if(isna(filter(prs!C:U,prs!I:I=G27,prs!G:G&gt;DATE(2024,3,28),prs!G:G&lt;DATE(2024,4,26))),0,countunique(index(filter(prs!C:U,prs!I:I=G27,prs!G:G&gt;DATE(2024,3,28),prs!G:G&lt;DATE(2024,4,26)),,1)))"),24)</f>
        <v>24</v>
      </c>
      <c r="AI27" s="4">
        <f ca="1">IFERROR(__xludf.dummyfunction("if(isna(filter(prs!C:U,prs!I:I=G27,prs!R:R&lt;&gt;""Empty field"",prs!G:G&gt;DATE(2024,3,28),prs!G:G&lt;DATE(2024,4,26))),0,countunique(index(filter(prs!C:U,prs!I:I=G27,prs!R:R&lt;&gt;""Empty field"",prs!G:G&gt;DATE(2024,3,28),prs!G:G&lt;DATE(2024,4,26)),,1)))"),24)</f>
        <v>24</v>
      </c>
      <c r="AJ27" s="4">
        <f t="shared" ca="1" si="1"/>
        <v>3</v>
      </c>
      <c r="AK27" s="4">
        <f t="shared" ca="1" si="2"/>
        <v>6</v>
      </c>
      <c r="AL27" s="4">
        <f ca="1">IFERROR(__xludf.dummyfunction("filter('Проекты'!AT:AT,'Проекты'!A:A=J27)"),3.9)</f>
        <v>3.9</v>
      </c>
      <c r="AM27" s="4">
        <f ca="1">IFERROR(__xludf.dummyfunction("ifna(filter(commits_results!H:I,commits_results!B:B=A27,commits_results!A:A=J27),)"),15)</f>
        <v>15</v>
      </c>
      <c r="AN27" s="4">
        <f ca="1">IFERROR(__xludf.dummyfunction("""COMPUTED_VALUE"""),15)</f>
        <v>15</v>
      </c>
      <c r="AO27" s="4">
        <f t="shared" ca="1" si="3"/>
        <v>3</v>
      </c>
      <c r="AP27" s="4">
        <f ca="1">IFERROR(__xludf.dummyfunction("if(isna(filter(prs!C:U,prs!I:I=G27,prs!G:G&gt;DATE(2024,4,25),prs!G:G&lt;DATE(2024,5,23))),0,countunique(index(filter(prs!C:U,prs!I:I=G27,prs!G:G&gt;DATE(2024,4,25),prs!G:G&lt;DATE(2024,5,23)),,1)))"),6)</f>
        <v>6</v>
      </c>
      <c r="AQ27" s="4">
        <f ca="1">IFERROR(__xludf.dummyfunction("if(isna(filter(prs!C:U,prs!I:I=G27,prs!R:R&lt;&gt;""Empty field"",prs!G:G&gt;DATE(2024,4,25),prs!G:G&lt;DATE(2024,5,23))),0,countunique(index(filter(prs!C:U,prs!I:I=G27,prs!R:R&lt;&gt;""Empty field"",prs!G:G&gt;DATE(2024,4,25),prs!G:G&lt;DATE(2024,5,23)),,1)))"),6)</f>
        <v>6</v>
      </c>
      <c r="AR27" s="4">
        <f t="shared" ca="1" si="4"/>
        <v>3</v>
      </c>
      <c r="AS27" s="4">
        <f t="shared" ca="1" si="5"/>
        <v>6</v>
      </c>
      <c r="AT27" s="4">
        <f ca="1">IFERROR(__xludf.dummyfunction("filter('Проекты'!BB:BB,'Проекты'!A:A=J27)"),2.5)</f>
        <v>2.5</v>
      </c>
      <c r="AU27" s="4">
        <f ca="1">IFERROR(__xludf.dummyfunction("filter('Проекты'!BE:BE,'Проекты'!A:A=J27)"),0)</f>
        <v>0</v>
      </c>
      <c r="AV27" s="11">
        <f t="shared" ca="1" si="6"/>
        <v>67</v>
      </c>
      <c r="AW27" s="4" t="str">
        <f t="shared" ca="1" si="7"/>
        <v>Удовлетворительно</v>
      </c>
    </row>
    <row r="28" spans="1:51" ht="15.75" customHeight="1">
      <c r="A28" s="6" t="s">
        <v>175</v>
      </c>
      <c r="B28" s="6" t="s">
        <v>175</v>
      </c>
      <c r="C28" s="6"/>
      <c r="D28" s="6">
        <v>1303</v>
      </c>
      <c r="E28" s="6" t="s">
        <v>176</v>
      </c>
      <c r="F28" s="6" t="s">
        <v>176</v>
      </c>
      <c r="G28" s="6" t="s">
        <v>177</v>
      </c>
      <c r="H28" s="6" t="s">
        <v>178</v>
      </c>
      <c r="I28" s="4" t="s">
        <v>1043</v>
      </c>
      <c r="J28" s="7">
        <f ca="1">IFERROR(__xludf.dummyfunction("index(split(I28,char(9)),1,1)"),13)</f>
        <v>13</v>
      </c>
      <c r="K28" s="7">
        <f ca="1">IFERROR(__xludf.dummyfunction("ifna(index(filter('Посещаемость_баллы'!$A:$L,'Посещаемость_баллы'!$B:$B=$B28,'Посещаемость_баллы'!$C:$C=$C28,'Посещаемость_баллы'!$D:$D=$D28),1,12)*10,0)"),8)</f>
        <v>8</v>
      </c>
      <c r="L28" s="7">
        <f>ROUNDDOWN(IFERROR(VALUE(VLOOKUP(H28,'Онлайн-курс1'!B:F,5,FALSE())),IFERROR(VALUE(VLOOKUP(H28,'Онлайн-курс1'!C:F,4,FALSE())),0))/40*20,0)
+ IFERROR(VALUE(SUBSTITUTE(VLOOKUP(H28,'Онлайн-курс2'!B:I,7,FALSE()),".",",")),IFERROR(VALUE(SUBSTITUTE(VLOOKUP(H28,'Онлайн-курс2'!C:I,6,FALSE()),".",",")),0))*2</f>
        <v>20</v>
      </c>
      <c r="M28" s="8" t="s">
        <v>177</v>
      </c>
      <c r="N28" s="9">
        <v>1</v>
      </c>
      <c r="O28" s="4" t="s">
        <v>179</v>
      </c>
      <c r="P28" s="4">
        <v>0</v>
      </c>
      <c r="Q28" s="10" t="str">
        <f ca="1">IFERROR(__xludf.dummyfunction("iferror(index(QUERY(commits!A$2:$K1001, ""select Count(C) where lower(D) = lower('""&amp;G28&amp;""')""),2,1),""-"")"),"-")</f>
        <v>-</v>
      </c>
      <c r="R28" s="4" t="s">
        <v>54</v>
      </c>
      <c r="S28" s="4" t="s">
        <v>47</v>
      </c>
      <c r="T28" s="4">
        <f ca="1">VLOOKUP(A28,Расчёт_оценок!A:C,3,FALSE())</f>
        <v>3</v>
      </c>
      <c r="U28" s="4">
        <f ca="1">IFERROR(VLOOKUP(J28,Проекты!A:P,16,FALSE()),0)</f>
        <v>4</v>
      </c>
      <c r="V28" s="4" t="s">
        <v>131</v>
      </c>
      <c r="W28" s="4">
        <v>4</v>
      </c>
      <c r="X28" s="4">
        <v>4</v>
      </c>
      <c r="Y28" s="4">
        <v>1.5</v>
      </c>
      <c r="Z28" s="4">
        <v>1</v>
      </c>
      <c r="AA28" s="4">
        <v>1</v>
      </c>
      <c r="AB28" s="4">
        <v>1</v>
      </c>
      <c r="AC28" s="4">
        <f t="shared" si="0"/>
        <v>3.5</v>
      </c>
      <c r="AD28" s="4">
        <v>4</v>
      </c>
      <c r="AE28" s="4">
        <v>5</v>
      </c>
      <c r="AF28" s="4">
        <v>5</v>
      </c>
      <c r="AG28" s="4">
        <v>3</v>
      </c>
      <c r="AH28" s="4">
        <f ca="1">IFERROR(__xludf.dummyfunction("if(isna(filter(prs!C:U,prs!I:I=G28,prs!G:G&gt;DATE(2024,3,28),prs!G:G&lt;DATE(2024,4,26))),0,countunique(index(filter(prs!C:U,prs!I:I=G28,prs!G:G&gt;DATE(2024,3,28),prs!G:G&lt;DATE(2024,4,26)),,1)))"),2)</f>
        <v>2</v>
      </c>
      <c r="AI28" s="4">
        <f ca="1">IFERROR(__xludf.dummyfunction("if(isna(filter(prs!C:U,prs!I:I=G28,prs!R:R&lt;&gt;""Empty field"",prs!G:G&gt;DATE(2024,3,28),prs!G:G&lt;DATE(2024,4,26))),0,countunique(index(filter(prs!C:U,prs!I:I=G28,prs!R:R&lt;&gt;""Empty field"",prs!G:G&gt;DATE(2024,3,28),prs!G:G&lt;DATE(2024,4,26)),,1)))"),2)</f>
        <v>2</v>
      </c>
      <c r="AJ28" s="4">
        <f t="shared" ca="1" si="1"/>
        <v>3</v>
      </c>
      <c r="AK28" s="4">
        <f t="shared" ca="1" si="2"/>
        <v>6</v>
      </c>
      <c r="AL28" s="4">
        <f ca="1">IFERROR(__xludf.dummyfunction("filter('Проекты'!AT:AT,'Проекты'!A:A=J28)"),3.5)</f>
        <v>3.5</v>
      </c>
      <c r="AM28" s="4">
        <f ca="1">IFERROR(__xludf.dummyfunction("ifna(filter(commits_results!H:I,commits_results!B:B=A28,commits_results!A:A=J28),)"),8)</f>
        <v>8</v>
      </c>
      <c r="AN28" s="4">
        <f ca="1">IFERROR(__xludf.dummyfunction("""COMPUTED_VALUE"""),15)</f>
        <v>15</v>
      </c>
      <c r="AO28" s="4">
        <f t="shared" ca="1" si="3"/>
        <v>3</v>
      </c>
      <c r="AP28" s="4">
        <f ca="1">IFERROR(__xludf.dummyfunction("if(isna(filter(prs!C:U,prs!I:I=G28,prs!G:G&gt;DATE(2024,4,25),prs!G:G&lt;DATE(2024,5,23))),0,countunique(index(filter(prs!C:U,prs!I:I=G28,prs!G:G&gt;DATE(2024,4,25),prs!G:G&lt;DATE(2024,5,23)),,1)))"),0)</f>
        <v>0</v>
      </c>
      <c r="AQ28" s="4">
        <f ca="1">IFERROR(__xludf.dummyfunction("if(isna(filter(prs!C:U,prs!I:I=G28,prs!R:R&lt;&gt;""Empty field"",prs!G:G&gt;DATE(2024,4,25),prs!G:G&lt;DATE(2024,5,23))),0,countunique(index(filter(prs!C:U,prs!I:I=G28,prs!R:R&lt;&gt;""Empty field"",prs!G:G&gt;DATE(2024,4,25),prs!G:G&lt;DATE(2024,5,23)),,1)))"),0)</f>
        <v>0</v>
      </c>
      <c r="AR28" s="4">
        <f t="shared" ca="1" si="4"/>
        <v>0</v>
      </c>
      <c r="AS28" s="4">
        <f t="shared" ca="1" si="5"/>
        <v>3</v>
      </c>
      <c r="AT28" s="4">
        <f ca="1">IFERROR(__xludf.dummyfunction("filter('Проекты'!BB:BB,'Проекты'!A:A=J28)"),3.2)</f>
        <v>3.2</v>
      </c>
      <c r="AU28" s="4">
        <f ca="1">IFERROR(__xludf.dummyfunction("filter('Проекты'!BE:BE,'Проекты'!A:A=J28)"),0)</f>
        <v>0</v>
      </c>
      <c r="AV28" s="11">
        <f t="shared" ca="1" si="6"/>
        <v>59</v>
      </c>
      <c r="AW28" s="4" t="str">
        <f t="shared" ca="1" si="7"/>
        <v>Неудовлетворительно</v>
      </c>
    </row>
    <row r="29" spans="1:51" ht="15.75" customHeight="1">
      <c r="A29" s="6" t="s">
        <v>180</v>
      </c>
      <c r="B29" s="6" t="s">
        <v>180</v>
      </c>
      <c r="C29" s="6"/>
      <c r="D29" s="6">
        <v>1304</v>
      </c>
      <c r="E29" s="6" t="s">
        <v>181</v>
      </c>
      <c r="F29" s="6" t="s">
        <v>181</v>
      </c>
      <c r="G29" s="6" t="s">
        <v>182</v>
      </c>
      <c r="H29" s="6" t="s">
        <v>183</v>
      </c>
      <c r="I29" s="4" t="s">
        <v>1044</v>
      </c>
      <c r="J29" s="7">
        <f ca="1">IFERROR(__xludf.dummyfunction("index(split(I29,char(9)),1,1)"),3)</f>
        <v>3</v>
      </c>
      <c r="K29" s="7">
        <f ca="1">IFERROR(__xludf.dummyfunction("ifna(index(filter('Посещаемость_баллы'!$A:$L,'Посещаемость_баллы'!$B:$B=$B29,'Посещаемость_баллы'!$C:$C=$C29,'Посещаемость_баллы'!$D:$D=$D29),1,12)*10,0)"),8)</f>
        <v>8</v>
      </c>
      <c r="L29" s="7">
        <f>ROUNDDOWN(IFERROR(VALUE(VLOOKUP(H29,'Онлайн-курс1'!B:F,5,FALSE())),IFERROR(VALUE(VLOOKUP(H29,'Онлайн-курс1'!C:F,4,FALSE())),0))/40*20,0)
+ IFERROR(VALUE(SUBSTITUTE(VLOOKUP(H29,'Онлайн-курс2'!B:I,7,FALSE()),".",",")),IFERROR(VALUE(SUBSTITUTE(VLOOKUP(H29,'Онлайн-курс2'!C:I,6,FALSE()),".",",")),0))*2</f>
        <v>20</v>
      </c>
      <c r="M29" s="8" t="s">
        <v>182</v>
      </c>
      <c r="N29" s="9">
        <v>1</v>
      </c>
      <c r="O29" s="4" t="s">
        <v>184</v>
      </c>
      <c r="P29" s="4">
        <v>0</v>
      </c>
      <c r="Q29" s="10" t="str">
        <f ca="1">IFERROR(__xludf.dummyfunction("iferror(index(QUERY(commits!A$2:$K1001, ""select Count(C) where lower(D) = lower('""&amp;G29&amp;""')""),2,1),""-"")"),"-")</f>
        <v>-</v>
      </c>
      <c r="R29" s="4" t="s">
        <v>46</v>
      </c>
      <c r="S29" s="4" t="s">
        <v>47</v>
      </c>
      <c r="T29" s="4">
        <f ca="1">VLOOKUP(A29,Расчёт_оценок!A:C,3,FALSE())</f>
        <v>6</v>
      </c>
      <c r="U29" s="4">
        <f ca="1">IFERROR(VLOOKUP(J29,Проекты!A:P,16,FALSE()),0)</f>
        <v>4</v>
      </c>
      <c r="V29" s="4" t="s">
        <v>185</v>
      </c>
      <c r="W29" s="4">
        <v>9</v>
      </c>
      <c r="X29" s="4">
        <v>9</v>
      </c>
      <c r="Y29" s="4">
        <v>3</v>
      </c>
      <c r="Z29" s="4">
        <v>5</v>
      </c>
      <c r="AA29" s="4">
        <v>5</v>
      </c>
      <c r="AB29" s="4">
        <v>2</v>
      </c>
      <c r="AC29" s="4">
        <f t="shared" si="0"/>
        <v>6</v>
      </c>
      <c r="AD29" s="4">
        <v>4</v>
      </c>
      <c r="AE29" s="4">
        <v>9</v>
      </c>
      <c r="AF29" s="4">
        <v>13</v>
      </c>
      <c r="AG29" s="4">
        <v>3</v>
      </c>
      <c r="AH29" s="4">
        <f ca="1">IFERROR(__xludf.dummyfunction("if(isna(filter(prs!C:U,prs!I:I=G29,prs!G:G&gt;DATE(2024,3,28),prs!G:G&lt;DATE(2024,4,26))),0,countunique(index(filter(prs!C:U,prs!I:I=G29,prs!G:G&gt;DATE(2024,3,28),prs!G:G&lt;DATE(2024,4,26)),,1)))"),16)</f>
        <v>16</v>
      </c>
      <c r="AI29" s="4">
        <f ca="1">IFERROR(__xludf.dummyfunction("if(isna(filter(prs!C:U,prs!I:I=G29,prs!R:R&lt;&gt;""Empty field"",prs!G:G&gt;DATE(2024,3,28),prs!G:G&lt;DATE(2024,4,26))),0,countunique(index(filter(prs!C:U,prs!I:I=G29,prs!R:R&lt;&gt;""Empty field"",prs!G:G&gt;DATE(2024,3,28),prs!G:G&lt;DATE(2024,4,26)),,1)))"),14)</f>
        <v>14</v>
      </c>
      <c r="AJ29" s="4">
        <f t="shared" ca="1" si="1"/>
        <v>3</v>
      </c>
      <c r="AK29" s="4">
        <f t="shared" ca="1" si="2"/>
        <v>6</v>
      </c>
      <c r="AL29" s="4">
        <f ca="1">IFERROR(__xludf.dummyfunction("filter('Проекты'!AT:AT,'Проекты'!A:A=J29)"),4)</f>
        <v>4</v>
      </c>
      <c r="AM29" s="4">
        <f ca="1">IFERROR(__xludf.dummyfunction("ifna(filter(commits_results!H:I,commits_results!B:B=A29,commits_results!A:A=J29),)"),15)</f>
        <v>15</v>
      </c>
      <c r="AN29" s="4">
        <f ca="1">IFERROR(__xludf.dummyfunction("""COMPUTED_VALUE"""),15)</f>
        <v>15</v>
      </c>
      <c r="AO29" s="4">
        <f t="shared" ca="1" si="3"/>
        <v>3</v>
      </c>
      <c r="AP29" s="4">
        <f ca="1">IFERROR(__xludf.dummyfunction("if(isna(filter(prs!C:U,prs!I:I=G29,prs!G:G&gt;DATE(2024,4,25),prs!G:G&lt;DATE(2024,5,23))),0,countunique(index(filter(prs!C:U,prs!I:I=G29,prs!G:G&gt;DATE(2024,4,25),prs!G:G&lt;DATE(2024,5,23)),,1)))"),5)</f>
        <v>5</v>
      </c>
      <c r="AQ29" s="4">
        <f ca="1">IFERROR(__xludf.dummyfunction("if(isna(filter(prs!C:U,prs!I:I=G29,prs!R:R&lt;&gt;""Empty field"",prs!G:G&gt;DATE(2024,4,25),prs!G:G&lt;DATE(2024,5,23))),0,countunique(index(filter(prs!C:U,prs!I:I=G29,prs!R:R&lt;&gt;""Empty field"",prs!G:G&gt;DATE(2024,4,25),prs!G:G&lt;DATE(2024,5,23)),,1)))"),5)</f>
        <v>5</v>
      </c>
      <c r="AR29" s="4">
        <f t="shared" ca="1" si="4"/>
        <v>3</v>
      </c>
      <c r="AS29" s="4">
        <f t="shared" ca="1" si="5"/>
        <v>6</v>
      </c>
      <c r="AT29" s="4">
        <f ca="1">IFERROR(__xludf.dummyfunction("filter('Проекты'!BB:BB,'Проекты'!A:A=J29)"),4)</f>
        <v>4</v>
      </c>
      <c r="AU29" s="4">
        <f ca="1">IFERROR(__xludf.dummyfunction("filter('Проекты'!BE:BE,'Проекты'!A:A=J29)"),10)</f>
        <v>10</v>
      </c>
      <c r="AV29" s="11">
        <f t="shared" ca="1" si="6"/>
        <v>78</v>
      </c>
      <c r="AW29" s="4" t="str">
        <f t="shared" ca="1" si="7"/>
        <v>Хорошо</v>
      </c>
    </row>
    <row r="30" spans="1:51" ht="15.75" customHeight="1">
      <c r="A30" s="6" t="s">
        <v>186</v>
      </c>
      <c r="B30" s="6" t="s">
        <v>186</v>
      </c>
      <c r="C30" s="6"/>
      <c r="D30" s="6">
        <v>1304</v>
      </c>
      <c r="E30" s="6" t="s">
        <v>187</v>
      </c>
      <c r="F30" s="6" t="s">
        <v>187</v>
      </c>
      <c r="G30" s="6" t="s">
        <v>188</v>
      </c>
      <c r="H30" s="6" t="s">
        <v>189</v>
      </c>
      <c r="I30" s="4" t="s">
        <v>1045</v>
      </c>
      <c r="J30" s="7">
        <f ca="1">IFERROR(__xludf.dummyfunction("index(split(I30,char(9)),1,1)"),9)</f>
        <v>9</v>
      </c>
      <c r="K30" s="7">
        <f ca="1">IFERROR(__xludf.dummyfunction("ifna(index(filter('Посещаемость_баллы'!$A:$L,'Посещаемость_баллы'!$B:$B=$B30,'Посещаемость_баллы'!$C:$C=$C30,'Посещаемость_баллы'!$D:$D=$D30),1,12)*10,0)"),2)</f>
        <v>2</v>
      </c>
      <c r="L30" s="7">
        <f>ROUNDDOWN(IFERROR(VALUE(VLOOKUP(H30,'Онлайн-курс1'!B:F,5,FALSE())),IFERROR(VALUE(VLOOKUP(H30,'Онлайн-курс1'!C:F,4,FALSE())),0))/40*20,0)
+ IFERROR(VALUE(SUBSTITUTE(VLOOKUP(H30,'Онлайн-курс2'!B:I,7,FALSE()),".",",")),IFERROR(VALUE(SUBSTITUTE(VLOOKUP(H30,'Онлайн-курс2'!C:I,6,FALSE()),".",",")),0))*2</f>
        <v>20</v>
      </c>
      <c r="M30" s="8" t="s">
        <v>188</v>
      </c>
      <c r="N30" s="9">
        <v>1</v>
      </c>
      <c r="O30" s="4" t="s">
        <v>190</v>
      </c>
      <c r="P30" s="4">
        <v>0</v>
      </c>
      <c r="Q30" s="10" t="str">
        <f ca="1">IFERROR(__xludf.dummyfunction("iferror(index(QUERY(commits!A$2:$K1001, ""select Count(C) where lower(D) = lower('""&amp;G30&amp;""')""),2,1),""-"")"),"-")</f>
        <v>-</v>
      </c>
      <c r="R30" s="4" t="s">
        <v>131</v>
      </c>
      <c r="S30" s="4">
        <v>1</v>
      </c>
      <c r="T30" s="4">
        <f ca="1">VLOOKUP(A30,Расчёт_оценок!A:C,3,FALSE())</f>
        <v>6</v>
      </c>
      <c r="U30" s="4">
        <f ca="1">IFERROR(VLOOKUP(J30,Проекты!A:P,16,FALSE()),0)</f>
        <v>4</v>
      </c>
      <c r="V30" s="4" t="s">
        <v>71</v>
      </c>
      <c r="W30" s="4">
        <v>0</v>
      </c>
      <c r="X30" s="4">
        <v>7</v>
      </c>
      <c r="Y30" s="4">
        <v>0</v>
      </c>
      <c r="Z30" s="4">
        <v>6</v>
      </c>
      <c r="AA30" s="4">
        <v>6</v>
      </c>
      <c r="AB30" s="4">
        <v>2</v>
      </c>
      <c r="AC30" s="4">
        <f t="shared" si="0"/>
        <v>3</v>
      </c>
      <c r="AD30" s="4">
        <v>2.2999999999999998</v>
      </c>
      <c r="AE30" s="4">
        <v>6</v>
      </c>
      <c r="AF30" s="4">
        <v>6</v>
      </c>
      <c r="AG30" s="4">
        <v>3</v>
      </c>
      <c r="AH30" s="4">
        <f ca="1">IFERROR(__xludf.dummyfunction("if(isna(filter(prs!C:U,prs!I:I=G30,prs!G:G&gt;DATE(2024,3,28),prs!G:G&lt;DATE(2024,4,26))),0,countunique(index(filter(prs!C:U,prs!I:I=G30,prs!G:G&gt;DATE(2024,3,28),prs!G:G&lt;DATE(2024,4,26)),,1)))"),6)</f>
        <v>6</v>
      </c>
      <c r="AI30" s="4">
        <f ca="1">IFERROR(__xludf.dummyfunction("if(isna(filter(prs!C:U,prs!I:I=G30,prs!R:R&lt;&gt;""Empty field"",prs!G:G&gt;DATE(2024,3,28),prs!G:G&lt;DATE(2024,4,26))),0,countunique(index(filter(prs!C:U,prs!I:I=G30,prs!R:R&lt;&gt;""Empty field"",prs!G:G&gt;DATE(2024,3,28),prs!G:G&lt;DATE(2024,4,26)),,1)))"),6)</f>
        <v>6</v>
      </c>
      <c r="AJ30" s="4">
        <f t="shared" ca="1" si="1"/>
        <v>3</v>
      </c>
      <c r="AK30" s="4">
        <f t="shared" ca="1" si="2"/>
        <v>6</v>
      </c>
      <c r="AL30" s="4">
        <f ca="1">IFERROR(__xludf.dummyfunction("filter('Проекты'!AT:AT,'Проекты'!A:A=J30)"),3.9)</f>
        <v>3.9</v>
      </c>
      <c r="AM30" s="4">
        <f ca="1">IFERROR(__xludf.dummyfunction("ifna(filter(commits_results!H:I,commits_results!B:B=A30,commits_results!A:A=J30),)"),10)</f>
        <v>10</v>
      </c>
      <c r="AN30" s="4">
        <f ca="1">IFERROR(__xludf.dummyfunction("""COMPUTED_VALUE"""),10)</f>
        <v>10</v>
      </c>
      <c r="AO30" s="4">
        <f t="shared" ca="1" si="3"/>
        <v>3</v>
      </c>
      <c r="AP30" s="4">
        <f ca="1">IFERROR(__xludf.dummyfunction("if(isna(filter(prs!C:U,prs!I:I=G30,prs!G:G&gt;DATE(2024,4,25),prs!G:G&lt;DATE(2024,5,23))),0,countunique(index(filter(prs!C:U,prs!I:I=G30,prs!G:G&gt;DATE(2024,4,25),prs!G:G&lt;DATE(2024,5,23)),,1)))"),7)</f>
        <v>7</v>
      </c>
      <c r="AQ30" s="4">
        <f ca="1">IFERROR(__xludf.dummyfunction("if(isna(filter(prs!C:U,prs!I:I=G30,prs!R:R&lt;&gt;""Empty field"",prs!G:G&gt;DATE(2024,4,25),prs!G:G&lt;DATE(2024,5,23))),0,countunique(index(filter(prs!C:U,prs!I:I=G30,prs!R:R&lt;&gt;""Empty field"",prs!G:G&gt;DATE(2024,4,25),prs!G:G&lt;DATE(2024,5,23)),,1)))"),7)</f>
        <v>7</v>
      </c>
      <c r="AR30" s="4">
        <f t="shared" ca="1" si="4"/>
        <v>3</v>
      </c>
      <c r="AS30" s="4">
        <f t="shared" ca="1" si="5"/>
        <v>6</v>
      </c>
      <c r="AT30" s="4">
        <f ca="1">IFERROR(__xludf.dummyfunction("filter('Проекты'!BB:BB,'Проекты'!A:A=J30)"),4)</f>
        <v>4</v>
      </c>
      <c r="AU30" s="4">
        <f ca="1">IFERROR(__xludf.dummyfunction("filter('Проекты'!BE:BE,'Проекты'!A:A=J30)"),0)</f>
        <v>0</v>
      </c>
      <c r="AV30" s="11">
        <f t="shared" ca="1" si="6"/>
        <v>58</v>
      </c>
      <c r="AW30" s="4" t="str">
        <f t="shared" ca="1" si="7"/>
        <v>Неудовлетворительно</v>
      </c>
    </row>
    <row r="31" spans="1:51" ht="15.75" customHeight="1">
      <c r="A31" s="6" t="s">
        <v>191</v>
      </c>
      <c r="B31" s="6" t="s">
        <v>191</v>
      </c>
      <c r="C31" s="6"/>
      <c r="D31" s="6">
        <v>1304</v>
      </c>
      <c r="E31" s="6" t="s">
        <v>192</v>
      </c>
      <c r="F31" s="6" t="s">
        <v>192</v>
      </c>
      <c r="G31" s="6" t="s">
        <v>193</v>
      </c>
      <c r="H31" s="6" t="s">
        <v>194</v>
      </c>
      <c r="I31" s="4" t="s">
        <v>1046</v>
      </c>
      <c r="J31" s="7">
        <f ca="1">IFERROR(__xludf.dummyfunction("index(split(I31,char(9)),1,1)"),5)</f>
        <v>5</v>
      </c>
      <c r="K31" s="7">
        <f ca="1">IFERROR(__xludf.dummyfunction("ifna(index(filter('Посещаемость_баллы'!$A:$L,'Посещаемость_баллы'!$B:$B=$B31,'Посещаемость_баллы'!$C:$C=$C31,'Посещаемость_баллы'!$D:$D=$D31),1,12)*10,0)"),10)</f>
        <v>10</v>
      </c>
      <c r="L31" s="7">
        <f>ROUNDDOWN(IFERROR(VALUE(VLOOKUP(H31,'Онлайн-курс1'!B:F,5,FALSE())),IFERROR(VALUE(VLOOKUP(H31,'Онлайн-курс1'!C:F,4,FALSE())),0))/40*20,0)
+ IFERROR(VALUE(SUBSTITUTE(VLOOKUP(H31,'Онлайн-курс2'!B:I,7,FALSE()),".",",")),IFERROR(VALUE(SUBSTITUTE(VLOOKUP(H31,'Онлайн-курс2'!C:I,6,FALSE()),".",",")),0))*2</f>
        <v>20</v>
      </c>
      <c r="M31" s="14" t="s">
        <v>193</v>
      </c>
      <c r="N31" s="9">
        <v>1</v>
      </c>
      <c r="O31" s="4" t="s">
        <v>195</v>
      </c>
      <c r="P31" s="4">
        <v>0</v>
      </c>
      <c r="Q31" s="10" t="str">
        <f ca="1">IFERROR(__xludf.dummyfunction("iferror(index(QUERY(commits!A$2:$K1001, ""select Count(C) where lower(D) = lower('""&amp;G31&amp;""')""),2,1),""-"")"),"-")</f>
        <v>-</v>
      </c>
      <c r="R31" s="4" t="s">
        <v>54</v>
      </c>
      <c r="S31" s="4" t="s">
        <v>47</v>
      </c>
      <c r="T31" s="4">
        <f ca="1">VLOOKUP(A31,Расчёт_оценок!A:C,3,FALSE())</f>
        <v>6</v>
      </c>
      <c r="U31" s="4">
        <f ca="1">IFERROR(VLOOKUP(J31,Проекты!A:P,16,FALSE()),0)</f>
        <v>4</v>
      </c>
      <c r="V31" s="4" t="s">
        <v>39</v>
      </c>
      <c r="W31" s="4">
        <v>13</v>
      </c>
      <c r="X31" s="4">
        <v>15</v>
      </c>
      <c r="Y31" s="4">
        <v>3</v>
      </c>
      <c r="Z31" s="4">
        <v>4</v>
      </c>
      <c r="AA31" s="4">
        <v>3</v>
      </c>
      <c r="AB31" s="4">
        <v>1.5</v>
      </c>
      <c r="AC31" s="4">
        <f t="shared" si="0"/>
        <v>5.5</v>
      </c>
      <c r="AD31" s="4">
        <v>2.8</v>
      </c>
      <c r="AE31" s="4">
        <v>14</v>
      </c>
      <c r="AF31" s="4">
        <v>18</v>
      </c>
      <c r="AG31" s="4">
        <v>3</v>
      </c>
      <c r="AH31" s="4">
        <f ca="1">IFERROR(__xludf.dummyfunction("if(isna(filter(prs!C:U,prs!I:I=G31,prs!G:G&gt;DATE(2024,3,28),prs!G:G&lt;DATE(2024,4,26))),0,countunique(index(filter(prs!C:U,prs!I:I=G31,prs!G:G&gt;DATE(2024,3,28),prs!G:G&lt;DATE(2024,4,26)),,1)))"),22)</f>
        <v>22</v>
      </c>
      <c r="AI31" s="4">
        <f ca="1">IFERROR(__xludf.dummyfunction("if(isna(filter(prs!C:U,prs!I:I=G31,prs!R:R&lt;&gt;""Empty field"",prs!G:G&gt;DATE(2024,3,28),prs!G:G&lt;DATE(2024,4,26))),0,countunique(index(filter(prs!C:U,prs!I:I=G31,prs!R:R&lt;&gt;""Empty field"",prs!G:G&gt;DATE(2024,3,28),prs!G:G&lt;DATE(2024,4,26)),,1)))"),20)</f>
        <v>20</v>
      </c>
      <c r="AJ31" s="4">
        <f t="shared" ca="1" si="1"/>
        <v>3</v>
      </c>
      <c r="AK31" s="4">
        <f t="shared" ca="1" si="2"/>
        <v>6</v>
      </c>
      <c r="AL31" s="4">
        <f ca="1">IFERROR(__xludf.dummyfunction("filter('Проекты'!AT:AT,'Проекты'!A:A=J31)"),3.5)</f>
        <v>3.5</v>
      </c>
      <c r="AM31" s="4">
        <f ca="1">IFERROR(__xludf.dummyfunction("ifna(filter(commits_results!H:I,commits_results!B:B=A31,commits_results!A:A=J31),)"),1)</f>
        <v>1</v>
      </c>
      <c r="AN31" s="4">
        <f ca="1">IFERROR(__xludf.dummyfunction("""COMPUTED_VALUE"""),7)</f>
        <v>7</v>
      </c>
      <c r="AO31" s="4">
        <f t="shared" ca="1" si="3"/>
        <v>3</v>
      </c>
      <c r="AP31" s="4">
        <f ca="1">IFERROR(__xludf.dummyfunction("if(isna(filter(prs!C:U,prs!I:I=G31,prs!G:G&gt;DATE(2024,4,25),prs!G:G&lt;DATE(2024,5,23))),0,countunique(index(filter(prs!C:U,prs!I:I=G31,prs!G:G&gt;DATE(2024,4,25),prs!G:G&lt;DATE(2024,5,23)),,1)))"),5)</f>
        <v>5</v>
      </c>
      <c r="AQ31" s="4">
        <f ca="1">IFERROR(__xludf.dummyfunction("if(isna(filter(prs!C:U,prs!I:I=G31,prs!R:R&lt;&gt;""Empty field"",prs!G:G&gt;DATE(2024,4,25),prs!G:G&lt;DATE(2024,5,23))),0,countunique(index(filter(prs!C:U,prs!I:I=G31,prs!R:R&lt;&gt;""Empty field"",prs!G:G&gt;DATE(2024,4,25),prs!G:G&lt;DATE(2024,5,23)),,1)))"),3)</f>
        <v>3</v>
      </c>
      <c r="AR31" s="4">
        <f t="shared" ca="1" si="4"/>
        <v>3</v>
      </c>
      <c r="AS31" s="4">
        <f t="shared" ca="1" si="5"/>
        <v>6</v>
      </c>
      <c r="AT31" s="4">
        <f ca="1">IFERROR(__xludf.dummyfunction("filter('Проекты'!BB:BB,'Проекты'!A:A=J31)"),2.7)</f>
        <v>2.7</v>
      </c>
      <c r="AU31" s="4">
        <f ca="1">IFERROR(__xludf.dummyfunction("filter('Проекты'!BE:BE,'Проекты'!A:A=J31)"),0)</f>
        <v>0</v>
      </c>
      <c r="AV31" s="11">
        <f t="shared" ca="1" si="6"/>
        <v>67</v>
      </c>
      <c r="AW31" s="4" t="str">
        <f t="shared" ca="1" si="7"/>
        <v>Удовлетворительно</v>
      </c>
    </row>
    <row r="32" spans="1:51" ht="15.75" customHeight="1">
      <c r="A32" s="6" t="s">
        <v>196</v>
      </c>
      <c r="B32" s="6" t="s">
        <v>196</v>
      </c>
      <c r="C32" s="6"/>
      <c r="D32" s="6">
        <v>1304</v>
      </c>
      <c r="E32" s="6" t="s">
        <v>197</v>
      </c>
      <c r="F32" s="6" t="s">
        <v>197</v>
      </c>
      <c r="G32" s="6" t="s">
        <v>198</v>
      </c>
      <c r="H32" s="6" t="s">
        <v>199</v>
      </c>
      <c r="I32" s="4" t="s">
        <v>1047</v>
      </c>
      <c r="J32" s="7">
        <f ca="1">IFERROR(__xludf.dummyfunction("index(split(I32,char(9)),1,1)"),11)</f>
        <v>11</v>
      </c>
      <c r="K32" s="7">
        <f ca="1">IFERROR(__xludf.dummyfunction("ifna(index(filter('Посещаемость_баллы'!$A:$L,'Посещаемость_баллы'!$B:$B=$B32,'Посещаемость_баллы'!$C:$C=$C32,'Посещаемость_баллы'!$D:$D=$D32),1,12)*10,0)"),4)</f>
        <v>4</v>
      </c>
      <c r="L32" s="7">
        <f>ROUNDDOWN(IFERROR(VALUE(VLOOKUP(H32,'Онлайн-курс1'!B:F,5,FALSE())),IFERROR(VALUE(VLOOKUP(H32,'Онлайн-курс1'!C:F,4,FALSE())),0))/40*20,0)
+ IFERROR(VALUE(SUBSTITUTE(VLOOKUP(H32,'Онлайн-курс2'!B:I,7,FALSE()),".",",")),IFERROR(VALUE(SUBSTITUTE(VLOOKUP(H32,'Онлайн-курс2'!C:I,6,FALSE()),".",",")),0))*2</f>
        <v>20</v>
      </c>
      <c r="M32" s="8" t="s">
        <v>198</v>
      </c>
      <c r="N32" s="9">
        <v>1</v>
      </c>
      <c r="O32" s="4" t="s">
        <v>200</v>
      </c>
      <c r="P32" s="4">
        <v>0</v>
      </c>
      <c r="Q32" s="10" t="str">
        <f ca="1">IFERROR(__xludf.dummyfunction("iferror(index(QUERY(commits!A$2:$K1001, ""select Count(C) where lower(D) = lower('""&amp;G32&amp;""')""),2,1),""-"")"),"-")</f>
        <v>-</v>
      </c>
      <c r="R32" s="4" t="s">
        <v>54</v>
      </c>
      <c r="S32" s="4" t="s">
        <v>47</v>
      </c>
      <c r="T32" s="4">
        <f ca="1">VLOOKUP(A32,Расчёт_оценок!A:C,3,FALSE())</f>
        <v>6</v>
      </c>
      <c r="U32" s="4">
        <f ca="1">IFERROR(VLOOKUP(J32,Проекты!A:P,16,FALSE()),0)</f>
        <v>3</v>
      </c>
      <c r="V32" s="4" t="s">
        <v>70</v>
      </c>
      <c r="W32" s="4">
        <v>16</v>
      </c>
      <c r="X32" s="4">
        <v>16</v>
      </c>
      <c r="Y32" s="4">
        <v>3</v>
      </c>
      <c r="Z32" s="4">
        <v>4</v>
      </c>
      <c r="AA32" s="4">
        <v>4</v>
      </c>
      <c r="AB32" s="4">
        <v>2</v>
      </c>
      <c r="AC32" s="4">
        <f t="shared" si="0"/>
        <v>6</v>
      </c>
      <c r="AD32" s="4">
        <v>2.9</v>
      </c>
      <c r="AE32" s="4">
        <v>5</v>
      </c>
      <c r="AF32" s="4">
        <v>5</v>
      </c>
      <c r="AG32" s="4">
        <v>3</v>
      </c>
      <c r="AH32" s="4">
        <f ca="1">IFERROR(__xludf.dummyfunction("if(isna(filter(prs!C:U,prs!I:I=G32,prs!G:G&gt;DATE(2024,3,28),prs!G:G&lt;DATE(2024,4,26))),0,countunique(index(filter(prs!C:U,prs!I:I=G32,prs!G:G&gt;DATE(2024,3,28),prs!G:G&lt;DATE(2024,4,26)),,1)))"),4)</f>
        <v>4</v>
      </c>
      <c r="AI32" s="4">
        <f ca="1">IFERROR(__xludf.dummyfunction("if(isna(filter(prs!C:U,prs!I:I=G32,prs!R:R&lt;&gt;""Empty field"",prs!G:G&gt;DATE(2024,3,28),prs!G:G&lt;DATE(2024,4,26))),0,countunique(index(filter(prs!C:U,prs!I:I=G32,prs!R:R&lt;&gt;""Empty field"",prs!G:G&gt;DATE(2024,3,28),prs!G:G&lt;DATE(2024,4,26)),,1)))"),4)</f>
        <v>4</v>
      </c>
      <c r="AJ32" s="4">
        <f t="shared" ca="1" si="1"/>
        <v>3</v>
      </c>
      <c r="AK32" s="4">
        <f t="shared" ca="1" si="2"/>
        <v>6</v>
      </c>
      <c r="AL32" s="4">
        <f ca="1">IFERROR(__xludf.dummyfunction("filter('Проекты'!AT:AT,'Проекты'!A:A=J32)"),4)</f>
        <v>4</v>
      </c>
      <c r="AM32" s="4">
        <f ca="1">IFERROR(__xludf.dummyfunction("ifna(filter(commits_results!H:I,commits_results!B:B=A32,commits_results!A:A=J32),)"),19)</f>
        <v>19</v>
      </c>
      <c r="AN32" s="4">
        <f ca="1">IFERROR(__xludf.dummyfunction("""COMPUTED_VALUE"""),19)</f>
        <v>19</v>
      </c>
      <c r="AO32" s="4">
        <f t="shared" ca="1" si="3"/>
        <v>3</v>
      </c>
      <c r="AP32" s="4">
        <f ca="1">IFERROR(__xludf.dummyfunction("if(isna(filter(prs!C:U,prs!I:I=G32,prs!G:G&gt;DATE(2024,4,25),prs!G:G&lt;DATE(2024,5,23))),0,countunique(index(filter(prs!C:U,prs!I:I=G32,prs!G:G&gt;DATE(2024,4,25),prs!G:G&lt;DATE(2024,5,23)),,1)))"),2)</f>
        <v>2</v>
      </c>
      <c r="AQ32" s="4">
        <f ca="1">IFERROR(__xludf.dummyfunction("if(isna(filter(prs!C:U,prs!I:I=G32,prs!R:R&lt;&gt;""Empty field"",prs!G:G&gt;DATE(2024,4,25),prs!G:G&lt;DATE(2024,5,23))),0,countunique(index(filter(prs!C:U,prs!I:I=G32,prs!R:R&lt;&gt;""Empty field"",prs!G:G&gt;DATE(2024,4,25),prs!G:G&lt;DATE(2024,5,23)),,1)))"),2)</f>
        <v>2</v>
      </c>
      <c r="AR32" s="4">
        <f t="shared" ca="1" si="4"/>
        <v>3</v>
      </c>
      <c r="AS32" s="4">
        <f t="shared" ca="1" si="5"/>
        <v>6</v>
      </c>
      <c r="AT32" s="4">
        <f ca="1">IFERROR(__xludf.dummyfunction("filter('Проекты'!BB:BB,'Проекты'!A:A=J32)"),3.7)</f>
        <v>3.7</v>
      </c>
      <c r="AU32" s="4">
        <f ca="1">IFERROR(__xludf.dummyfunction("filter('Проекты'!BE:BE,'Проекты'!A:A=J32)"),0)</f>
        <v>0</v>
      </c>
      <c r="AV32" s="11">
        <f t="shared" ca="1" si="6"/>
        <v>62</v>
      </c>
      <c r="AW32" s="4" t="str">
        <f t="shared" ca="1" si="7"/>
        <v>Удовлетворительно</v>
      </c>
    </row>
    <row r="33" spans="1:49" ht="15.75" customHeight="1">
      <c r="A33" s="6" t="s">
        <v>201</v>
      </c>
      <c r="B33" s="6" t="s">
        <v>201</v>
      </c>
      <c r="C33" s="6"/>
      <c r="D33" s="6">
        <v>1304</v>
      </c>
      <c r="E33" s="6" t="s">
        <v>202</v>
      </c>
      <c r="F33" s="6" t="s">
        <v>202</v>
      </c>
      <c r="G33" s="6" t="s">
        <v>203</v>
      </c>
      <c r="H33" s="6" t="s">
        <v>204</v>
      </c>
      <c r="I33" s="4" t="s">
        <v>1048</v>
      </c>
      <c r="J33" s="7">
        <f ca="1">IFERROR(__xludf.dummyfunction("index(split(I33,char(9)),1,1)"),9)</f>
        <v>9</v>
      </c>
      <c r="K33" s="7">
        <f ca="1">IFERROR(__xludf.dummyfunction("ifna(index(filter('Посещаемость_баллы'!$A:$L,'Посещаемость_баллы'!$B:$B=$B33,'Посещаемость_баллы'!$C:$C=$C33,'Посещаемость_баллы'!$D:$D=$D33),1,12)*10,0)"),2)</f>
        <v>2</v>
      </c>
      <c r="L33" s="7">
        <f>ROUNDDOWN(IFERROR(VALUE(VLOOKUP(H33,'Онлайн-курс1'!B:F,5,FALSE())),IFERROR(VALUE(VLOOKUP(H33,'Онлайн-курс1'!C:F,4,FALSE())),0))/40*20,0)
+ IFERROR(VALUE(SUBSTITUTE(VLOOKUP(H33,'Онлайн-курс2'!B:I,7,FALSE()),".",",")),IFERROR(VALUE(SUBSTITUTE(VLOOKUP(H33,'Онлайн-курс2'!C:I,6,FALSE()),".",",")),0))*2</f>
        <v>20</v>
      </c>
      <c r="M33" s="8" t="s">
        <v>203</v>
      </c>
      <c r="N33" s="9">
        <v>1</v>
      </c>
      <c r="O33" s="4" t="s">
        <v>205</v>
      </c>
      <c r="P33" s="4">
        <v>0</v>
      </c>
      <c r="Q33" s="10" t="str">
        <f ca="1">IFERROR(__xludf.dummyfunction("iferror(index(QUERY(commits!A$2:$K1001, ""select Count(C) where lower(D) = lower('""&amp;G33&amp;""')""),2,1),""-"")"),"-")</f>
        <v>-</v>
      </c>
      <c r="R33" s="4" t="s">
        <v>40</v>
      </c>
      <c r="S33" s="4">
        <v>1</v>
      </c>
      <c r="T33" s="4">
        <f ca="1">VLOOKUP(A33,Расчёт_оценок!A:C,3,FALSE())</f>
        <v>6</v>
      </c>
      <c r="U33" s="4">
        <f ca="1">IFERROR(VLOOKUP(J33,Проекты!A:P,16,FALSE()),0)</f>
        <v>4</v>
      </c>
      <c r="V33" s="4" t="s">
        <v>40</v>
      </c>
      <c r="W33" s="4">
        <v>0</v>
      </c>
      <c r="X33" s="4">
        <v>13</v>
      </c>
      <c r="Y33" s="4">
        <v>0</v>
      </c>
      <c r="Z33" s="4">
        <v>4</v>
      </c>
      <c r="AA33" s="4">
        <v>4</v>
      </c>
      <c r="AB33" s="4">
        <v>2</v>
      </c>
      <c r="AC33" s="4">
        <f t="shared" si="0"/>
        <v>3</v>
      </c>
      <c r="AD33" s="4">
        <v>2.2999999999999998</v>
      </c>
      <c r="AE33" s="4">
        <v>10</v>
      </c>
      <c r="AF33" s="4">
        <v>10</v>
      </c>
      <c r="AG33" s="4">
        <v>3</v>
      </c>
      <c r="AH33" s="4">
        <f ca="1">IFERROR(__xludf.dummyfunction("if(isna(filter(prs!C:U,prs!I:I=G33,prs!G:G&gt;DATE(2024,3,28),prs!G:G&lt;DATE(2024,4,26))),0,countunique(index(filter(prs!C:U,prs!I:I=G33,prs!G:G&gt;DATE(2024,3,28),prs!G:G&lt;DATE(2024,4,26)),,1)))"),8)</f>
        <v>8</v>
      </c>
      <c r="AI33" s="4">
        <f ca="1">IFERROR(__xludf.dummyfunction("if(isna(filter(prs!C:U,prs!I:I=G33,prs!R:R&lt;&gt;""Empty field"",prs!G:G&gt;DATE(2024,3,28),prs!G:G&lt;DATE(2024,4,26))),0,countunique(index(filter(prs!C:U,prs!I:I=G33,prs!R:R&lt;&gt;""Empty field"",prs!G:G&gt;DATE(2024,3,28),prs!G:G&lt;DATE(2024,4,26)),,1)))"),8)</f>
        <v>8</v>
      </c>
      <c r="AJ33" s="4">
        <f t="shared" ca="1" si="1"/>
        <v>3</v>
      </c>
      <c r="AK33" s="4">
        <f t="shared" ca="1" si="2"/>
        <v>6</v>
      </c>
      <c r="AL33" s="4">
        <f ca="1">IFERROR(__xludf.dummyfunction("filter('Проекты'!AT:AT,'Проекты'!A:A=J33)"),3.9)</f>
        <v>3.9</v>
      </c>
      <c r="AM33" s="4">
        <f ca="1">IFERROR(__xludf.dummyfunction("ifna(filter(commits_results!H:I,commits_results!B:B=A33,commits_results!A:A=J33),)"),9)</f>
        <v>9</v>
      </c>
      <c r="AN33" s="4">
        <f ca="1">IFERROR(__xludf.dummyfunction("""COMPUTED_VALUE"""),9)</f>
        <v>9</v>
      </c>
      <c r="AO33" s="4">
        <f t="shared" ca="1" si="3"/>
        <v>3</v>
      </c>
      <c r="AP33" s="4">
        <f ca="1">IFERROR(__xludf.dummyfunction("if(isna(filter(prs!C:U,prs!I:I=G33,prs!G:G&gt;DATE(2024,4,25),prs!G:G&lt;DATE(2024,5,23))),0,countunique(index(filter(prs!C:U,prs!I:I=G33,prs!G:G&gt;DATE(2024,4,25),prs!G:G&lt;DATE(2024,5,23)),,1)))"),8)</f>
        <v>8</v>
      </c>
      <c r="AQ33" s="4">
        <f ca="1">IFERROR(__xludf.dummyfunction("if(isna(filter(prs!C:U,prs!I:I=G33,prs!R:R&lt;&gt;""Empty field"",prs!G:G&gt;DATE(2024,4,25),prs!G:G&lt;DATE(2024,5,23))),0,countunique(index(filter(prs!C:U,prs!I:I=G33,prs!R:R&lt;&gt;""Empty field"",prs!G:G&gt;DATE(2024,4,25),prs!G:G&lt;DATE(2024,5,23)),,1)))"),8)</f>
        <v>8</v>
      </c>
      <c r="AR33" s="4">
        <f t="shared" ca="1" si="4"/>
        <v>3</v>
      </c>
      <c r="AS33" s="4">
        <f t="shared" ca="1" si="5"/>
        <v>6</v>
      </c>
      <c r="AT33" s="4">
        <f ca="1">IFERROR(__xludf.dummyfunction("filter('Проекты'!BB:BB,'Проекты'!A:A=J33)"),4)</f>
        <v>4</v>
      </c>
      <c r="AU33" s="4">
        <f ca="1">IFERROR(__xludf.dummyfunction("filter('Проекты'!BE:BE,'Проекты'!A:A=J33)"),0)</f>
        <v>0</v>
      </c>
      <c r="AV33" s="11">
        <f t="shared" ca="1" si="6"/>
        <v>58</v>
      </c>
      <c r="AW33" s="4" t="str">
        <f t="shared" ca="1" si="7"/>
        <v>Неудовлетворительно</v>
      </c>
    </row>
    <row r="34" spans="1:49" ht="15.75" customHeight="1">
      <c r="A34" s="6" t="s">
        <v>206</v>
      </c>
      <c r="B34" s="6" t="s">
        <v>206</v>
      </c>
      <c r="C34" s="6"/>
      <c r="D34" s="6">
        <v>1304</v>
      </c>
      <c r="E34" s="6" t="s">
        <v>207</v>
      </c>
      <c r="F34" s="6" t="s">
        <v>207</v>
      </c>
      <c r="G34" s="6" t="s">
        <v>208</v>
      </c>
      <c r="H34" s="6" t="s">
        <v>209</v>
      </c>
      <c r="I34" s="4" t="s">
        <v>1049</v>
      </c>
      <c r="J34" s="7">
        <f ca="1">IFERROR(__xludf.dummyfunction("index(split(I34,char(9)),1,1)"),1)</f>
        <v>1</v>
      </c>
      <c r="K34" s="7">
        <f ca="1">IFERROR(__xludf.dummyfunction("ifna(index(filter('Посещаемость_баллы'!$A:$L,'Посещаемость_баллы'!$B:$B=$B34,'Посещаемость_баллы'!$C:$C=$C34,'Посещаемость_баллы'!$D:$D=$D34),1,12)*10,0)"),10)</f>
        <v>10</v>
      </c>
      <c r="L34" s="7">
        <f>ROUNDDOWN(IFERROR(VALUE(VLOOKUP(H34,'Онлайн-курс1'!B:F,5,FALSE())),IFERROR(VALUE(VLOOKUP(H34,'Онлайн-курс1'!C:F,4,FALSE())),0))/40*20,0)
+ IFERROR(VALUE(SUBSTITUTE(VLOOKUP(H34,'Онлайн-курс2'!B:I,7,FALSE()),".",",")),IFERROR(VALUE(SUBSTITUTE(VLOOKUP(H34,'Онлайн-курс2'!C:I,6,FALSE()),".",",")),0))*2</f>
        <v>0</v>
      </c>
      <c r="M34" s="8" t="s">
        <v>208</v>
      </c>
      <c r="N34" s="9">
        <v>1</v>
      </c>
      <c r="O34" s="4" t="s">
        <v>210</v>
      </c>
      <c r="P34" s="4">
        <v>0</v>
      </c>
      <c r="Q34" s="10" t="str">
        <f ca="1">IFERROR(__xludf.dummyfunction("iferror(index(QUERY(commits!A$2:$K1001, ""select Count(C) where lower(D) = lower('""&amp;G34&amp;""')""),2,1),""-"")"),"-")</f>
        <v>-</v>
      </c>
      <c r="R34" s="4" t="s">
        <v>211</v>
      </c>
      <c r="S34" s="4" t="s">
        <v>47</v>
      </c>
      <c r="T34" s="4">
        <f ca="1">VLOOKUP(A34,Расчёт_оценок!A:C,3,FALSE())</f>
        <v>6</v>
      </c>
      <c r="U34" s="4">
        <f ca="1">IFERROR(VLOOKUP(J34,Проекты!A:P,16,FALSE()),0)</f>
        <v>4</v>
      </c>
      <c r="V34" s="4" t="s">
        <v>103</v>
      </c>
      <c r="W34" s="4">
        <v>0</v>
      </c>
      <c r="X34" s="4">
        <v>0</v>
      </c>
      <c r="Y34" s="4">
        <v>0</v>
      </c>
      <c r="Z34" s="4">
        <v>2</v>
      </c>
      <c r="AA34" s="4">
        <v>1</v>
      </c>
      <c r="AB34" s="4">
        <v>0.5</v>
      </c>
      <c r="AC34" s="4">
        <f t="shared" si="0"/>
        <v>1.5</v>
      </c>
      <c r="AD34" s="4">
        <v>4</v>
      </c>
      <c r="AE34" s="4">
        <v>0</v>
      </c>
      <c r="AF34" s="4">
        <v>5</v>
      </c>
      <c r="AG34" s="4">
        <v>0</v>
      </c>
      <c r="AH34" s="4">
        <f ca="1">IFERROR(__xludf.dummyfunction("if(isna(filter(prs!C:U,prs!I:I=G34,prs!G:G&gt;DATE(2024,3,28),prs!G:G&lt;DATE(2024,4,26))),0,countunique(index(filter(prs!C:U,prs!I:I=G34,prs!G:G&gt;DATE(2024,3,28),prs!G:G&lt;DATE(2024,4,26)),,1)))"),4)</f>
        <v>4</v>
      </c>
      <c r="AI34" s="4">
        <f ca="1">IFERROR(__xludf.dummyfunction("if(isna(filter(prs!C:U,prs!I:I=G34,prs!R:R&lt;&gt;""Empty field"",prs!G:G&gt;DATE(2024,3,28),prs!G:G&lt;DATE(2024,4,26))),0,countunique(index(filter(prs!C:U,prs!I:I=G34,prs!R:R&lt;&gt;""Empty field"",prs!G:G&gt;DATE(2024,3,28),prs!G:G&lt;DATE(2024,4,26)),,1)))"),4)</f>
        <v>4</v>
      </c>
      <c r="AJ34" s="4">
        <f t="shared" ca="1" si="1"/>
        <v>3</v>
      </c>
      <c r="AK34" s="4">
        <f t="shared" ca="1" si="2"/>
        <v>3</v>
      </c>
      <c r="AL34" s="4">
        <f ca="1">IFERROR(__xludf.dummyfunction("filter('Проекты'!AT:AT,'Проекты'!A:A=J34)"),4)</f>
        <v>4</v>
      </c>
      <c r="AM34" s="4">
        <f ca="1">IFERROR(__xludf.dummyfunction("ifna(filter(commits_results!H:I,commits_results!B:B=A34,commits_results!A:A=J34),)"),6)</f>
        <v>6</v>
      </c>
      <c r="AN34" s="4">
        <f ca="1">IFERROR(__xludf.dummyfunction("""COMPUTED_VALUE"""),6)</f>
        <v>6</v>
      </c>
      <c r="AO34" s="4">
        <f t="shared" ca="1" si="3"/>
        <v>3</v>
      </c>
      <c r="AP34" s="4">
        <f ca="1">IFERROR(__xludf.dummyfunction("if(isna(filter(prs!C:U,prs!I:I=G34,prs!G:G&gt;DATE(2024,4,25),prs!G:G&lt;DATE(2024,5,23))),0,countunique(index(filter(prs!C:U,prs!I:I=G34,prs!G:G&gt;DATE(2024,4,25),prs!G:G&lt;DATE(2024,5,23)),,1)))"),1)</f>
        <v>1</v>
      </c>
      <c r="AQ34" s="4">
        <f ca="1">IFERROR(__xludf.dummyfunction("if(isna(filter(prs!C:U,prs!I:I=G34,prs!R:R&lt;&gt;""Empty field"",prs!G:G&gt;DATE(2024,4,25),prs!G:G&lt;DATE(2024,5,23))),0,countunique(index(filter(prs!C:U,prs!I:I=G34,prs!R:R&lt;&gt;""Empty field"",prs!G:G&gt;DATE(2024,4,25),prs!G:G&lt;DATE(2024,5,23)),,1)))"),1)</f>
        <v>1</v>
      </c>
      <c r="AR34" s="4">
        <f t="shared" ca="1" si="4"/>
        <v>3</v>
      </c>
      <c r="AS34" s="4">
        <f t="shared" ca="1" si="5"/>
        <v>6</v>
      </c>
      <c r="AT34" s="4">
        <f ca="1">IFERROR(__xludf.dummyfunction("filter('Проекты'!BB:BB,'Проекты'!A:A=J34)"),2.9)</f>
        <v>2.9</v>
      </c>
      <c r="AU34" s="4">
        <f ca="1">IFERROR(__xludf.dummyfunction("filter('Проекты'!BE:BE,'Проекты'!A:A=J34)"),0)</f>
        <v>0</v>
      </c>
      <c r="AV34" s="11">
        <f t="shared" ca="1" si="6"/>
        <v>42</v>
      </c>
      <c r="AW34" s="4" t="str">
        <f t="shared" ca="1" si="7"/>
        <v>Неудовлетворительно</v>
      </c>
    </row>
    <row r="35" spans="1:49" ht="15.75" customHeight="1">
      <c r="A35" s="6" t="s">
        <v>212</v>
      </c>
      <c r="B35" s="6" t="s">
        <v>212</v>
      </c>
      <c r="C35" s="6"/>
      <c r="D35" s="6">
        <v>1304</v>
      </c>
      <c r="E35" s="6" t="s">
        <v>213</v>
      </c>
      <c r="F35" s="6" t="s">
        <v>213</v>
      </c>
      <c r="G35" s="6" t="s">
        <v>214</v>
      </c>
      <c r="H35" s="6" t="s">
        <v>215</v>
      </c>
      <c r="I35" s="4" t="s">
        <v>1050</v>
      </c>
      <c r="J35" s="7">
        <f ca="1">IFERROR(__xludf.dummyfunction("index(split(I35,char(9)),1,1)"),5)</f>
        <v>5</v>
      </c>
      <c r="K35" s="7">
        <f ca="1">IFERROR(__xludf.dummyfunction("ifna(index(filter('Посещаемость_баллы'!$A:$L,'Посещаемость_баллы'!$B:$B=$B35,'Посещаемость_баллы'!$C:$C=$C35,'Посещаемость_баллы'!$D:$D=$D35),1,12)*10,0)"),10)</f>
        <v>10</v>
      </c>
      <c r="L35" s="7">
        <f>ROUNDDOWN(IFERROR(VALUE(VLOOKUP(H35,'Онлайн-курс1'!B:F,5,FALSE())),IFERROR(VALUE(VLOOKUP(H35,'Онлайн-курс1'!C:F,4,FALSE())),0))/40*20,0)
+ IFERROR(VALUE(SUBSTITUTE(VLOOKUP(H35,'Онлайн-курс2'!B:I,7,FALSE()),".",",")),IFERROR(VALUE(SUBSTITUTE(VLOOKUP(H35,'Онлайн-курс2'!C:I,6,FALSE()),".",",")),0))*2</f>
        <v>20</v>
      </c>
      <c r="M35" s="8" t="s">
        <v>214</v>
      </c>
      <c r="N35" s="9">
        <v>1</v>
      </c>
      <c r="O35" s="4" t="s">
        <v>216</v>
      </c>
      <c r="P35" s="4">
        <v>0</v>
      </c>
      <c r="Q35" s="10" t="str">
        <f ca="1">IFERROR(__xludf.dummyfunction("iferror(index(QUERY(commits!A$2:$K1001, ""select Count(C) where lower(D) = lower('""&amp;G35&amp;""')""),2,1),""-"")"),"-")</f>
        <v>-</v>
      </c>
      <c r="R35" s="4" t="s">
        <v>54</v>
      </c>
      <c r="S35" s="4" t="s">
        <v>47</v>
      </c>
      <c r="T35" s="4">
        <f ca="1">VLOOKUP(A35,Расчёт_оценок!A:C,3,FALSE())</f>
        <v>6</v>
      </c>
      <c r="U35" s="4">
        <f ca="1">IFERROR(VLOOKUP(J35,Проекты!A:P,16,FALSE()),0)</f>
        <v>4</v>
      </c>
      <c r="V35" s="4" t="s">
        <v>103</v>
      </c>
      <c r="W35" s="4">
        <v>6</v>
      </c>
      <c r="X35" s="4">
        <v>12</v>
      </c>
      <c r="Y35" s="4">
        <v>1.5</v>
      </c>
      <c r="Z35" s="4">
        <v>2</v>
      </c>
      <c r="AA35" s="4">
        <v>1</v>
      </c>
      <c r="AB35" s="4">
        <v>0.5</v>
      </c>
      <c r="AC35" s="4">
        <f t="shared" ref="AC35:AC66" si="8">SUM(Y35+AB35+IF(V35&lt;&gt;"issue не создавал, issue не комментил",1,0))</f>
        <v>3</v>
      </c>
      <c r="AD35" s="4">
        <v>2.8</v>
      </c>
      <c r="AE35" s="4">
        <v>10</v>
      </c>
      <c r="AF35" s="4">
        <v>11</v>
      </c>
      <c r="AG35" s="4">
        <v>3</v>
      </c>
      <c r="AH35" s="4">
        <f ca="1">IFERROR(__xludf.dummyfunction("if(isna(filter(prs!C:U,prs!I:I=G35,prs!G:G&gt;DATE(2024,3,28),prs!G:G&lt;DATE(2024,4,26))),0,countunique(index(filter(prs!C:U,prs!I:I=G35,prs!G:G&gt;DATE(2024,3,28),prs!G:G&lt;DATE(2024,4,26)),,1)))"),8)</f>
        <v>8</v>
      </c>
      <c r="AI35" s="4">
        <f ca="1">IFERROR(__xludf.dummyfunction("if(isna(filter(prs!C:U,prs!I:I=G35,prs!R:R&lt;&gt;""Empty field"",prs!G:G&gt;DATE(2024,3,28),prs!G:G&lt;DATE(2024,4,26))),0,countunique(index(filter(prs!C:U,prs!I:I=G35,prs!R:R&lt;&gt;""Empty field"",prs!G:G&gt;DATE(2024,3,28),prs!G:G&lt;DATE(2024,4,26)),,1)))"),6)</f>
        <v>6</v>
      </c>
      <c r="AJ35" s="4">
        <f t="shared" ref="AJ35:AJ66" ca="1" si="9">IF(AI35&gt;$AA$140,3,IFERROR(ROUND((3*AI35/AH35) * IF(AI35&lt;$AB$140,0.5,1),2),0))</f>
        <v>3</v>
      </c>
      <c r="AK35" s="4">
        <f t="shared" ref="AK35:AK66" ca="1" si="10">AG35+AJ35</f>
        <v>6</v>
      </c>
      <c r="AL35" s="4">
        <f ca="1">IFERROR(__xludf.dummyfunction("filter('Проекты'!AT:AT,'Проекты'!A:A=J35)"),3.5)</f>
        <v>3.5</v>
      </c>
      <c r="AM35" s="4">
        <f ca="1">IFERROR(__xludf.dummyfunction("ifna(filter(commits_results!H:I,commits_results!B:B=A35,commits_results!A:A=J35),)"),10)</f>
        <v>10</v>
      </c>
      <c r="AN35" s="4">
        <f ca="1">IFERROR(__xludf.dummyfunction("""COMPUTED_VALUE"""),10)</f>
        <v>10</v>
      </c>
      <c r="AO35" s="4">
        <f t="shared" ref="AO35:AO66" ca="1" si="11">IF(AN35&gt;$W$140,3,IFERROR(ROUND(3*(AM35/AN35) * IF(AM35&lt;$Y$140,0.5,1),2),0))</f>
        <v>3</v>
      </c>
      <c r="AP35" s="4">
        <f ca="1">IFERROR(__xludf.dummyfunction("if(isna(filter(prs!C:U,prs!I:I=G35,prs!G:G&gt;DATE(2024,4,25),prs!G:G&lt;DATE(2024,5,23))),0,countunique(index(filter(prs!C:U,prs!I:I=G35,prs!G:G&gt;DATE(2024,4,25),prs!G:G&lt;DATE(2024,5,23)),,1)))"),2)</f>
        <v>2</v>
      </c>
      <c r="AQ35" s="4">
        <f ca="1">IFERROR(__xludf.dummyfunction("if(isna(filter(prs!C:U,prs!I:I=G35,prs!R:R&lt;&gt;""Empty field"",prs!G:G&gt;DATE(2024,4,25),prs!G:G&lt;DATE(2024,5,23))),0,countunique(index(filter(prs!C:U,prs!I:I=G35,prs!R:R&lt;&gt;""Empty field"",prs!G:G&gt;DATE(2024,4,25),prs!G:G&lt;DATE(2024,5,23)),,1)))"),2)</f>
        <v>2</v>
      </c>
      <c r="AR35" s="4">
        <f t="shared" ref="AR35:AR66" ca="1" si="12">IF(AQ35&gt;$AA$140,3,IFERROR(ROUND((3*AQ35/AP35) * IF(AQ35&lt;$AB$140,0.5,1),2),0))</f>
        <v>3</v>
      </c>
      <c r="AS35" s="4">
        <f t="shared" ref="AS35:AS66" ca="1" si="13">AO35+AR35</f>
        <v>6</v>
      </c>
      <c r="AT35" s="4">
        <f ca="1">IFERROR(__xludf.dummyfunction("filter('Проекты'!BB:BB,'Проекты'!A:A=J35)"),2.7)</f>
        <v>2.7</v>
      </c>
      <c r="AU35" s="4">
        <f ca="1">IFERROR(__xludf.dummyfunction("filter('Проекты'!BE:BE,'Проекты'!A:A=J35)"),0)</f>
        <v>0</v>
      </c>
      <c r="AV35" s="11">
        <f t="shared" ref="AV35:AV66" ca="1" si="14">ROUNDUP(SUM(K35:L35,T35:U35,AC35:AD35,AK35:AL35,AS35:AT35,AU35),0)</f>
        <v>64</v>
      </c>
      <c r="AW35" s="4" t="str">
        <f t="shared" ref="AW35:AW66" ca="1" si="15">IF(AV35&lt;60, "Неудовлетворительно", IF(AV35&lt;75, "Удовлетворительно", IF(AV35&lt;85, "Хорошо", "Отлично")))</f>
        <v>Удовлетворительно</v>
      </c>
    </row>
    <row r="36" spans="1:49" ht="15.75" customHeight="1">
      <c r="A36" s="6" t="s">
        <v>217</v>
      </c>
      <c r="B36" s="6" t="s">
        <v>217</v>
      </c>
      <c r="C36" s="6"/>
      <c r="D36" s="6">
        <v>1304</v>
      </c>
      <c r="E36" s="6" t="s">
        <v>218</v>
      </c>
      <c r="F36" s="6" t="s">
        <v>218</v>
      </c>
      <c r="G36" s="6" t="s">
        <v>219</v>
      </c>
      <c r="H36" s="6" t="s">
        <v>220</v>
      </c>
      <c r="I36" s="4" t="s">
        <v>1051</v>
      </c>
      <c r="J36" s="7">
        <f ca="1">IFERROR(__xludf.dummyfunction("index(split(I36,char(9)),1,1)"),14)</f>
        <v>14</v>
      </c>
      <c r="K36" s="7">
        <f ca="1">IFERROR(__xludf.dummyfunction("ifna(index(filter('Посещаемость_баллы'!$A:$L,'Посещаемость_баллы'!$B:$B=$B36,'Посещаемость_баллы'!$C:$C=$C36,'Посещаемость_баллы'!$D:$D=$D36),1,12)*10,0)"),2)</f>
        <v>2</v>
      </c>
      <c r="L36" s="7">
        <f>ROUNDDOWN(IFERROR(VALUE(VLOOKUP(H36,'Онлайн-курс1'!B:F,5,FALSE())),IFERROR(VALUE(VLOOKUP(H36,'Онлайн-курс1'!C:F,4,FALSE())),0))/40*20,0)
+ IFERROR(VALUE(SUBSTITUTE(VLOOKUP(H36,'Онлайн-курс2'!B:I,7,FALSE()),".",",")),IFERROR(VALUE(SUBSTITUTE(VLOOKUP(H36,'Онлайн-курс2'!C:I,6,FALSE()),".",",")),0))*2</f>
        <v>20</v>
      </c>
      <c r="M36" s="8" t="s">
        <v>219</v>
      </c>
      <c r="N36" s="9">
        <v>1</v>
      </c>
      <c r="O36" s="4" t="s">
        <v>221</v>
      </c>
      <c r="P36" s="4">
        <v>0</v>
      </c>
      <c r="Q36" s="10" t="str">
        <f ca="1">IFERROR(__xludf.dummyfunction("iferror(index(QUERY(commits!A$2:$K1001, ""select Count(C) where lower(D) = lower('""&amp;G36&amp;""')""),2,1),""-"")"),"-")</f>
        <v>-</v>
      </c>
      <c r="R36" s="4" t="s">
        <v>131</v>
      </c>
      <c r="S36" s="4">
        <v>15</v>
      </c>
      <c r="T36" s="4">
        <f ca="1">VLOOKUP(A36,Расчёт_оценок!A:C,3,FALSE())</f>
        <v>6</v>
      </c>
      <c r="U36" s="4">
        <f ca="1">IFERROR(VLOOKUP(J36,Проекты!A:P,16,FALSE()),0)</f>
        <v>4</v>
      </c>
      <c r="V36" s="4" t="s">
        <v>159</v>
      </c>
      <c r="W36" s="4">
        <v>14</v>
      </c>
      <c r="X36" s="4">
        <v>32</v>
      </c>
      <c r="Y36" s="4">
        <f>IF(W36&gt;$W$140,3,IFERROR(ROUND(3*(W36/X36) * IF(W36&lt;$Y$140,0.5,1),2),0))</f>
        <v>3</v>
      </c>
      <c r="Z36" s="4">
        <v>8</v>
      </c>
      <c r="AA36" s="4">
        <v>7</v>
      </c>
      <c r="AB36" s="4">
        <v>2</v>
      </c>
      <c r="AC36" s="4">
        <f t="shared" si="8"/>
        <v>6</v>
      </c>
      <c r="AD36" s="4">
        <v>2.1</v>
      </c>
      <c r="AE36" s="4">
        <v>20</v>
      </c>
      <c r="AF36" s="4">
        <v>23</v>
      </c>
      <c r="AG36" s="4">
        <v>3</v>
      </c>
      <c r="AH36" s="4">
        <f ca="1">IFERROR(__xludf.dummyfunction("if(isna(filter(prs!C:U,prs!I:I=G36,prs!G:G&gt;DATE(2024,3,28),prs!G:G&lt;DATE(2024,4,26))),0,countunique(index(filter(prs!C:U,prs!I:I=G36,prs!G:G&gt;DATE(2024,3,28),prs!G:G&lt;DATE(2024,4,26)),,1)))"),14)</f>
        <v>14</v>
      </c>
      <c r="AI36" s="4">
        <f ca="1">IFERROR(__xludf.dummyfunction("if(isna(filter(prs!C:U,prs!I:I=G36,prs!R:R&lt;&gt;""Empty field"",prs!G:G&gt;DATE(2024,3,28),prs!G:G&lt;DATE(2024,4,26))),0,countunique(index(filter(prs!C:U,prs!I:I=G36,prs!R:R&lt;&gt;""Empty field"",prs!G:G&gt;DATE(2024,3,28),prs!G:G&lt;DATE(2024,4,26)),,1)))"),12)</f>
        <v>12</v>
      </c>
      <c r="AJ36" s="4">
        <f t="shared" ca="1" si="9"/>
        <v>3</v>
      </c>
      <c r="AK36" s="4">
        <f t="shared" ca="1" si="10"/>
        <v>6</v>
      </c>
      <c r="AL36" s="4">
        <f ca="1">IFERROR(__xludf.dummyfunction("filter('Проекты'!AT:AT,'Проекты'!A:A=J36)"),3.5)</f>
        <v>3.5</v>
      </c>
      <c r="AM36" s="4">
        <f ca="1">IFERROR(__xludf.dummyfunction("ifna(filter(commits_results!H:I,commits_results!B:B=A36,commits_results!A:A=J36),)"),10)</f>
        <v>10</v>
      </c>
      <c r="AN36" s="4">
        <f ca="1">IFERROR(__xludf.dummyfunction("""COMPUTED_VALUE"""),10)</f>
        <v>10</v>
      </c>
      <c r="AO36" s="4">
        <f t="shared" ca="1" si="11"/>
        <v>3</v>
      </c>
      <c r="AP36" s="4">
        <f ca="1">IFERROR(__xludf.dummyfunction("if(isna(filter(prs!C:U,prs!I:I=G36,prs!G:G&gt;DATE(2024,4,25),prs!G:G&lt;DATE(2024,5,23))),0,countunique(index(filter(prs!C:U,prs!I:I=G36,prs!G:G&gt;DATE(2024,4,25),prs!G:G&lt;DATE(2024,5,23)),,1)))"),4)</f>
        <v>4</v>
      </c>
      <c r="AQ36" s="4">
        <f ca="1">IFERROR(__xludf.dummyfunction("if(isna(filter(prs!C:U,prs!I:I=G36,prs!R:R&lt;&gt;""Empty field"",prs!G:G&gt;DATE(2024,4,25),prs!G:G&lt;DATE(2024,5,23))),0,countunique(index(filter(prs!C:U,prs!I:I=G36,prs!R:R&lt;&gt;""Empty field"",prs!G:G&gt;DATE(2024,4,25),prs!G:G&lt;DATE(2024,5,23)),,1)))"),4)</f>
        <v>4</v>
      </c>
      <c r="AR36" s="4">
        <f t="shared" ca="1" si="12"/>
        <v>3</v>
      </c>
      <c r="AS36" s="4">
        <f t="shared" ca="1" si="13"/>
        <v>6</v>
      </c>
      <c r="AT36" s="4">
        <f ca="1">IFERROR(__xludf.dummyfunction("filter('Проекты'!BB:BB,'Проекты'!A:A=J36)"),4)</f>
        <v>4</v>
      </c>
      <c r="AU36" s="4">
        <f ca="1">IFERROR(__xludf.dummyfunction("filter('Проекты'!BE:BE,'Проекты'!A:A=J36)"),0)</f>
        <v>0</v>
      </c>
      <c r="AV36" s="11">
        <f t="shared" ca="1" si="14"/>
        <v>60</v>
      </c>
      <c r="AW36" s="4" t="str">
        <f t="shared" ca="1" si="15"/>
        <v>Удовлетворительно</v>
      </c>
    </row>
    <row r="37" spans="1:49" ht="15.75" customHeight="1">
      <c r="A37" s="6" t="s">
        <v>222</v>
      </c>
      <c r="B37" s="6" t="s">
        <v>222</v>
      </c>
      <c r="C37" s="6"/>
      <c r="D37" s="6">
        <v>1304</v>
      </c>
      <c r="E37" s="6" t="s">
        <v>223</v>
      </c>
      <c r="F37" s="6" t="s">
        <v>223</v>
      </c>
      <c r="G37" s="6" t="s">
        <v>224</v>
      </c>
      <c r="H37" s="6" t="s">
        <v>225</v>
      </c>
      <c r="I37" s="4" t="s">
        <v>1052</v>
      </c>
      <c r="J37" s="7">
        <f ca="1">IFERROR(__xludf.dummyfunction("index(split(I37,char(9)),1,1)"),5)</f>
        <v>5</v>
      </c>
      <c r="K37" s="7">
        <f ca="1">IFERROR(__xludf.dummyfunction("ifna(index(filter('Посещаемость_баллы'!$A:$L,'Посещаемость_баллы'!$B:$B=$B37,'Посещаемость_баллы'!$C:$C=$C37,'Посещаемость_баллы'!$D:$D=$D37),1,12)*10,0)"),8)</f>
        <v>8</v>
      </c>
      <c r="L37" s="7">
        <f>ROUNDDOWN(IFERROR(VALUE(VLOOKUP(H37,'Онлайн-курс1'!B:F,5,FALSE())),IFERROR(VALUE(VLOOKUP(H37,'Онлайн-курс1'!C:F,4,FALSE())),0))/40*20,0)
+ IFERROR(VALUE(SUBSTITUTE(VLOOKUP(H37,'Онлайн-курс2'!B:I,7,FALSE()),".",",")),IFERROR(VALUE(SUBSTITUTE(VLOOKUP(H37,'Онлайн-курс2'!C:I,6,FALSE()),".",",")),0))*2</f>
        <v>20</v>
      </c>
      <c r="M37" s="8" t="s">
        <v>224</v>
      </c>
      <c r="N37" s="9">
        <v>1</v>
      </c>
      <c r="O37" s="4" t="s">
        <v>226</v>
      </c>
      <c r="P37" s="4">
        <v>0</v>
      </c>
      <c r="Q37" s="10" t="str">
        <f ca="1">IFERROR(__xludf.dummyfunction("iferror(index(QUERY(commits!A$2:$K1001, ""select Count(C) where lower(D) = lower('""&amp;G37&amp;""')""),2,1),""-"")"),"-")</f>
        <v>-</v>
      </c>
      <c r="R37" s="4" t="s">
        <v>54</v>
      </c>
      <c r="S37" s="4" t="s">
        <v>47</v>
      </c>
      <c r="T37" s="4">
        <f ca="1">VLOOKUP(A37,Расчёт_оценок!A:C,3,FALSE())</f>
        <v>6</v>
      </c>
      <c r="U37" s="4">
        <f ca="1">IFERROR(VLOOKUP(J37,Проекты!A:P,16,FALSE()),0)</f>
        <v>4</v>
      </c>
      <c r="V37" s="4" t="s">
        <v>159</v>
      </c>
      <c r="W37" s="4">
        <v>17</v>
      </c>
      <c r="X37" s="4">
        <v>19</v>
      </c>
      <c r="Y37" s="4">
        <v>3</v>
      </c>
      <c r="Z37" s="4">
        <v>2</v>
      </c>
      <c r="AA37" s="4">
        <v>2</v>
      </c>
      <c r="AB37" s="4">
        <v>2</v>
      </c>
      <c r="AC37" s="4">
        <f t="shared" si="8"/>
        <v>6</v>
      </c>
      <c r="AD37" s="4">
        <v>2.8</v>
      </c>
      <c r="AE37" s="4">
        <v>9</v>
      </c>
      <c r="AF37" s="4">
        <v>12</v>
      </c>
      <c r="AG37" s="4">
        <v>3</v>
      </c>
      <c r="AH37" s="4">
        <f ca="1">IFERROR(__xludf.dummyfunction("if(isna(filter(prs!C:U,prs!I:I=G37,prs!G:G&gt;DATE(2024,3,28),prs!G:G&lt;DATE(2024,4,26))),0,countunique(index(filter(prs!C:U,prs!I:I=G37,prs!G:G&gt;DATE(2024,3,28),prs!G:G&lt;DATE(2024,4,26)),,1)))"),6)</f>
        <v>6</v>
      </c>
      <c r="AI37" s="4">
        <f ca="1">IFERROR(__xludf.dummyfunction("if(isna(filter(prs!C:U,prs!I:I=G37,prs!R:R&lt;&gt;""Empty field"",prs!G:G&gt;DATE(2024,3,28),prs!G:G&lt;DATE(2024,4,26))),0,countunique(index(filter(prs!C:U,prs!I:I=G37,prs!R:R&lt;&gt;""Empty field"",prs!G:G&gt;DATE(2024,3,28),prs!G:G&lt;DATE(2024,4,26)),,1)))"),4)</f>
        <v>4</v>
      </c>
      <c r="AJ37" s="4">
        <f t="shared" ca="1" si="9"/>
        <v>3</v>
      </c>
      <c r="AK37" s="4">
        <f t="shared" ca="1" si="10"/>
        <v>6</v>
      </c>
      <c r="AL37" s="4">
        <f ca="1">IFERROR(__xludf.dummyfunction("filter('Проекты'!AT:AT,'Проекты'!A:A=J37)"),3.5)</f>
        <v>3.5</v>
      </c>
      <c r="AM37" s="4">
        <f ca="1">IFERROR(__xludf.dummyfunction("ifna(filter(commits_results!H:I,commits_results!B:B=A37,commits_results!A:A=J37),)"),18)</f>
        <v>18</v>
      </c>
      <c r="AN37" s="4">
        <f ca="1">IFERROR(__xludf.dummyfunction("""COMPUTED_VALUE"""),20)</f>
        <v>20</v>
      </c>
      <c r="AO37" s="4">
        <f t="shared" ca="1" si="11"/>
        <v>3</v>
      </c>
      <c r="AP37" s="4">
        <f ca="1">IFERROR(__xludf.dummyfunction("if(isna(filter(prs!C:U,prs!I:I=G37,prs!G:G&gt;DATE(2024,4,25),prs!G:G&lt;DATE(2024,5,23))),0,countunique(index(filter(prs!C:U,prs!I:I=G37,prs!G:G&gt;DATE(2024,4,25),prs!G:G&lt;DATE(2024,5,23)),,1)))"),1)</f>
        <v>1</v>
      </c>
      <c r="AQ37" s="4">
        <f ca="1">IFERROR(__xludf.dummyfunction("if(isna(filter(prs!C:U,prs!I:I=G37,prs!R:R&lt;&gt;""Empty field"",prs!G:G&gt;DATE(2024,4,25),prs!G:G&lt;DATE(2024,5,23))),0,countunique(index(filter(prs!C:U,prs!I:I=G37,prs!R:R&lt;&gt;""Empty field"",prs!G:G&gt;DATE(2024,4,25),prs!G:G&lt;DATE(2024,5,23)),,1)))"),1)</f>
        <v>1</v>
      </c>
      <c r="AR37" s="4">
        <f t="shared" ca="1" si="12"/>
        <v>3</v>
      </c>
      <c r="AS37" s="4">
        <f t="shared" ca="1" si="13"/>
        <v>6</v>
      </c>
      <c r="AT37" s="4">
        <f ca="1">IFERROR(__xludf.dummyfunction("filter('Проекты'!BB:BB,'Проекты'!A:A=J37)"),2.7)</f>
        <v>2.7</v>
      </c>
      <c r="AU37" s="4">
        <f ca="1">IFERROR(__xludf.dummyfunction("filter('Проекты'!BE:BE,'Проекты'!A:A=J37)"),0)</f>
        <v>0</v>
      </c>
      <c r="AV37" s="11">
        <f t="shared" ca="1" si="14"/>
        <v>65</v>
      </c>
      <c r="AW37" s="4" t="str">
        <f t="shared" ca="1" si="15"/>
        <v>Удовлетворительно</v>
      </c>
    </row>
    <row r="38" spans="1:49" ht="15.75" customHeight="1">
      <c r="A38" s="6" t="s">
        <v>227</v>
      </c>
      <c r="B38" s="6" t="s">
        <v>227</v>
      </c>
      <c r="C38" s="6"/>
      <c r="D38" s="6">
        <v>1304</v>
      </c>
      <c r="E38" s="6" t="s">
        <v>228</v>
      </c>
      <c r="F38" s="6" t="s">
        <v>228</v>
      </c>
      <c r="G38" s="6" t="s">
        <v>229</v>
      </c>
      <c r="H38" s="6" t="s">
        <v>230</v>
      </c>
      <c r="I38" s="4" t="s">
        <v>1053</v>
      </c>
      <c r="J38" s="7">
        <f ca="1">IFERROR(__xludf.dummyfunction("index(split(I38,char(9)),1,1)"),14)</f>
        <v>14</v>
      </c>
      <c r="K38" s="7">
        <f ca="1">IFERROR(__xludf.dummyfunction("ifna(index(filter('Посещаемость_баллы'!$A:$L,'Посещаемость_баллы'!$B:$B=$B38,'Посещаемость_баллы'!$C:$C=$C38,'Посещаемость_баллы'!$D:$D=$D38),1,12)*10,0)"),4)</f>
        <v>4</v>
      </c>
      <c r="L38" s="7">
        <f>ROUNDDOWN(IFERROR(VALUE(VLOOKUP(H38,'Онлайн-курс1'!B:F,5,FALSE())),IFERROR(VALUE(VLOOKUP(H38,'Онлайн-курс1'!C:F,4,FALSE())),0))/40*20,0)
+ IFERROR(VALUE(SUBSTITUTE(VLOOKUP(H38,'Онлайн-курс2'!B:I,7,FALSE()),".",",")),IFERROR(VALUE(SUBSTITUTE(VLOOKUP(H38,'Онлайн-курс2'!C:I,6,FALSE()),".",",")),0))*2</f>
        <v>0</v>
      </c>
      <c r="M38" s="8" t="s">
        <v>229</v>
      </c>
      <c r="N38" s="9">
        <v>1</v>
      </c>
      <c r="O38" s="4" t="s">
        <v>231</v>
      </c>
      <c r="P38" s="4">
        <v>0</v>
      </c>
      <c r="Q38" s="10" t="str">
        <f ca="1">IFERROR(__xludf.dummyfunction("iferror(index(QUERY(commits!A$2:$K1001, ""select Count(C) where lower(D) = lower('""&amp;G38&amp;""')""),2,1),""-"")"),"-")</f>
        <v>-</v>
      </c>
      <c r="R38" s="4" t="s">
        <v>46</v>
      </c>
      <c r="S38" s="4" t="s">
        <v>47</v>
      </c>
      <c r="T38" s="4">
        <f ca="1">VLOOKUP(A38,Расчёт_оценок!A:C,3,FALSE())</f>
        <v>6</v>
      </c>
      <c r="U38" s="4">
        <f ca="1">IFERROR(VLOOKUP(J38,Проекты!A:P,16,FALSE()),0)</f>
        <v>4</v>
      </c>
      <c r="V38" s="4" t="s">
        <v>232</v>
      </c>
      <c r="W38" s="4">
        <v>8</v>
      </c>
      <c r="X38" s="4">
        <v>17</v>
      </c>
      <c r="Y38" s="4">
        <v>1.5</v>
      </c>
      <c r="Z38" s="4">
        <v>5</v>
      </c>
      <c r="AA38" s="4">
        <v>5</v>
      </c>
      <c r="AB38" s="4">
        <v>2</v>
      </c>
      <c r="AC38" s="4">
        <f t="shared" si="8"/>
        <v>4.5</v>
      </c>
      <c r="AD38" s="4">
        <v>2.1</v>
      </c>
      <c r="AE38" s="4">
        <v>6</v>
      </c>
      <c r="AF38" s="4">
        <v>6</v>
      </c>
      <c r="AG38" s="4">
        <v>3</v>
      </c>
      <c r="AH38" s="4">
        <f ca="1">IFERROR(__xludf.dummyfunction("if(isna(filter(prs!C:U,prs!I:I=G38,prs!G:G&gt;DATE(2024,3,28),prs!G:G&lt;DATE(2024,4,26))),0,countunique(index(filter(prs!C:U,prs!I:I=G38,prs!G:G&gt;DATE(2024,3,28),prs!G:G&lt;DATE(2024,4,26)),,1)))"),8)</f>
        <v>8</v>
      </c>
      <c r="AI38" s="4">
        <f ca="1">IFERROR(__xludf.dummyfunction("if(isna(filter(prs!C:U,prs!I:I=G38,prs!R:R&lt;&gt;""Empty field"",prs!G:G&gt;DATE(2024,3,28),prs!G:G&lt;DATE(2024,4,26))),0,countunique(index(filter(prs!C:U,prs!I:I=G38,prs!R:R&lt;&gt;""Empty field"",prs!G:G&gt;DATE(2024,3,28),prs!G:G&lt;DATE(2024,4,26)),,1)))"),8)</f>
        <v>8</v>
      </c>
      <c r="AJ38" s="4">
        <f t="shared" ca="1" si="9"/>
        <v>3</v>
      </c>
      <c r="AK38" s="4">
        <f t="shared" ca="1" si="10"/>
        <v>6</v>
      </c>
      <c r="AL38" s="4">
        <f ca="1">IFERROR(__xludf.dummyfunction("filter('Проекты'!AT:AT,'Проекты'!A:A=J38)"),3.5)</f>
        <v>3.5</v>
      </c>
      <c r="AM38" s="4">
        <f ca="1">IFERROR(__xludf.dummyfunction("ifna(filter(commits_results!H:I,commits_results!B:B=A38,commits_results!A:A=J38),)"),13)</f>
        <v>13</v>
      </c>
      <c r="AN38" s="4">
        <f ca="1">IFERROR(__xludf.dummyfunction("""COMPUTED_VALUE"""),13)</f>
        <v>13</v>
      </c>
      <c r="AO38" s="4">
        <f t="shared" ca="1" si="11"/>
        <v>3</v>
      </c>
      <c r="AP38" s="4">
        <f ca="1">IFERROR(__xludf.dummyfunction("if(isna(filter(prs!C:U,prs!I:I=G38,prs!G:G&gt;DATE(2024,4,25),prs!G:G&lt;DATE(2024,5,23))),0,countunique(index(filter(prs!C:U,prs!I:I=G38,prs!G:G&gt;DATE(2024,4,25),prs!G:G&lt;DATE(2024,5,23)),,1)))"),4)</f>
        <v>4</v>
      </c>
      <c r="AQ38" s="4">
        <f ca="1">IFERROR(__xludf.dummyfunction("if(isna(filter(prs!C:U,prs!I:I=G38,prs!R:R&lt;&gt;""Empty field"",prs!G:G&gt;DATE(2024,4,25),prs!G:G&lt;DATE(2024,5,23))),0,countunique(index(filter(prs!C:U,prs!I:I=G38,prs!R:R&lt;&gt;""Empty field"",prs!G:G&gt;DATE(2024,4,25),prs!G:G&lt;DATE(2024,5,23)),,1)))"),4)</f>
        <v>4</v>
      </c>
      <c r="AR38" s="4">
        <f t="shared" ca="1" si="12"/>
        <v>3</v>
      </c>
      <c r="AS38" s="4">
        <f t="shared" ca="1" si="13"/>
        <v>6</v>
      </c>
      <c r="AT38" s="4">
        <f ca="1">IFERROR(__xludf.dummyfunction("filter('Проекты'!BB:BB,'Проекты'!A:A=J38)"),4)</f>
        <v>4</v>
      </c>
      <c r="AU38" s="4">
        <f ca="1">IFERROR(__xludf.dummyfunction("filter('Проекты'!BE:BE,'Проекты'!A:A=J38)"),0)</f>
        <v>0</v>
      </c>
      <c r="AV38" s="11">
        <f t="shared" ca="1" si="14"/>
        <v>41</v>
      </c>
      <c r="AW38" s="4" t="str">
        <f t="shared" ca="1" si="15"/>
        <v>Неудовлетворительно</v>
      </c>
    </row>
    <row r="39" spans="1:49" ht="15.75" customHeight="1">
      <c r="A39" s="6" t="s">
        <v>233</v>
      </c>
      <c r="B39" s="6" t="s">
        <v>233</v>
      </c>
      <c r="C39" s="6"/>
      <c r="D39" s="6">
        <v>1304</v>
      </c>
      <c r="E39" s="6" t="s">
        <v>234</v>
      </c>
      <c r="F39" s="6" t="s">
        <v>234</v>
      </c>
      <c r="G39" s="6" t="s">
        <v>235</v>
      </c>
      <c r="H39" s="6" t="s">
        <v>236</v>
      </c>
      <c r="I39" s="4" t="s">
        <v>1054</v>
      </c>
      <c r="J39" s="7">
        <f ca="1">IFERROR(__xludf.dummyfunction("index(split(I39,char(9)),1,1)"),2)</f>
        <v>2</v>
      </c>
      <c r="K39" s="7">
        <f ca="1">IFERROR(__xludf.dummyfunction("ifna(index(filter('Посещаемость_баллы'!$A:$L,'Посещаемость_баллы'!$B:$B=$B39,'Посещаемость_баллы'!$C:$C=$C39,'Посещаемость_баллы'!$D:$D=$D39),1,12)*10,0)"),4)</f>
        <v>4</v>
      </c>
      <c r="L39" s="7">
        <f>ROUNDDOWN(IFERROR(VALUE(VLOOKUP(H39,'Онлайн-курс1'!B:F,5,FALSE())),IFERROR(VALUE(VLOOKUP(H39,'Онлайн-курс1'!C:F,4,FALSE())),0))/40*20,0)
+ IFERROR(VALUE(SUBSTITUTE(VLOOKUP(H39,'Онлайн-курс2'!B:I,7,FALSE()),".",",")),IFERROR(VALUE(SUBSTITUTE(VLOOKUP(H39,'Онлайн-курс2'!C:I,6,FALSE()),".",",")),0))*2</f>
        <v>20</v>
      </c>
      <c r="M39" s="8" t="s">
        <v>235</v>
      </c>
      <c r="N39" s="9">
        <v>0</v>
      </c>
      <c r="O39" s="4" t="s">
        <v>237</v>
      </c>
      <c r="P39" s="4">
        <v>0</v>
      </c>
      <c r="Q39" s="10" t="str">
        <f ca="1">IFERROR(__xludf.dummyfunction("iferror(index(QUERY(commits!A$2:$K1001, ""select Count(C) where lower(D) = lower('""&amp;G39&amp;""')""),2,1),""-"")"),"-")</f>
        <v>-</v>
      </c>
      <c r="R39" s="4" t="s">
        <v>54</v>
      </c>
      <c r="S39" s="4" t="s">
        <v>47</v>
      </c>
      <c r="T39" s="4">
        <f ca="1">VLOOKUP(A39,Расчёт_оценок!A:C,3,FALSE())</f>
        <v>4</v>
      </c>
      <c r="U39" s="4">
        <f ca="1">IFERROR(VLOOKUP(J39,Проекты!A:P,16,FALSE()),0)</f>
        <v>3</v>
      </c>
      <c r="V39" s="4" t="s">
        <v>54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f t="shared" si="8"/>
        <v>0</v>
      </c>
      <c r="AD39" s="4">
        <v>3.4</v>
      </c>
      <c r="AE39" s="4">
        <v>3</v>
      </c>
      <c r="AF39" s="4">
        <v>3</v>
      </c>
      <c r="AG39" s="4">
        <v>1.5</v>
      </c>
      <c r="AH39" s="4">
        <v>2</v>
      </c>
      <c r="AI39" s="4">
        <v>1</v>
      </c>
      <c r="AJ39" s="4">
        <f t="shared" si="9"/>
        <v>3</v>
      </c>
      <c r="AK39" s="4">
        <f t="shared" si="10"/>
        <v>4.5</v>
      </c>
      <c r="AL39" s="4">
        <f ca="1">IFERROR(__xludf.dummyfunction("filter('Проекты'!AT:AT,'Проекты'!A:A=J39)"),3.3)</f>
        <v>3.3</v>
      </c>
      <c r="AM39" s="4">
        <f ca="1">IFERROR(__xludf.dummyfunction("ifna(filter(commits_results!H:I,commits_results!B:B=A39,commits_results!A:A=J39),)"),0)</f>
        <v>0</v>
      </c>
      <c r="AN39" s="4">
        <f ca="1">IFERROR(__xludf.dummyfunction("""COMPUTED_VALUE"""),6)</f>
        <v>6</v>
      </c>
      <c r="AO39" s="4">
        <f t="shared" ca="1" si="11"/>
        <v>3</v>
      </c>
      <c r="AP39" s="4">
        <v>3</v>
      </c>
      <c r="AQ39" s="4">
        <v>1</v>
      </c>
      <c r="AR39" s="4">
        <f t="shared" si="12"/>
        <v>3</v>
      </c>
      <c r="AS39" s="4">
        <f t="shared" ca="1" si="13"/>
        <v>6</v>
      </c>
      <c r="AT39" s="4">
        <f ca="1">IFERROR(__xludf.dummyfunction("filter('Проекты'!BB:BB,'Проекты'!A:A=J39)"),2.8)</f>
        <v>2.8</v>
      </c>
      <c r="AU39" s="4">
        <f ca="1">IFERROR(__xludf.dummyfunction("filter('Проекты'!BE:BE,'Проекты'!A:A=J39)"),0)</f>
        <v>0</v>
      </c>
      <c r="AV39" s="11">
        <f t="shared" ca="1" si="14"/>
        <v>51</v>
      </c>
      <c r="AW39" s="4" t="str">
        <f t="shared" ca="1" si="15"/>
        <v>Неудовлетворительно</v>
      </c>
    </row>
    <row r="40" spans="1:49" ht="15.75" customHeight="1">
      <c r="A40" s="6" t="s">
        <v>238</v>
      </c>
      <c r="B40" s="6" t="s">
        <v>238</v>
      </c>
      <c r="C40" s="6"/>
      <c r="D40" s="6">
        <v>1304</v>
      </c>
      <c r="E40" s="6" t="s">
        <v>239</v>
      </c>
      <c r="F40" s="6" t="s">
        <v>239</v>
      </c>
      <c r="G40" s="6" t="s">
        <v>240</v>
      </c>
      <c r="H40" s="6" t="s">
        <v>241</v>
      </c>
      <c r="I40" s="4" t="s">
        <v>1055</v>
      </c>
      <c r="J40" s="7">
        <f ca="1">IFERROR(__xludf.dummyfunction("index(split(I40,char(9)),1,1)"),12)</f>
        <v>12</v>
      </c>
      <c r="K40" s="7">
        <f ca="1">IFERROR(__xludf.dummyfunction("ifna(index(filter('Посещаемость_баллы'!$A:$L,'Посещаемость_баллы'!$B:$B=$B40,'Посещаемость_баллы'!$C:$C=$C40,'Посещаемость_баллы'!$D:$D=$D40),1,12)*10,0)"),8)</f>
        <v>8</v>
      </c>
      <c r="L40" s="7">
        <f>ROUNDDOWN(IFERROR(VALUE(VLOOKUP(H40,'Онлайн-курс1'!B:F,5,FALSE())),IFERROR(VALUE(VLOOKUP(H40,'Онлайн-курс1'!C:F,4,FALSE())),0))/40*20,0)
+ IFERROR(VALUE(SUBSTITUTE(VLOOKUP(H40,'Онлайн-курс2'!B:I,7,FALSE()),".",",")),IFERROR(VALUE(SUBSTITUTE(VLOOKUP(H40,'Онлайн-курс2'!C:I,6,FALSE()),".",",")),0))*2</f>
        <v>0</v>
      </c>
      <c r="M40" s="8" t="s">
        <v>240</v>
      </c>
      <c r="N40" s="9">
        <v>1</v>
      </c>
      <c r="O40" s="4" t="s">
        <v>242</v>
      </c>
      <c r="P40" s="4">
        <v>0</v>
      </c>
      <c r="Q40" s="10" t="str">
        <f ca="1">IFERROR(__xludf.dummyfunction("iferror(index(QUERY(commits!A$2:$K1001, ""select Count(C) where lower(D) = lower('""&amp;G40&amp;""')""),2,1),""-"")"),"-")</f>
        <v>-</v>
      </c>
      <c r="R40" s="4" t="s">
        <v>54</v>
      </c>
      <c r="S40" s="4" t="s">
        <v>47</v>
      </c>
      <c r="T40" s="4">
        <f ca="1">VLOOKUP(A40,Расчёт_оценок!A:C,3,FALSE())</f>
        <v>5</v>
      </c>
      <c r="U40" s="4">
        <f ca="1">IFERROR(VLOOKUP(J40,Проекты!A:P,16,FALSE()),0)</f>
        <v>4</v>
      </c>
      <c r="V40" s="4" t="s">
        <v>40</v>
      </c>
      <c r="W40" s="4">
        <v>1</v>
      </c>
      <c r="X40" s="4">
        <v>1</v>
      </c>
      <c r="Y40" s="4">
        <f>IF(W40&gt;$W$140,3,IFERROR(ROUND(3*(W40/X40) * IF(W40&lt;$Y$140,0.5,1),2),0))</f>
        <v>3</v>
      </c>
      <c r="Z40" s="4">
        <v>1</v>
      </c>
      <c r="AA40" s="4">
        <v>1</v>
      </c>
      <c r="AB40" s="4">
        <v>1</v>
      </c>
      <c r="AC40" s="4">
        <f t="shared" si="8"/>
        <v>5</v>
      </c>
      <c r="AD40" s="4">
        <v>3.8</v>
      </c>
      <c r="AE40" s="4">
        <v>3</v>
      </c>
      <c r="AF40" s="4">
        <v>3</v>
      </c>
      <c r="AG40" s="4">
        <v>1.5</v>
      </c>
      <c r="AH40" s="4">
        <f ca="1">IFERROR(__xludf.dummyfunction("if(isna(filter(prs!C:U,prs!I:I=G40,prs!G:G&gt;DATE(2024,3,28),prs!G:G&lt;DATE(2024,4,26))),0,countunique(index(filter(prs!C:U,prs!I:I=G40,prs!G:G&gt;DATE(2024,3,28),prs!G:G&lt;DATE(2024,4,26)),,1)))"),4)</f>
        <v>4</v>
      </c>
      <c r="AI40" s="4">
        <f ca="1">IFERROR(__xludf.dummyfunction("if(isna(filter(prs!C:U,prs!I:I=G40,prs!R:R&lt;&gt;""Empty field"",prs!G:G&gt;DATE(2024,3,28),prs!G:G&lt;DATE(2024,4,26))),0,countunique(index(filter(prs!C:U,prs!I:I=G40,prs!R:R&lt;&gt;""Empty field"",prs!G:G&gt;DATE(2024,3,28),prs!G:G&lt;DATE(2024,4,26)),,1)))"),4)</f>
        <v>4</v>
      </c>
      <c r="AJ40" s="4">
        <f t="shared" ca="1" si="9"/>
        <v>3</v>
      </c>
      <c r="AK40" s="4">
        <f t="shared" ca="1" si="10"/>
        <v>4.5</v>
      </c>
      <c r="AL40" s="4">
        <f ca="1">IFERROR(__xludf.dummyfunction("filter('Проекты'!AT:AT,'Проекты'!A:A=J40)"),3.3)</f>
        <v>3.3</v>
      </c>
      <c r="AM40" s="4">
        <f ca="1">IFERROR(__xludf.dummyfunction("ifna(filter(commits_results!H:I,commits_results!B:B=A40,commits_results!A:A=J40),)"),1)</f>
        <v>1</v>
      </c>
      <c r="AN40" s="4">
        <f ca="1">IFERROR(__xludf.dummyfunction("""COMPUTED_VALUE"""),2)</f>
        <v>2</v>
      </c>
      <c r="AO40" s="4">
        <f t="shared" ca="1" si="11"/>
        <v>3</v>
      </c>
      <c r="AP40" s="4">
        <f ca="1">IFERROR(__xludf.dummyfunction("if(isna(filter(prs!C:U,prs!I:I=G40,prs!G:G&gt;DATE(2024,4,25),prs!G:G&lt;DATE(2024,5,23))),0,countunique(index(filter(prs!C:U,prs!I:I=G40,prs!G:G&gt;DATE(2024,4,25),prs!G:G&lt;DATE(2024,5,23)),,1)))"),1)</f>
        <v>1</v>
      </c>
      <c r="AQ40" s="4">
        <f ca="1">IFERROR(__xludf.dummyfunction("if(isna(filter(prs!C:U,prs!I:I=G40,prs!R:R&lt;&gt;""Empty field"",prs!G:G&gt;DATE(2024,4,25),prs!G:G&lt;DATE(2024,5,23))),0,countunique(index(filter(prs!C:U,prs!I:I=G40,prs!R:R&lt;&gt;""Empty field"",prs!G:G&gt;DATE(2024,4,25),prs!G:G&lt;DATE(2024,5,23)),,1)))"),0)</f>
        <v>0</v>
      </c>
      <c r="AR40" s="4">
        <f t="shared" ca="1" si="12"/>
        <v>0</v>
      </c>
      <c r="AS40" s="4">
        <f t="shared" ca="1" si="13"/>
        <v>3</v>
      </c>
      <c r="AT40" s="4">
        <f ca="1">IFERROR(__xludf.dummyfunction("filter('Проекты'!BB:BB,'Проекты'!A:A=J40)"),1.1)</f>
        <v>1.1000000000000001</v>
      </c>
      <c r="AU40" s="4">
        <f ca="1">IFERROR(__xludf.dummyfunction("filter('Проекты'!BE:BE,'Проекты'!A:A=J40)"),0)</f>
        <v>0</v>
      </c>
      <c r="AV40" s="11">
        <f t="shared" ca="1" si="14"/>
        <v>38</v>
      </c>
      <c r="AW40" s="4" t="str">
        <f t="shared" ca="1" si="15"/>
        <v>Неудовлетворительно</v>
      </c>
    </row>
    <row r="41" spans="1:49" ht="15.75" customHeight="1">
      <c r="A41" s="6" t="s">
        <v>243</v>
      </c>
      <c r="B41" s="6" t="s">
        <v>243</v>
      </c>
      <c r="C41" s="6"/>
      <c r="D41" s="6">
        <v>1304</v>
      </c>
      <c r="E41" s="6" t="s">
        <v>244</v>
      </c>
      <c r="F41" s="6" t="s">
        <v>244</v>
      </c>
      <c r="G41" s="6" t="s">
        <v>245</v>
      </c>
      <c r="H41" s="6" t="s">
        <v>246</v>
      </c>
      <c r="I41" s="4" t="s">
        <v>1056</v>
      </c>
      <c r="J41" s="7">
        <f ca="1">IFERROR(__xludf.dummyfunction("index(split(I41,char(9)),1,1)"),2)</f>
        <v>2</v>
      </c>
      <c r="K41" s="7">
        <f ca="1">IFERROR(__xludf.dummyfunction("ifna(index(filter('Посещаемость_баллы'!$A:$L,'Посещаемость_баллы'!$B:$B=$B41,'Посещаемость_баллы'!$C:$C=$C41,'Посещаемость_баллы'!$D:$D=$D41),1,12)*10,0)"),4)</f>
        <v>4</v>
      </c>
      <c r="L41" s="7">
        <f>ROUNDDOWN(IFERROR(VALUE(VLOOKUP(H41,'Онлайн-курс1'!B:F,5,FALSE())),IFERROR(VALUE(VLOOKUP(H41,'Онлайн-курс1'!C:F,4,FALSE())),0))/40*20,0)
+ IFERROR(VALUE(SUBSTITUTE(VLOOKUP(H41,'Онлайн-курс2'!B:I,7,FALSE()),".",",")),IFERROR(VALUE(SUBSTITUTE(VLOOKUP(H41,'Онлайн-курс2'!C:I,6,FALSE()),".",",")),0))*2</f>
        <v>20</v>
      </c>
      <c r="M41" s="8" t="s">
        <v>245</v>
      </c>
      <c r="N41" s="9">
        <v>0</v>
      </c>
      <c r="O41" s="4" t="s">
        <v>247</v>
      </c>
      <c r="P41" s="4">
        <v>0</v>
      </c>
      <c r="Q41" s="10" t="str">
        <f ca="1">IFERROR(__xludf.dummyfunction("iferror(index(QUERY(commits!A$2:$K1001, ""select Count(C) where lower(D) = lower('""&amp;G41&amp;""')""),2,1),""-"")"),"-")</f>
        <v>-</v>
      </c>
      <c r="R41" s="4" t="s">
        <v>54</v>
      </c>
      <c r="S41" s="4" t="s">
        <v>47</v>
      </c>
      <c r="T41" s="4">
        <f ca="1">VLOOKUP(A41,Расчёт_оценок!A:C,3,FALSE())</f>
        <v>4</v>
      </c>
      <c r="U41" s="4">
        <f ca="1">IFERROR(VLOOKUP(J41,Проекты!A:P,16,FALSE()),0)</f>
        <v>3</v>
      </c>
      <c r="V41" s="4" t="s">
        <v>54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f t="shared" si="8"/>
        <v>0</v>
      </c>
      <c r="AD41" s="4">
        <v>3.4</v>
      </c>
      <c r="AE41" s="4">
        <v>0</v>
      </c>
      <c r="AF41" s="4">
        <v>0</v>
      </c>
      <c r="AG41" s="4">
        <v>0</v>
      </c>
      <c r="AH41" s="4">
        <v>1</v>
      </c>
      <c r="AI41" s="4">
        <v>0</v>
      </c>
      <c r="AJ41" s="4">
        <f t="shared" si="9"/>
        <v>0</v>
      </c>
      <c r="AK41" s="4">
        <f t="shared" si="10"/>
        <v>0</v>
      </c>
      <c r="AL41" s="4">
        <f ca="1">IFERROR(__xludf.dummyfunction("filter('Проекты'!AT:AT,'Проекты'!A:A=J41)"),3.3)</f>
        <v>3.3</v>
      </c>
      <c r="AM41" s="4">
        <f ca="1">IFERROR(__xludf.dummyfunction("ifna(filter(commits_results!H:I,commits_results!B:B=A41,commits_results!A:A=J41),)"),1)</f>
        <v>1</v>
      </c>
      <c r="AN41" s="4">
        <f ca="1">IFERROR(__xludf.dummyfunction("""COMPUTED_VALUE"""),13)</f>
        <v>13</v>
      </c>
      <c r="AO41" s="4">
        <f t="shared" ca="1" si="11"/>
        <v>3</v>
      </c>
      <c r="AP41" s="4">
        <v>3</v>
      </c>
      <c r="AQ41" s="4">
        <v>1</v>
      </c>
      <c r="AR41" s="4">
        <f t="shared" si="12"/>
        <v>3</v>
      </c>
      <c r="AS41" s="4">
        <f t="shared" ca="1" si="13"/>
        <v>6</v>
      </c>
      <c r="AT41" s="4">
        <f ca="1">IFERROR(__xludf.dummyfunction("filter('Проекты'!BB:BB,'Проекты'!A:A=J41)"),2.8)</f>
        <v>2.8</v>
      </c>
      <c r="AU41" s="4">
        <f ca="1">IFERROR(__xludf.dummyfunction("filter('Проекты'!BE:BE,'Проекты'!A:A=J41)"),0)</f>
        <v>0</v>
      </c>
      <c r="AV41" s="11">
        <f t="shared" ca="1" si="14"/>
        <v>47</v>
      </c>
      <c r="AW41" s="4" t="str">
        <f t="shared" ca="1" si="15"/>
        <v>Неудовлетворительно</v>
      </c>
    </row>
    <row r="42" spans="1:49" ht="15.75" customHeight="1">
      <c r="A42" s="6" t="s">
        <v>248</v>
      </c>
      <c r="B42" s="6" t="s">
        <v>248</v>
      </c>
      <c r="C42" s="6"/>
      <c r="D42" s="6">
        <v>1304</v>
      </c>
      <c r="E42" s="6" t="s">
        <v>249</v>
      </c>
      <c r="F42" s="6" t="s">
        <v>249</v>
      </c>
      <c r="G42" s="6" t="s">
        <v>250</v>
      </c>
      <c r="H42" s="6" t="s">
        <v>251</v>
      </c>
      <c r="I42" s="4" t="s">
        <v>1057</v>
      </c>
      <c r="J42" s="7">
        <f ca="1">IFERROR(__xludf.dummyfunction("index(split(I42,char(9)),1,1)"),9)</f>
        <v>9</v>
      </c>
      <c r="K42" s="7">
        <f ca="1">IFERROR(__xludf.dummyfunction("ifna(index(filter('Посещаемость_баллы'!$A:$L,'Посещаемость_баллы'!$B:$B=$B42,'Посещаемость_баллы'!$C:$C=$C42,'Посещаемость_баллы'!$D:$D=$D42),1,12)*10,0)"),0)</f>
        <v>0</v>
      </c>
      <c r="L42" s="7">
        <f>ROUNDDOWN(IFERROR(VALUE(VLOOKUP(H42,'Онлайн-курс1'!B:F,5,FALSE())),IFERROR(VALUE(VLOOKUP(H42,'Онлайн-курс1'!C:F,4,FALSE())),0))/40*20,0)
+ IFERROR(VALUE(SUBSTITUTE(VLOOKUP(H42,'Онлайн-курс2'!B:I,7,FALSE()),".",",")),IFERROR(VALUE(SUBSTITUTE(VLOOKUP(H42,'Онлайн-курс2'!C:I,6,FALSE()),".",",")),0))*2</f>
        <v>20</v>
      </c>
      <c r="M42" s="8" t="s">
        <v>250</v>
      </c>
      <c r="N42" s="9">
        <v>1</v>
      </c>
      <c r="O42" s="4" t="s">
        <v>252</v>
      </c>
      <c r="P42" s="4">
        <v>0</v>
      </c>
      <c r="Q42" s="10" t="str">
        <f ca="1">IFERROR(__xludf.dummyfunction("iferror(index(QUERY(commits!A$2:$K1001, ""select Count(C) where lower(D) = lower('""&amp;G42&amp;""')""),2,1),""-"")"),"-")</f>
        <v>-</v>
      </c>
      <c r="R42" s="4" t="s">
        <v>40</v>
      </c>
      <c r="S42" s="4">
        <v>1</v>
      </c>
      <c r="T42" s="4">
        <f ca="1">VLOOKUP(A42,Расчёт_оценок!A:C,3,FALSE())</f>
        <v>6</v>
      </c>
      <c r="U42" s="4">
        <f ca="1">IFERROR(VLOOKUP(J42,Проекты!A:P,16,FALSE()),0)</f>
        <v>4</v>
      </c>
      <c r="V42" s="4" t="s">
        <v>40</v>
      </c>
      <c r="W42" s="4">
        <v>0</v>
      </c>
      <c r="X42" s="4">
        <v>4</v>
      </c>
      <c r="Y42" s="4">
        <v>0</v>
      </c>
      <c r="Z42" s="4">
        <v>3</v>
      </c>
      <c r="AA42" s="4">
        <v>3</v>
      </c>
      <c r="AB42" s="4">
        <v>2</v>
      </c>
      <c r="AC42" s="4">
        <f t="shared" si="8"/>
        <v>3</v>
      </c>
      <c r="AD42" s="4">
        <v>2.2999999999999998</v>
      </c>
      <c r="AE42" s="4">
        <v>3</v>
      </c>
      <c r="AF42" s="4">
        <v>3</v>
      </c>
      <c r="AG42" s="4">
        <v>1.5</v>
      </c>
      <c r="AH42" s="4">
        <f ca="1">IFERROR(__xludf.dummyfunction("if(isna(filter(prs!C:U,prs!I:I=G42,prs!G:G&gt;DATE(2024,3,28),prs!G:G&lt;DATE(2024,4,26))),0,countunique(index(filter(prs!C:U,prs!I:I=G42,prs!G:G&gt;DATE(2024,3,28),prs!G:G&lt;DATE(2024,4,26)),,1)))"),2)</f>
        <v>2</v>
      </c>
      <c r="AI42" s="4">
        <f ca="1">IFERROR(__xludf.dummyfunction("if(isna(filter(prs!C:U,prs!I:I=G42,prs!R:R&lt;&gt;""Empty field"",prs!G:G&gt;DATE(2024,3,28),prs!G:G&lt;DATE(2024,4,26))),0,countunique(index(filter(prs!C:U,prs!I:I=G42,prs!R:R&lt;&gt;""Empty field"",prs!G:G&gt;DATE(2024,3,28),prs!G:G&lt;DATE(2024,4,26)),,1)))"),2)</f>
        <v>2</v>
      </c>
      <c r="AJ42" s="4">
        <f t="shared" ca="1" si="9"/>
        <v>3</v>
      </c>
      <c r="AK42" s="4">
        <f t="shared" ca="1" si="10"/>
        <v>4.5</v>
      </c>
      <c r="AL42" s="4">
        <f ca="1">IFERROR(__xludf.dummyfunction("filter('Проекты'!AT:AT,'Проекты'!A:A=J42)"),3.9)</f>
        <v>3.9</v>
      </c>
      <c r="AM42" s="4">
        <f ca="1">IFERROR(__xludf.dummyfunction("ifna(filter(commits_results!H:I,commits_results!B:B=A42,commits_results!A:A=J42),)"),3)</f>
        <v>3</v>
      </c>
      <c r="AN42" s="4">
        <f ca="1">IFERROR(__xludf.dummyfunction("""COMPUTED_VALUE"""),3)</f>
        <v>3</v>
      </c>
      <c r="AO42" s="4">
        <f t="shared" ca="1" si="11"/>
        <v>3</v>
      </c>
      <c r="AP42" s="4">
        <f ca="1">IFERROR(__xludf.dummyfunction("if(isna(filter(prs!C:U,prs!I:I=G42,prs!G:G&gt;DATE(2024,4,25),prs!G:G&lt;DATE(2024,5,23))),0,countunique(index(filter(prs!C:U,prs!I:I=G42,prs!G:G&gt;DATE(2024,4,25),prs!G:G&lt;DATE(2024,5,23)),,1)))"),3)</f>
        <v>3</v>
      </c>
      <c r="AQ42" s="4">
        <f ca="1">IFERROR(__xludf.dummyfunction("if(isna(filter(prs!C:U,prs!I:I=G42,prs!R:R&lt;&gt;""Empty field"",prs!G:G&gt;DATE(2024,4,25),prs!G:G&lt;DATE(2024,5,23))),0,countunique(index(filter(prs!C:U,prs!I:I=G42,prs!R:R&lt;&gt;""Empty field"",prs!G:G&gt;DATE(2024,4,25),prs!G:G&lt;DATE(2024,5,23)),,1)))"),3)</f>
        <v>3</v>
      </c>
      <c r="AR42" s="4">
        <f t="shared" ca="1" si="12"/>
        <v>3</v>
      </c>
      <c r="AS42" s="4">
        <f t="shared" ca="1" si="13"/>
        <v>6</v>
      </c>
      <c r="AT42" s="4">
        <f ca="1">IFERROR(__xludf.dummyfunction("filter('Проекты'!BB:BB,'Проекты'!A:A=J42)"),4)</f>
        <v>4</v>
      </c>
      <c r="AU42" s="4">
        <f ca="1">IFERROR(__xludf.dummyfunction("filter('Проекты'!BE:BE,'Проекты'!A:A=J42)"),0)</f>
        <v>0</v>
      </c>
      <c r="AV42" s="11">
        <f t="shared" ca="1" si="14"/>
        <v>54</v>
      </c>
      <c r="AW42" s="4" t="str">
        <f t="shared" ca="1" si="15"/>
        <v>Неудовлетворительно</v>
      </c>
    </row>
    <row r="43" spans="1:49" ht="15.75" customHeight="1">
      <c r="A43" s="6" t="s">
        <v>253</v>
      </c>
      <c r="B43" s="6" t="s">
        <v>253</v>
      </c>
      <c r="C43" s="6"/>
      <c r="D43" s="6">
        <v>1304</v>
      </c>
      <c r="E43" s="6" t="s">
        <v>254</v>
      </c>
      <c r="F43" s="6" t="s">
        <v>254</v>
      </c>
      <c r="G43" s="6" t="s">
        <v>255</v>
      </c>
      <c r="H43" s="6" t="s">
        <v>256</v>
      </c>
      <c r="I43" s="4" t="s">
        <v>1058</v>
      </c>
      <c r="J43" s="7">
        <f ca="1">IFERROR(__xludf.dummyfunction("index(split(I43,char(9)),1,1)"),9)</f>
        <v>9</v>
      </c>
      <c r="K43" s="7">
        <f ca="1">IFERROR(__xludf.dummyfunction("ifna(index(filter('Посещаемость_баллы'!$A:$L,'Посещаемость_баллы'!$B:$B=$B43,'Посещаемость_баллы'!$C:$C=$C43,'Посещаемость_баллы'!$D:$D=$D43),1,12)*10,0)"),8)</f>
        <v>8</v>
      </c>
      <c r="L43" s="7">
        <f>ROUNDDOWN(IFERROR(VALUE(VLOOKUP(H43,'Онлайн-курс1'!B:F,5,FALSE())),IFERROR(VALUE(VLOOKUP(H43,'Онлайн-курс1'!C:F,4,FALSE())),0))/40*20,0)
+ IFERROR(VALUE(SUBSTITUTE(VLOOKUP(H43,'Онлайн-курс2'!B:I,7,FALSE()),".",",")),IFERROR(VALUE(SUBSTITUTE(VLOOKUP(H43,'Онлайн-курс2'!C:I,6,FALSE()),".",",")),0))*2</f>
        <v>20</v>
      </c>
      <c r="M43" s="8" t="s">
        <v>255</v>
      </c>
      <c r="N43" s="9">
        <v>1</v>
      </c>
      <c r="O43" s="4" t="s">
        <v>257</v>
      </c>
      <c r="P43" s="4">
        <v>0</v>
      </c>
      <c r="Q43" s="10" t="str">
        <f ca="1">IFERROR(__xludf.dummyfunction("iferror(index(QUERY(commits!A$2:$K1001, ""select Count(C) where lower(D) = lower('""&amp;G43&amp;""')""),2,1),""-"")"),"-")</f>
        <v>-</v>
      </c>
      <c r="R43" s="4" t="s">
        <v>103</v>
      </c>
      <c r="S43" s="4">
        <v>2</v>
      </c>
      <c r="T43" s="4">
        <f ca="1">VLOOKUP(A43,Расчёт_оценок!A:C,3,FALSE())</f>
        <v>6</v>
      </c>
      <c r="U43" s="4">
        <f ca="1">IFERROR(VLOOKUP(J43,Проекты!A:P,16,FALSE()),0)</f>
        <v>4</v>
      </c>
      <c r="V43" s="4" t="s">
        <v>103</v>
      </c>
      <c r="W43" s="4">
        <v>0</v>
      </c>
      <c r="X43" s="4">
        <v>4</v>
      </c>
      <c r="Y43" s="4">
        <v>0</v>
      </c>
      <c r="Z43" s="4">
        <v>4</v>
      </c>
      <c r="AA43" s="4">
        <v>4</v>
      </c>
      <c r="AB43" s="4">
        <v>2</v>
      </c>
      <c r="AC43" s="4">
        <f t="shared" si="8"/>
        <v>3</v>
      </c>
      <c r="AD43" s="4">
        <v>2.2999999999999998</v>
      </c>
      <c r="AE43" s="4">
        <v>3</v>
      </c>
      <c r="AF43" s="4">
        <v>3</v>
      </c>
      <c r="AG43" s="4">
        <v>1.5</v>
      </c>
      <c r="AH43" s="4">
        <f ca="1">IFERROR(__xludf.dummyfunction("if(isna(filter(prs!C:U,prs!I:I=G43,prs!G:G&gt;DATE(2024,3,28),prs!G:G&lt;DATE(2024,4,26))),0,countunique(index(filter(prs!C:U,prs!I:I=G43,prs!G:G&gt;DATE(2024,3,28),prs!G:G&lt;DATE(2024,4,26)),,1)))"),4)</f>
        <v>4</v>
      </c>
      <c r="AI43" s="4">
        <f ca="1">IFERROR(__xludf.dummyfunction("if(isna(filter(prs!C:U,prs!I:I=G43,prs!R:R&lt;&gt;""Empty field"",prs!G:G&gt;DATE(2024,3,28),prs!G:G&lt;DATE(2024,4,26))),0,countunique(index(filter(prs!C:U,prs!I:I=G43,prs!R:R&lt;&gt;""Empty field"",prs!G:G&gt;DATE(2024,3,28),prs!G:G&lt;DATE(2024,4,26)),,1)))"),4)</f>
        <v>4</v>
      </c>
      <c r="AJ43" s="4">
        <f t="shared" ca="1" si="9"/>
        <v>3</v>
      </c>
      <c r="AK43" s="4">
        <f t="shared" ca="1" si="10"/>
        <v>4.5</v>
      </c>
      <c r="AL43" s="4">
        <f ca="1">IFERROR(__xludf.dummyfunction("filter('Проекты'!AT:AT,'Проекты'!A:A=J43)"),3.9)</f>
        <v>3.9</v>
      </c>
      <c r="AM43" s="4">
        <f ca="1">IFERROR(__xludf.dummyfunction("ifna(filter(commits_results!H:I,commits_results!B:B=A43,commits_results!A:A=J43),)"),0)</f>
        <v>0</v>
      </c>
      <c r="AN43" s="4">
        <f ca="1">IFERROR(__xludf.dummyfunction("""COMPUTED_VALUE"""),0)</f>
        <v>0</v>
      </c>
      <c r="AO43" s="4">
        <f t="shared" ca="1" si="11"/>
        <v>0</v>
      </c>
      <c r="AP43" s="4">
        <f ca="1">IFERROR(__xludf.dummyfunction("if(isna(filter(prs!C:U,prs!I:I=G43,prs!G:G&gt;DATE(2024,4,25),prs!G:G&lt;DATE(2024,5,23))),0,countunique(index(filter(prs!C:U,prs!I:I=G43,prs!G:G&gt;DATE(2024,4,25),prs!G:G&lt;DATE(2024,5,23)),,1)))"),0)</f>
        <v>0</v>
      </c>
      <c r="AQ43" s="4">
        <f ca="1">IFERROR(__xludf.dummyfunction("if(isna(filter(prs!C:U,prs!I:I=G43,prs!R:R&lt;&gt;""Empty field"",prs!G:G&gt;DATE(2024,4,25),prs!G:G&lt;DATE(2024,5,23))),0,countunique(index(filter(prs!C:U,prs!I:I=G43,prs!R:R&lt;&gt;""Empty field"",prs!G:G&gt;DATE(2024,4,25),prs!G:G&lt;DATE(2024,5,23)),,1)))"),0)</f>
        <v>0</v>
      </c>
      <c r="AR43" s="4">
        <f t="shared" ca="1" si="12"/>
        <v>0</v>
      </c>
      <c r="AS43" s="4">
        <f t="shared" ca="1" si="13"/>
        <v>0</v>
      </c>
      <c r="AT43" s="4">
        <f ca="1">IFERROR(__xludf.dummyfunction("filter('Проекты'!BB:BB,'Проекты'!A:A=J43)"),4)</f>
        <v>4</v>
      </c>
      <c r="AU43" s="4">
        <f ca="1">IFERROR(__xludf.dummyfunction("filter('Проекты'!BE:BE,'Проекты'!A:A=J43)"),0)</f>
        <v>0</v>
      </c>
      <c r="AV43" s="11">
        <f t="shared" ca="1" si="14"/>
        <v>56</v>
      </c>
      <c r="AW43" s="4" t="str">
        <f t="shared" ca="1" si="15"/>
        <v>Неудовлетворительно</v>
      </c>
    </row>
    <row r="44" spans="1:49" ht="15.75" customHeight="1">
      <c r="A44" s="6" t="s">
        <v>258</v>
      </c>
      <c r="B44" s="6" t="s">
        <v>258</v>
      </c>
      <c r="C44" s="6"/>
      <c r="D44" s="6">
        <v>1304</v>
      </c>
      <c r="E44" s="6" t="s">
        <v>259</v>
      </c>
      <c r="F44" s="6" t="s">
        <v>259</v>
      </c>
      <c r="G44" s="6" t="s">
        <v>260</v>
      </c>
      <c r="H44" s="6" t="s">
        <v>261</v>
      </c>
      <c r="I44" s="4" t="s">
        <v>1059</v>
      </c>
      <c r="J44" s="7">
        <f ca="1">IFERROR(__xludf.dummyfunction("index(split(I44,char(9)),1,1)"),5)</f>
        <v>5</v>
      </c>
      <c r="K44" s="7">
        <f ca="1">IFERROR(__xludf.dummyfunction("ifna(index(filter('Посещаемость_баллы'!$A:$L,'Посещаемость_баллы'!$B:$B=$B44,'Посещаемость_баллы'!$C:$C=$C44,'Посещаемость_баллы'!$D:$D=$D44),1,12)*10,0)"),10)</f>
        <v>10</v>
      </c>
      <c r="L44" s="7">
        <f>ROUNDDOWN(IFERROR(VALUE(VLOOKUP(H44,'Онлайн-курс1'!B:F,5,FALSE())),IFERROR(VALUE(VLOOKUP(H44,'Онлайн-курс1'!C:F,4,FALSE())),0))/40*20,0)
+ IFERROR(VALUE(SUBSTITUTE(VLOOKUP(H44,'Онлайн-курс2'!B:I,7,FALSE()),".",",")),IFERROR(VALUE(SUBSTITUTE(VLOOKUP(H44,'Онлайн-курс2'!C:I,6,FALSE()),".",",")),0))*2</f>
        <v>0</v>
      </c>
      <c r="M44" s="8" t="s">
        <v>260</v>
      </c>
      <c r="N44" s="9">
        <v>1</v>
      </c>
      <c r="O44" s="4" t="s">
        <v>262</v>
      </c>
      <c r="P44" s="4">
        <v>0</v>
      </c>
      <c r="Q44" s="10" t="str">
        <f ca="1">IFERROR(__xludf.dummyfunction("iferror(index(QUERY(commits!A$2:$K1001, ""select Count(C) where lower(D) = lower('""&amp;G44&amp;""')""),2,1),""-"")"),"-")</f>
        <v>-</v>
      </c>
      <c r="R44" s="4" t="s">
        <v>54</v>
      </c>
      <c r="S44" s="4" t="s">
        <v>47</v>
      </c>
      <c r="T44" s="4">
        <f ca="1">VLOOKUP(A44,Расчёт_оценок!A:C,3,FALSE())</f>
        <v>6</v>
      </c>
      <c r="U44" s="4">
        <f ca="1">IFERROR(VLOOKUP(J44,Проекты!A:P,16,FALSE()),0)</f>
        <v>4</v>
      </c>
      <c r="V44" s="4" t="s">
        <v>40</v>
      </c>
      <c r="W44" s="4">
        <v>3</v>
      </c>
      <c r="X44" s="4">
        <v>6</v>
      </c>
      <c r="Y44" s="4">
        <v>1.5</v>
      </c>
      <c r="Z44" s="4">
        <v>1</v>
      </c>
      <c r="AA44" s="4">
        <v>1</v>
      </c>
      <c r="AB44" s="4">
        <v>1</v>
      </c>
      <c r="AC44" s="4">
        <f t="shared" si="8"/>
        <v>3.5</v>
      </c>
      <c r="AD44" s="4">
        <v>2.8</v>
      </c>
      <c r="AE44" s="4">
        <v>15</v>
      </c>
      <c r="AF44" s="4">
        <v>16</v>
      </c>
      <c r="AG44" s="4">
        <v>3</v>
      </c>
      <c r="AH44" s="4">
        <f ca="1">IFERROR(__xludf.dummyfunction("if(isna(filter(prs!C:U,prs!I:I=G44,prs!G:G&gt;DATE(2024,3,28),prs!G:G&lt;DATE(2024,4,26))),0,countunique(index(filter(prs!C:U,prs!I:I=G44,prs!G:G&gt;DATE(2024,3,28),prs!G:G&lt;DATE(2024,4,26)),,1)))"),8)</f>
        <v>8</v>
      </c>
      <c r="AI44" s="4">
        <f ca="1">IFERROR(__xludf.dummyfunction("if(isna(filter(prs!C:U,prs!I:I=G44,prs!R:R&lt;&gt;""Empty field"",prs!G:G&gt;DATE(2024,3,28),prs!G:G&lt;DATE(2024,4,26))),0,countunique(index(filter(prs!C:U,prs!I:I=G44,prs!R:R&lt;&gt;""Empty field"",prs!G:G&gt;DATE(2024,3,28),prs!G:G&lt;DATE(2024,4,26)),,1)))"),6)</f>
        <v>6</v>
      </c>
      <c r="AJ44" s="4">
        <f t="shared" ca="1" si="9"/>
        <v>3</v>
      </c>
      <c r="AK44" s="4">
        <f t="shared" ca="1" si="10"/>
        <v>6</v>
      </c>
      <c r="AL44" s="4">
        <f ca="1">IFERROR(__xludf.dummyfunction("filter('Проекты'!AT:AT,'Проекты'!A:A=J44)"),3.5)</f>
        <v>3.5</v>
      </c>
      <c r="AM44" s="4">
        <f ca="1">IFERROR(__xludf.dummyfunction("ifna(filter(commits_results!H:I,commits_results!B:B=A44,commits_results!A:A=J44),)"),10)</f>
        <v>10</v>
      </c>
      <c r="AN44" s="4">
        <f ca="1">IFERROR(__xludf.dummyfunction("""COMPUTED_VALUE"""),10)</f>
        <v>10</v>
      </c>
      <c r="AO44" s="4">
        <f t="shared" ca="1" si="11"/>
        <v>3</v>
      </c>
      <c r="AP44" s="4">
        <f ca="1">IFERROR(__xludf.dummyfunction("if(isna(filter(prs!C:U,prs!I:I=G44,prs!G:G&gt;DATE(2024,4,25),prs!G:G&lt;DATE(2024,5,23))),0,countunique(index(filter(prs!C:U,prs!I:I=G44,prs!G:G&gt;DATE(2024,4,25),prs!G:G&lt;DATE(2024,5,23)),,1)))"),1)</f>
        <v>1</v>
      </c>
      <c r="AQ44" s="4">
        <f ca="1">IFERROR(__xludf.dummyfunction("if(isna(filter(prs!C:U,prs!I:I=G44,prs!R:R&lt;&gt;""Empty field"",prs!G:G&gt;DATE(2024,4,25),prs!G:G&lt;DATE(2024,5,23))),0,countunique(index(filter(prs!C:U,prs!I:I=G44,prs!R:R&lt;&gt;""Empty field"",prs!G:G&gt;DATE(2024,4,25),prs!G:G&lt;DATE(2024,5,23)),,1)))"),1)</f>
        <v>1</v>
      </c>
      <c r="AR44" s="4">
        <f t="shared" ca="1" si="12"/>
        <v>3</v>
      </c>
      <c r="AS44" s="4">
        <f t="shared" ca="1" si="13"/>
        <v>6</v>
      </c>
      <c r="AT44" s="4">
        <f ca="1">IFERROR(__xludf.dummyfunction("filter('Проекты'!BB:BB,'Проекты'!A:A=J44)"),2.7)</f>
        <v>2.7</v>
      </c>
      <c r="AU44" s="4">
        <f ca="1">IFERROR(__xludf.dummyfunction("filter('Проекты'!BE:BE,'Проекты'!A:A=J44)"),0)</f>
        <v>0</v>
      </c>
      <c r="AV44" s="11">
        <f t="shared" ca="1" si="14"/>
        <v>45</v>
      </c>
      <c r="AW44" s="4" t="str">
        <f t="shared" ca="1" si="15"/>
        <v>Неудовлетворительно</v>
      </c>
    </row>
    <row r="45" spans="1:49" ht="15.75" customHeight="1">
      <c r="A45" s="6" t="s">
        <v>263</v>
      </c>
      <c r="B45" s="6" t="s">
        <v>263</v>
      </c>
      <c r="C45" s="6"/>
      <c r="D45" s="6">
        <v>1304</v>
      </c>
      <c r="E45" s="6" t="s">
        <v>264</v>
      </c>
      <c r="F45" s="6" t="s">
        <v>264</v>
      </c>
      <c r="G45" s="6" t="s">
        <v>265</v>
      </c>
      <c r="H45" s="6" t="s">
        <v>266</v>
      </c>
      <c r="I45" s="4" t="s">
        <v>1060</v>
      </c>
      <c r="J45" s="7">
        <f ca="1">IFERROR(__xludf.dummyfunction("index(split(I45,char(9)),1,1)"),3)</f>
        <v>3</v>
      </c>
      <c r="K45" s="7">
        <f ca="1">IFERROR(__xludf.dummyfunction("ifna(index(filter('Посещаемость_баллы'!$A:$L,'Посещаемость_баллы'!$B:$B=$B45,'Посещаемость_баллы'!$C:$C=$C45,'Посещаемость_баллы'!$D:$D=$D45),1,12)*10,0)"),10)</f>
        <v>10</v>
      </c>
      <c r="L45" s="7">
        <f>ROUNDDOWN(IFERROR(VALUE(VLOOKUP(H45,'Онлайн-курс1'!B:F,5,FALSE())),IFERROR(VALUE(VLOOKUP(H45,'Онлайн-курс1'!C:F,4,FALSE())),0))/40*20,0)
+ IFERROR(VALUE(SUBSTITUTE(VLOOKUP(H45,'Онлайн-курс2'!B:I,7,FALSE()),".",",")),IFERROR(VALUE(SUBSTITUTE(VLOOKUP(H45,'Онлайн-курс2'!C:I,6,FALSE()),".",",")),0))*2</f>
        <v>20</v>
      </c>
      <c r="M45" s="8" t="s">
        <v>265</v>
      </c>
      <c r="N45" s="9">
        <v>1</v>
      </c>
      <c r="O45" s="4" t="s">
        <v>267</v>
      </c>
      <c r="P45" s="4">
        <v>0</v>
      </c>
      <c r="Q45" s="10" t="str">
        <f ca="1">IFERROR(__xludf.dummyfunction("iferror(index(QUERY(commits!A$2:$K1001, ""select Count(C) where lower(D) = lower('""&amp;G45&amp;""')""),2,1),""-"")"),"-")</f>
        <v>-</v>
      </c>
      <c r="R45" s="4" t="s">
        <v>77</v>
      </c>
      <c r="S45" s="4" t="s">
        <v>47</v>
      </c>
      <c r="T45" s="4">
        <f ca="1">VLOOKUP(A45,Расчёт_оценок!A:C,3,FALSE())</f>
        <v>6</v>
      </c>
      <c r="U45" s="4">
        <f ca="1">IFERROR(VLOOKUP(J45,Проекты!A:P,16,FALSE()),0)</f>
        <v>4</v>
      </c>
      <c r="V45" s="4" t="s">
        <v>148</v>
      </c>
      <c r="W45" s="4">
        <v>13</v>
      </c>
      <c r="X45" s="4">
        <v>13</v>
      </c>
      <c r="Y45" s="4">
        <v>3</v>
      </c>
      <c r="Z45" s="4">
        <v>6</v>
      </c>
      <c r="AA45" s="4">
        <v>5</v>
      </c>
      <c r="AB45" s="4">
        <v>2</v>
      </c>
      <c r="AC45" s="4">
        <f t="shared" si="8"/>
        <v>6</v>
      </c>
      <c r="AD45" s="4">
        <v>4</v>
      </c>
      <c r="AE45" s="4">
        <v>1</v>
      </c>
      <c r="AF45" s="4">
        <v>21</v>
      </c>
      <c r="AG45" s="4">
        <v>3</v>
      </c>
      <c r="AH45" s="4">
        <f ca="1">IFERROR(__xludf.dummyfunction("if(isna(filter(prs!C:U,prs!I:I=G45,prs!G:G&gt;DATE(2024,3,28),prs!G:G&lt;DATE(2024,4,26))),0,countunique(index(filter(prs!C:U,prs!I:I=G45,prs!G:G&gt;DATE(2024,3,28),prs!G:G&lt;DATE(2024,4,26)),,1)))"),20)</f>
        <v>20</v>
      </c>
      <c r="AI45" s="4">
        <f ca="1">IFERROR(__xludf.dummyfunction("if(isna(filter(prs!C:U,prs!I:I=G45,prs!R:R&lt;&gt;""Empty field"",prs!G:G&gt;DATE(2024,3,28),prs!G:G&lt;DATE(2024,4,26))),0,countunique(index(filter(prs!C:U,prs!I:I=G45,prs!R:R&lt;&gt;""Empty field"",prs!G:G&gt;DATE(2024,3,28),prs!G:G&lt;DATE(2024,4,26)),,1)))"),20)</f>
        <v>20</v>
      </c>
      <c r="AJ45" s="4">
        <f t="shared" ca="1" si="9"/>
        <v>3</v>
      </c>
      <c r="AK45" s="4">
        <f t="shared" ca="1" si="10"/>
        <v>6</v>
      </c>
      <c r="AL45" s="4">
        <f ca="1">IFERROR(__xludf.dummyfunction("filter('Проекты'!AT:AT,'Проекты'!A:A=J45)"),4)</f>
        <v>4</v>
      </c>
      <c r="AM45" s="4">
        <f ca="1">IFERROR(__xludf.dummyfunction("ifna(filter(commits_results!H:I,commits_results!B:B=A45,commits_results!A:A=J45),)"),24)</f>
        <v>24</v>
      </c>
      <c r="AN45" s="4">
        <f ca="1">IFERROR(__xludf.dummyfunction("""COMPUTED_VALUE"""),24)</f>
        <v>24</v>
      </c>
      <c r="AO45" s="4">
        <f t="shared" ca="1" si="11"/>
        <v>3</v>
      </c>
      <c r="AP45" s="4">
        <f ca="1">IFERROR(__xludf.dummyfunction("if(isna(filter(prs!C:U,prs!I:I=G45,prs!G:G&gt;DATE(2024,4,25),prs!G:G&lt;DATE(2024,5,23))),0,countunique(index(filter(prs!C:U,prs!I:I=G45,prs!G:G&gt;DATE(2024,4,25),prs!G:G&lt;DATE(2024,5,23)),,1)))"),8)</f>
        <v>8</v>
      </c>
      <c r="AQ45" s="4">
        <f ca="1">IFERROR(__xludf.dummyfunction("if(isna(filter(prs!C:U,prs!I:I=G45,prs!R:R&lt;&gt;""Empty field"",prs!G:G&gt;DATE(2024,4,25),prs!G:G&lt;DATE(2024,5,23))),0,countunique(index(filter(prs!C:U,prs!I:I=G45,prs!R:R&lt;&gt;""Empty field"",prs!G:G&gt;DATE(2024,4,25),prs!G:G&lt;DATE(2024,5,23)),,1)))"),8)</f>
        <v>8</v>
      </c>
      <c r="AR45" s="4">
        <f t="shared" ca="1" si="12"/>
        <v>3</v>
      </c>
      <c r="AS45" s="4">
        <f t="shared" ca="1" si="13"/>
        <v>6</v>
      </c>
      <c r="AT45" s="4">
        <f ca="1">IFERROR(__xludf.dummyfunction("filter('Проекты'!BB:BB,'Проекты'!A:A=J45)"),4)</f>
        <v>4</v>
      </c>
      <c r="AU45" s="4">
        <f ca="1">IFERROR(__xludf.dummyfunction("filter('Проекты'!BE:BE,'Проекты'!A:A=J45)"),10)</f>
        <v>10</v>
      </c>
      <c r="AV45" s="11">
        <f t="shared" ca="1" si="14"/>
        <v>80</v>
      </c>
      <c r="AW45" s="4" t="str">
        <f t="shared" ca="1" si="15"/>
        <v>Хорошо</v>
      </c>
    </row>
    <row r="46" spans="1:49" ht="15.75" customHeight="1">
      <c r="A46" s="6" t="s">
        <v>268</v>
      </c>
      <c r="B46" s="6" t="s">
        <v>268</v>
      </c>
      <c r="C46" s="6"/>
      <c r="D46" s="6">
        <v>1304</v>
      </c>
      <c r="E46" s="6" t="s">
        <v>269</v>
      </c>
      <c r="F46" s="6" t="s">
        <v>269</v>
      </c>
      <c r="G46" s="6" t="s">
        <v>270</v>
      </c>
      <c r="H46" s="6" t="s">
        <v>271</v>
      </c>
      <c r="I46" s="4" t="s">
        <v>1061</v>
      </c>
      <c r="J46" s="7">
        <f ca="1">IFERROR(__xludf.dummyfunction("index(split(I46,char(9)),1,1)"),19)</f>
        <v>19</v>
      </c>
      <c r="K46" s="7">
        <f ca="1">IFERROR(__xludf.dummyfunction("ifna(index(filter('Посещаемость_баллы'!$A:$L,'Посещаемость_баллы'!$B:$B=$B46,'Посещаемость_баллы'!$C:$C=$C46,'Посещаемость_баллы'!$D:$D=$D46),1,12)*10,0)"),8)</f>
        <v>8</v>
      </c>
      <c r="L46" s="7">
        <f>ROUNDDOWN(IFERROR(VALUE(VLOOKUP(H46,'Онлайн-курс1'!B:F,5,FALSE())),IFERROR(VALUE(VLOOKUP(H46,'Онлайн-курс1'!C:F,4,FALSE())),0))/40*20,0)
+ IFERROR(VALUE(SUBSTITUTE(VLOOKUP(H46,'Онлайн-курс2'!B:I,7,FALSE()),".",",")),IFERROR(VALUE(SUBSTITUTE(VLOOKUP(H46,'Онлайн-курс2'!C:I,6,FALSE()),".",",")),0))*2</f>
        <v>20</v>
      </c>
      <c r="M46" s="8" t="s">
        <v>270</v>
      </c>
      <c r="N46" s="9">
        <v>1</v>
      </c>
      <c r="O46" s="4" t="s">
        <v>272</v>
      </c>
      <c r="P46" s="4">
        <v>0</v>
      </c>
      <c r="Q46" s="10" t="str">
        <f ca="1">IFERROR(__xludf.dummyfunction("iferror(index(QUERY(commits!A$2:$K1001, ""select Count(C) where lower(D) = lower('""&amp;G46&amp;""')""),2,1),""-"")"),"-")</f>
        <v>-</v>
      </c>
      <c r="R46" s="4" t="s">
        <v>77</v>
      </c>
      <c r="S46" s="4" t="s">
        <v>47</v>
      </c>
      <c r="T46" s="4">
        <f ca="1">VLOOKUP(A46,Расчёт_оценок!A:C,3,FALSE())</f>
        <v>6</v>
      </c>
      <c r="U46" s="4">
        <f ca="1">IFERROR(VLOOKUP(J46,Проекты!A:P,16,FALSE()),0)</f>
        <v>4</v>
      </c>
      <c r="V46" s="4" t="s">
        <v>70</v>
      </c>
      <c r="W46" s="4">
        <v>21</v>
      </c>
      <c r="X46" s="4">
        <v>21</v>
      </c>
      <c r="Y46" s="4">
        <v>3</v>
      </c>
      <c r="Z46" s="4">
        <v>3</v>
      </c>
      <c r="AA46" s="4">
        <v>3</v>
      </c>
      <c r="AB46" s="4">
        <v>2</v>
      </c>
      <c r="AC46" s="4">
        <f t="shared" si="8"/>
        <v>6</v>
      </c>
      <c r="AD46" s="4">
        <v>4</v>
      </c>
      <c r="AE46" s="4">
        <v>17</v>
      </c>
      <c r="AF46" s="4">
        <v>17</v>
      </c>
      <c r="AG46" s="4">
        <v>3</v>
      </c>
      <c r="AH46" s="4">
        <f ca="1">IFERROR(__xludf.dummyfunction("if(isna(filter(prs!C:U,prs!I:I=G46,prs!G:G&gt;DATE(2024,3,28),prs!G:G&lt;DATE(2024,4,26))),0,countunique(index(filter(prs!C:U,prs!I:I=G46,prs!G:G&gt;DATE(2024,3,28),prs!G:G&lt;DATE(2024,4,26)),,1)))"),4)</f>
        <v>4</v>
      </c>
      <c r="AI46" s="4">
        <f ca="1">IFERROR(__xludf.dummyfunction("if(isna(filter(prs!C:U,prs!I:I=G46,prs!R:R&lt;&gt;""Empty field"",prs!G:G&gt;DATE(2024,3,28),prs!G:G&lt;DATE(2024,4,26))),0,countunique(index(filter(prs!C:U,prs!I:I=G46,prs!R:R&lt;&gt;""Empty field"",prs!G:G&gt;DATE(2024,3,28),prs!G:G&lt;DATE(2024,4,26)),,1)))"),4)</f>
        <v>4</v>
      </c>
      <c r="AJ46" s="4">
        <f t="shared" ca="1" si="9"/>
        <v>3</v>
      </c>
      <c r="AK46" s="4">
        <f t="shared" ca="1" si="10"/>
        <v>6</v>
      </c>
      <c r="AL46" s="4">
        <f ca="1">IFERROR(__xludf.dummyfunction("filter('Проекты'!AT:AT,'Проекты'!A:A=J46)"),4)</f>
        <v>4</v>
      </c>
      <c r="AM46" s="4">
        <f ca="1">IFERROR(__xludf.dummyfunction("ifna(filter(commits_results!H:I,commits_results!B:B=A46,commits_results!A:A=J46),)"),20)</f>
        <v>20</v>
      </c>
      <c r="AN46" s="4">
        <f ca="1">IFERROR(__xludf.dummyfunction("""COMPUTED_VALUE"""),20)</f>
        <v>20</v>
      </c>
      <c r="AO46" s="4">
        <f t="shared" ca="1" si="11"/>
        <v>3</v>
      </c>
      <c r="AP46" s="4">
        <f ca="1">IFERROR(__xludf.dummyfunction("if(isna(filter(prs!C:U,prs!I:I=G46,prs!G:G&gt;DATE(2024,4,25),prs!G:G&lt;DATE(2024,5,23))),0,countunique(index(filter(prs!C:U,prs!I:I=G46,prs!G:G&gt;DATE(2024,4,25),prs!G:G&lt;DATE(2024,5,23)),,1)))"),3)</f>
        <v>3</v>
      </c>
      <c r="AQ46" s="4">
        <f ca="1">IFERROR(__xludf.dummyfunction("if(isna(filter(prs!C:U,prs!I:I=G46,prs!R:R&lt;&gt;""Empty field"",prs!G:G&gt;DATE(2024,4,25),prs!G:G&lt;DATE(2024,5,23))),0,countunique(index(filter(prs!C:U,prs!I:I=G46,prs!R:R&lt;&gt;""Empty field"",prs!G:G&gt;DATE(2024,4,25),prs!G:G&lt;DATE(2024,5,23)),,1)))"),3)</f>
        <v>3</v>
      </c>
      <c r="AR46" s="4">
        <f t="shared" ca="1" si="12"/>
        <v>3</v>
      </c>
      <c r="AS46" s="4">
        <f t="shared" ca="1" si="13"/>
        <v>6</v>
      </c>
      <c r="AT46" s="4">
        <f ca="1">IFERROR(__xludf.dummyfunction("filter('Проекты'!BB:BB,'Проекты'!A:A=J46)"),4)</f>
        <v>4</v>
      </c>
      <c r="AU46" s="4">
        <f ca="1">IFERROR(__xludf.dummyfunction("filter('Проекты'!BE:BE,'Проекты'!A:A=J46)"),0)</f>
        <v>0</v>
      </c>
      <c r="AV46" s="11">
        <f t="shared" ca="1" si="14"/>
        <v>68</v>
      </c>
      <c r="AW46" s="4" t="str">
        <f t="shared" ca="1" si="15"/>
        <v>Удовлетворительно</v>
      </c>
    </row>
    <row r="47" spans="1:49" ht="15.75" customHeight="1">
      <c r="A47" s="6" t="s">
        <v>273</v>
      </c>
      <c r="B47" s="6" t="s">
        <v>273</v>
      </c>
      <c r="C47" s="6"/>
      <c r="D47" s="6">
        <v>1304</v>
      </c>
      <c r="E47" s="6" t="s">
        <v>274</v>
      </c>
      <c r="F47" s="6" t="s">
        <v>274</v>
      </c>
      <c r="G47" s="6" t="s">
        <v>275</v>
      </c>
      <c r="H47" s="6" t="s">
        <v>96</v>
      </c>
      <c r="I47" s="4" t="s">
        <v>1062</v>
      </c>
      <c r="J47" s="7">
        <f ca="1">IFERROR(__xludf.dummyfunction("index(split(I47,char(9)),1,1)"),8)</f>
        <v>8</v>
      </c>
      <c r="K47" s="7">
        <f ca="1">IFERROR(__xludf.dummyfunction("ifna(index(filter('Посещаемость_баллы'!$A:$L,'Посещаемость_баллы'!$B:$B=$B47,'Посещаемость_баллы'!$C:$C=$C47,'Посещаемость_баллы'!$D:$D=$D47),1,12)*10,0)"),8)</f>
        <v>8</v>
      </c>
      <c r="L47" s="7">
        <f>ROUNDDOWN(IFERROR(VALUE(VLOOKUP(H47,'Онлайн-курс1'!B:F,5,FALSE())),IFERROR(VALUE(VLOOKUP(H47,'Онлайн-курс1'!C:F,4,FALSE())),0))/40*20,0)
+ IFERROR(VALUE(SUBSTITUTE(VLOOKUP(H47,'Онлайн-курс2'!B:I,7,FALSE()),".",",")),IFERROR(VALUE(SUBSTITUTE(VLOOKUP(H47,'Онлайн-курс2'!C:I,6,FALSE()),".",",")),0))*2</f>
        <v>20</v>
      </c>
      <c r="M47" s="8" t="s">
        <v>275</v>
      </c>
      <c r="N47" s="9">
        <v>1</v>
      </c>
      <c r="O47" s="4" t="s">
        <v>276</v>
      </c>
      <c r="P47" s="4">
        <v>0</v>
      </c>
      <c r="Q47" s="10" t="str">
        <f ca="1">IFERROR(__xludf.dummyfunction("iferror(index(QUERY(commits!A$2:$K1001, ""select Count(C) where lower(D) = lower('""&amp;G47&amp;""')""),2,1),""-"")"),"-")</f>
        <v>-</v>
      </c>
      <c r="R47" s="4" t="s">
        <v>54</v>
      </c>
      <c r="S47" s="4" t="s">
        <v>47</v>
      </c>
      <c r="T47" s="4">
        <f ca="1">VLOOKUP(A47,Расчёт_оценок!A:C,3,FALSE())</f>
        <v>6</v>
      </c>
      <c r="U47" s="4">
        <f ca="1">IFERROR(VLOOKUP(J47,Проекты!A:P,16,FALSE()),0)</f>
        <v>4</v>
      </c>
      <c r="V47" s="4" t="s">
        <v>39</v>
      </c>
      <c r="W47" s="4">
        <v>7</v>
      </c>
      <c r="X47" s="4">
        <v>8</v>
      </c>
      <c r="Y47" s="4">
        <v>2.63</v>
      </c>
      <c r="Z47" s="4">
        <v>5</v>
      </c>
      <c r="AA47" s="4">
        <v>3</v>
      </c>
      <c r="AB47" s="4">
        <v>1.2</v>
      </c>
      <c r="AC47" s="4">
        <f t="shared" si="8"/>
        <v>4.83</v>
      </c>
      <c r="AD47" s="4">
        <v>2.6</v>
      </c>
      <c r="AE47" s="4">
        <v>20</v>
      </c>
      <c r="AF47" s="4">
        <v>20</v>
      </c>
      <c r="AG47" s="4">
        <v>3</v>
      </c>
      <c r="AH47" s="4">
        <f ca="1">IFERROR(__xludf.dummyfunction("if(isna(filter(prs!C:U,prs!I:I=G47,prs!G:G&gt;DATE(2024,3,28),prs!G:G&lt;DATE(2024,4,26))),0,countunique(index(filter(prs!C:U,prs!I:I=G47,prs!G:G&gt;DATE(2024,3,28),prs!G:G&lt;DATE(2024,4,26)),,1)))"),8)</f>
        <v>8</v>
      </c>
      <c r="AI47" s="4">
        <f ca="1">IFERROR(__xludf.dummyfunction("if(isna(filter(prs!C:U,prs!I:I=G47,prs!R:R&lt;&gt;""Empty field"",prs!G:G&gt;DATE(2024,3,28),prs!G:G&lt;DATE(2024,4,26))),0,countunique(index(filter(prs!C:U,prs!I:I=G47,prs!R:R&lt;&gt;""Empty field"",prs!G:G&gt;DATE(2024,3,28),prs!G:G&lt;DATE(2024,4,26)),,1)))"),8)</f>
        <v>8</v>
      </c>
      <c r="AJ47" s="4">
        <f t="shared" ca="1" si="9"/>
        <v>3</v>
      </c>
      <c r="AK47" s="4">
        <f t="shared" ca="1" si="10"/>
        <v>6</v>
      </c>
      <c r="AL47" s="4">
        <f ca="1">IFERROR(__xludf.dummyfunction("filter('Проекты'!AT:AT,'Проекты'!A:A=J47)"),3.7)</f>
        <v>3.7</v>
      </c>
      <c r="AM47" s="4">
        <f ca="1">IFERROR(__xludf.dummyfunction("ifna(filter(commits_results!H:I,commits_results!B:B=A47,commits_results!A:A=J47),)"),7)</f>
        <v>7</v>
      </c>
      <c r="AN47" s="4">
        <f ca="1">IFERROR(__xludf.dummyfunction("""COMPUTED_VALUE"""),7)</f>
        <v>7</v>
      </c>
      <c r="AO47" s="4">
        <f t="shared" ca="1" si="11"/>
        <v>3</v>
      </c>
      <c r="AP47" s="4">
        <f ca="1">IFERROR(__xludf.dummyfunction("if(isna(filter(prs!C:U,prs!I:I=G47,prs!G:G&gt;DATE(2024,4,25),prs!G:G&lt;DATE(2024,5,23))),0,countunique(index(filter(prs!C:U,prs!I:I=G47,prs!G:G&gt;DATE(2024,4,25),prs!G:G&lt;DATE(2024,5,23)),,1)))"),2)</f>
        <v>2</v>
      </c>
      <c r="AQ47" s="4">
        <f ca="1">IFERROR(__xludf.dummyfunction("if(isna(filter(prs!C:U,prs!I:I=G47,prs!R:R&lt;&gt;""Empty field"",prs!G:G&gt;DATE(2024,4,25),prs!G:G&lt;DATE(2024,5,23))),0,countunique(index(filter(prs!C:U,prs!I:I=G47,prs!R:R&lt;&gt;""Empty field"",prs!G:G&gt;DATE(2024,4,25),prs!G:G&lt;DATE(2024,5,23)),,1)))"),2)</f>
        <v>2</v>
      </c>
      <c r="AR47" s="4">
        <f t="shared" ca="1" si="12"/>
        <v>3</v>
      </c>
      <c r="AS47" s="4">
        <f t="shared" ca="1" si="13"/>
        <v>6</v>
      </c>
      <c r="AT47" s="4">
        <f ca="1">IFERROR(__xludf.dummyfunction("filter('Проекты'!BB:BB,'Проекты'!A:A=J47)"),2.4)</f>
        <v>2.4</v>
      </c>
      <c r="AU47" s="4">
        <f ca="1">IFERROR(__xludf.dummyfunction("filter('Проекты'!BE:BE,'Проекты'!A:A=J47)"),0)</f>
        <v>0</v>
      </c>
      <c r="AV47" s="11">
        <f t="shared" ca="1" si="14"/>
        <v>64</v>
      </c>
      <c r="AW47" s="4" t="str">
        <f t="shared" ca="1" si="15"/>
        <v>Удовлетворительно</v>
      </c>
    </row>
    <row r="48" spans="1:49" ht="15.75" customHeight="1">
      <c r="A48" s="6" t="s">
        <v>277</v>
      </c>
      <c r="B48" s="6" t="s">
        <v>277</v>
      </c>
      <c r="C48" s="6"/>
      <c r="D48" s="6">
        <v>1304</v>
      </c>
      <c r="E48" s="6" t="s">
        <v>278</v>
      </c>
      <c r="F48" s="6" t="s">
        <v>278</v>
      </c>
      <c r="G48" s="6" t="s">
        <v>279</v>
      </c>
      <c r="H48" s="6" t="s">
        <v>280</v>
      </c>
      <c r="I48" s="4" t="s">
        <v>1063</v>
      </c>
      <c r="J48" s="7">
        <f ca="1">IFERROR(__xludf.dummyfunction("index(split(I48,char(9)),1,1)"),5)</f>
        <v>5</v>
      </c>
      <c r="K48" s="7">
        <f ca="1">IFERROR(__xludf.dummyfunction("ifna(index(filter('Посещаемость_баллы'!$A:$L,'Посещаемость_баллы'!$B:$B=$B48,'Посещаемость_баллы'!$C:$C=$C48,'Посещаемость_баллы'!$D:$D=$D48),1,12)*10,0)"),8)</f>
        <v>8</v>
      </c>
      <c r="L48" s="7">
        <f>ROUNDDOWN(IFERROR(VALUE(VLOOKUP(H48,'Онлайн-курс1'!B:F,5,FALSE())),IFERROR(VALUE(VLOOKUP(H48,'Онлайн-курс1'!C:F,4,FALSE())),0))/40*20,0)
+ IFERROR(VALUE(SUBSTITUTE(VLOOKUP(H48,'Онлайн-курс2'!B:I,7,FALSE()),".",",")),IFERROR(VALUE(SUBSTITUTE(VLOOKUP(H48,'Онлайн-курс2'!C:I,6,FALSE()),".",",")),0))*2</f>
        <v>0</v>
      </c>
      <c r="M48" s="8" t="s">
        <v>279</v>
      </c>
      <c r="N48" s="9">
        <v>1</v>
      </c>
      <c r="O48" s="4" t="s">
        <v>281</v>
      </c>
      <c r="P48" s="4">
        <v>0</v>
      </c>
      <c r="Q48" s="10" t="str">
        <f ca="1">IFERROR(__xludf.dummyfunction("iferror(index(QUERY(commits!A$2:$K1001, ""select Count(C) where lower(D) = lower('""&amp;G48&amp;""')""),2,1),""-"")"),"-")</f>
        <v>-</v>
      </c>
      <c r="R48" s="4" t="s">
        <v>54</v>
      </c>
      <c r="S48" s="4" t="s">
        <v>47</v>
      </c>
      <c r="T48" s="4">
        <f ca="1">VLOOKUP(A48,Расчёт_оценок!A:C,3,FALSE())</f>
        <v>6</v>
      </c>
      <c r="U48" s="4">
        <f ca="1">IFERROR(VLOOKUP(J48,Проекты!A:P,16,FALSE()),0)</f>
        <v>4</v>
      </c>
      <c r="V48" s="4" t="s">
        <v>282</v>
      </c>
      <c r="W48" s="4">
        <v>15</v>
      </c>
      <c r="X48" s="4">
        <v>17</v>
      </c>
      <c r="Y48" s="4">
        <v>3</v>
      </c>
      <c r="Z48" s="4">
        <v>4</v>
      </c>
      <c r="AA48" s="4">
        <v>3</v>
      </c>
      <c r="AB48" s="4">
        <v>1.5</v>
      </c>
      <c r="AC48" s="4">
        <f t="shared" si="8"/>
        <v>5.5</v>
      </c>
      <c r="AD48" s="4">
        <v>2.8</v>
      </c>
      <c r="AE48" s="4">
        <v>19</v>
      </c>
      <c r="AF48" s="4">
        <v>20</v>
      </c>
      <c r="AG48" s="4">
        <v>3</v>
      </c>
      <c r="AH48" s="4">
        <f ca="1">IFERROR(__xludf.dummyfunction("if(isna(filter(prs!C:U,prs!I:I=G48,prs!G:G&gt;DATE(2024,3,28),prs!G:G&lt;DATE(2024,4,26))),0,countunique(index(filter(prs!C:U,prs!I:I=G48,prs!G:G&gt;DATE(2024,3,28),prs!G:G&lt;DATE(2024,4,26)),,1)))"),12)</f>
        <v>12</v>
      </c>
      <c r="AI48" s="4">
        <f ca="1">IFERROR(__xludf.dummyfunction("if(isna(filter(prs!C:U,prs!I:I=G48,prs!R:R&lt;&gt;""Empty field"",prs!G:G&gt;DATE(2024,3,28),prs!G:G&lt;DATE(2024,4,26))),0,countunique(index(filter(prs!C:U,prs!I:I=G48,prs!R:R&lt;&gt;""Empty field"",prs!G:G&gt;DATE(2024,3,28),prs!G:G&lt;DATE(2024,4,26)),,1)))"),10)</f>
        <v>10</v>
      </c>
      <c r="AJ48" s="4">
        <f t="shared" ca="1" si="9"/>
        <v>3</v>
      </c>
      <c r="AK48" s="4">
        <f t="shared" ca="1" si="10"/>
        <v>6</v>
      </c>
      <c r="AL48" s="4">
        <f ca="1">IFERROR(__xludf.dummyfunction("filter('Проекты'!AT:AT,'Проекты'!A:A=J48)"),3.5)</f>
        <v>3.5</v>
      </c>
      <c r="AM48" s="4">
        <f ca="1">IFERROR(__xludf.dummyfunction("ifna(filter(commits_results!H:I,commits_results!B:B=A48,commits_results!A:A=J48),)"),5)</f>
        <v>5</v>
      </c>
      <c r="AN48" s="4">
        <f ca="1">IFERROR(__xludf.dummyfunction("""COMPUTED_VALUE"""),5)</f>
        <v>5</v>
      </c>
      <c r="AO48" s="4">
        <f t="shared" ca="1" si="11"/>
        <v>3</v>
      </c>
      <c r="AP48" s="4">
        <f ca="1">IFERROR(__xludf.dummyfunction("if(isna(filter(prs!C:U,prs!I:I=G48,prs!G:G&gt;DATE(2024,4,25),prs!G:G&lt;DATE(2024,5,23))),0,countunique(index(filter(prs!C:U,prs!I:I=G48,prs!G:G&gt;DATE(2024,4,25),prs!G:G&lt;DATE(2024,5,23)),,1)))"),1)</f>
        <v>1</v>
      </c>
      <c r="AQ48" s="4">
        <f ca="1">IFERROR(__xludf.dummyfunction("if(isna(filter(prs!C:U,prs!I:I=G48,prs!R:R&lt;&gt;""Empty field"",prs!G:G&gt;DATE(2024,4,25),prs!G:G&lt;DATE(2024,5,23))),0,countunique(index(filter(prs!C:U,prs!I:I=G48,prs!R:R&lt;&gt;""Empty field"",prs!G:G&gt;DATE(2024,4,25),prs!G:G&lt;DATE(2024,5,23)),,1)))"),1)</f>
        <v>1</v>
      </c>
      <c r="AR48" s="4">
        <f t="shared" ca="1" si="12"/>
        <v>3</v>
      </c>
      <c r="AS48" s="4">
        <f t="shared" ca="1" si="13"/>
        <v>6</v>
      </c>
      <c r="AT48" s="4">
        <f ca="1">IFERROR(__xludf.dummyfunction("filter('Проекты'!BB:BB,'Проекты'!A:A=J48)"),2.7)</f>
        <v>2.7</v>
      </c>
      <c r="AU48" s="4">
        <f ca="1">IFERROR(__xludf.dummyfunction("filter('Проекты'!BE:BE,'Проекты'!A:A=J48)"),0)</f>
        <v>0</v>
      </c>
      <c r="AV48" s="11">
        <f t="shared" ca="1" si="14"/>
        <v>45</v>
      </c>
      <c r="AW48" s="4" t="str">
        <f t="shared" ca="1" si="15"/>
        <v>Неудовлетворительно</v>
      </c>
    </row>
    <row r="49" spans="1:49" ht="15.75" customHeight="1">
      <c r="A49" s="6" t="s">
        <v>283</v>
      </c>
      <c r="B49" s="6" t="s">
        <v>283</v>
      </c>
      <c r="C49" s="6"/>
      <c r="D49" s="6">
        <v>1304</v>
      </c>
      <c r="E49" s="6" t="s">
        <v>284</v>
      </c>
      <c r="F49" s="6" t="s">
        <v>284</v>
      </c>
      <c r="G49" s="6" t="s">
        <v>285</v>
      </c>
      <c r="H49" s="6" t="s">
        <v>286</v>
      </c>
      <c r="I49" s="4" t="s">
        <v>1064</v>
      </c>
      <c r="J49" s="7">
        <f ca="1">IFERROR(__xludf.dummyfunction("index(split(I49,char(9)),1,1)"),12)</f>
        <v>12</v>
      </c>
      <c r="K49" s="7">
        <f ca="1">IFERROR(__xludf.dummyfunction("ifna(index(filter('Посещаемость_баллы'!$A:$L,'Посещаемость_баллы'!$B:$B=$B49,'Посещаемость_баллы'!$C:$C=$C49,'Посещаемость_баллы'!$D:$D=$D49),1,12)*10,0)"),2)</f>
        <v>2</v>
      </c>
      <c r="L49" s="7">
        <f>ROUNDDOWN(IFERROR(VALUE(VLOOKUP(H49,'Онлайн-курс1'!B:F,5,FALSE())),IFERROR(VALUE(VLOOKUP(H49,'Онлайн-курс1'!C:F,4,FALSE())),0))/40*20,0)
+ IFERROR(VALUE(SUBSTITUTE(VLOOKUP(H49,'Онлайн-курс2'!B:I,7,FALSE()),".",",")),IFERROR(VALUE(SUBSTITUTE(VLOOKUP(H49,'Онлайн-курс2'!C:I,6,FALSE()),".",",")),0))*2</f>
        <v>20</v>
      </c>
      <c r="M49" s="8" t="s">
        <v>285</v>
      </c>
      <c r="N49" s="9">
        <v>1</v>
      </c>
      <c r="O49" s="4" t="s">
        <v>287</v>
      </c>
      <c r="P49" s="4">
        <v>0</v>
      </c>
      <c r="Q49" s="10" t="str">
        <f ca="1">IFERROR(__xludf.dummyfunction("iferror(index(QUERY(commits!A$2:$K1001, ""select Count(C) where lower(D) = lower('""&amp;G49&amp;""')""),2,1),""-"")"),"-")</f>
        <v>-</v>
      </c>
      <c r="R49" s="4" t="s">
        <v>54</v>
      </c>
      <c r="S49" s="4" t="s">
        <v>47</v>
      </c>
      <c r="T49" s="4">
        <f ca="1">VLOOKUP(A49,Расчёт_оценок!A:C,3,FALSE())</f>
        <v>5</v>
      </c>
      <c r="U49" s="4">
        <f ca="1">IFERROR(VLOOKUP(J49,Проекты!A:P,16,FALSE()),0)</f>
        <v>4</v>
      </c>
      <c r="V49" s="4" t="s">
        <v>40</v>
      </c>
      <c r="W49" s="4">
        <v>1</v>
      </c>
      <c r="X49" s="4">
        <v>1</v>
      </c>
      <c r="Y49" s="4">
        <f>IF(W49&gt;$W$140,3,IFERROR(ROUND(3*(W49/X49) * IF(W49&lt;$Y$140,0.5,1),2),0))</f>
        <v>3</v>
      </c>
      <c r="Z49" s="4">
        <v>1</v>
      </c>
      <c r="AA49" s="4">
        <v>1</v>
      </c>
      <c r="AB49" s="4">
        <v>1</v>
      </c>
      <c r="AC49" s="4">
        <f t="shared" si="8"/>
        <v>5</v>
      </c>
      <c r="AD49" s="4">
        <v>3.8</v>
      </c>
      <c r="AE49" s="4">
        <v>3</v>
      </c>
      <c r="AF49" s="4">
        <v>3</v>
      </c>
      <c r="AG49" s="4">
        <v>1.5</v>
      </c>
      <c r="AH49" s="4">
        <f ca="1">IFERROR(__xludf.dummyfunction("if(isna(filter(prs!C:U,prs!I:I=G49,prs!G:G&gt;DATE(2024,3,28),prs!G:G&lt;DATE(2024,4,26))),0,countunique(index(filter(prs!C:U,prs!I:I=G49,prs!G:G&gt;DATE(2024,3,28),prs!G:G&lt;DATE(2024,4,26)),,1)))"),2)</f>
        <v>2</v>
      </c>
      <c r="AI49" s="4">
        <f ca="1">IFERROR(__xludf.dummyfunction("if(isna(filter(prs!C:U,prs!I:I=G49,prs!R:R&lt;&gt;""Empty field"",prs!G:G&gt;DATE(2024,3,28),prs!G:G&lt;DATE(2024,4,26))),0,countunique(index(filter(prs!C:U,prs!I:I=G49,prs!R:R&lt;&gt;""Empty field"",prs!G:G&gt;DATE(2024,3,28),prs!G:G&lt;DATE(2024,4,26)),,1)))"),2)</f>
        <v>2</v>
      </c>
      <c r="AJ49" s="4">
        <f t="shared" ca="1" si="9"/>
        <v>3</v>
      </c>
      <c r="AK49" s="4">
        <f t="shared" ca="1" si="10"/>
        <v>4.5</v>
      </c>
      <c r="AL49" s="4">
        <f ca="1">IFERROR(__xludf.dummyfunction("filter('Проекты'!AT:AT,'Проекты'!A:A=J49)"),3.3)</f>
        <v>3.3</v>
      </c>
      <c r="AM49" s="4">
        <f ca="1">IFERROR(__xludf.dummyfunction("ifna(filter(commits_results!H:I,commits_results!B:B=A49,commits_results!A:A=J49),)"),2)</f>
        <v>2</v>
      </c>
      <c r="AN49" s="4">
        <f ca="1">IFERROR(__xludf.dummyfunction("""COMPUTED_VALUE"""),2)</f>
        <v>2</v>
      </c>
      <c r="AO49" s="4">
        <f t="shared" ca="1" si="11"/>
        <v>3</v>
      </c>
      <c r="AP49" s="4">
        <f ca="1">IFERROR(__xludf.dummyfunction("if(isna(filter(prs!C:U,prs!I:I=G49,prs!G:G&gt;DATE(2024,4,25),prs!G:G&lt;DATE(2024,5,23))),0,countunique(index(filter(prs!C:U,prs!I:I=G49,prs!G:G&gt;DATE(2024,4,25),prs!G:G&lt;DATE(2024,5,23)),,1)))"),2)</f>
        <v>2</v>
      </c>
      <c r="AQ49" s="4">
        <f ca="1">IFERROR(__xludf.dummyfunction("if(isna(filter(prs!C:U,prs!I:I=G49,prs!R:R&lt;&gt;""Empty field"",prs!G:G&gt;DATE(2024,4,25),prs!G:G&lt;DATE(2024,5,23))),0,countunique(index(filter(prs!C:U,prs!I:I=G49,prs!R:R&lt;&gt;""Empty field"",prs!G:G&gt;DATE(2024,4,25),prs!G:G&lt;DATE(2024,5,23)),,1)))"),2)</f>
        <v>2</v>
      </c>
      <c r="AR49" s="4">
        <f t="shared" ca="1" si="12"/>
        <v>3</v>
      </c>
      <c r="AS49" s="4">
        <f t="shared" ca="1" si="13"/>
        <v>6</v>
      </c>
      <c r="AT49" s="4">
        <f ca="1">IFERROR(__xludf.dummyfunction("filter('Проекты'!BB:BB,'Проекты'!A:A=J49)"),1.1)</f>
        <v>1.1000000000000001</v>
      </c>
      <c r="AU49" s="4">
        <f ca="1">IFERROR(__xludf.dummyfunction("filter('Проекты'!BE:BE,'Проекты'!A:A=J49)"),0)</f>
        <v>0</v>
      </c>
      <c r="AV49" s="11">
        <f t="shared" ca="1" si="14"/>
        <v>55</v>
      </c>
      <c r="AW49" s="4" t="str">
        <f t="shared" ca="1" si="15"/>
        <v>Неудовлетворительно</v>
      </c>
    </row>
    <row r="50" spans="1:49" ht="15.75" customHeight="1">
      <c r="A50" s="6" t="s">
        <v>288</v>
      </c>
      <c r="B50" s="6" t="s">
        <v>288</v>
      </c>
      <c r="C50" s="6"/>
      <c r="D50" s="6">
        <v>1304</v>
      </c>
      <c r="E50" s="6" t="s">
        <v>289</v>
      </c>
      <c r="F50" s="6" t="s">
        <v>289</v>
      </c>
      <c r="G50" s="6" t="s">
        <v>290</v>
      </c>
      <c r="H50" s="6" t="s">
        <v>291</v>
      </c>
      <c r="I50" s="4" t="s">
        <v>1065</v>
      </c>
      <c r="J50" s="7">
        <f ca="1">IFERROR(__xludf.dummyfunction("index(split(I50,char(9)),1,1)"),14)</f>
        <v>14</v>
      </c>
      <c r="K50" s="7">
        <f ca="1">IFERROR(__xludf.dummyfunction("ifna(index(filter('Посещаемость_баллы'!$A:$L,'Посещаемость_баллы'!$B:$B=$B50,'Посещаемость_баллы'!$C:$C=$C50,'Посещаемость_баллы'!$D:$D=$D50),1,12)*10,0)"),10)</f>
        <v>10</v>
      </c>
      <c r="L50" s="7">
        <f>ROUNDDOWN(IFERROR(VALUE(VLOOKUP(H50,'Онлайн-курс1'!B:F,5,FALSE())),IFERROR(VALUE(VLOOKUP(H50,'Онлайн-курс1'!C:F,4,FALSE())),0))/40*20,0)
+ IFERROR(VALUE(SUBSTITUTE(VLOOKUP(H50,'Онлайн-курс2'!B:I,7,FALSE()),".",",")),IFERROR(VALUE(SUBSTITUTE(VLOOKUP(H50,'Онлайн-курс2'!C:I,6,FALSE()),".",",")),0))*2</f>
        <v>20</v>
      </c>
      <c r="M50" s="8" t="s">
        <v>290</v>
      </c>
      <c r="N50" s="9">
        <v>1</v>
      </c>
      <c r="O50" s="4" t="s">
        <v>292</v>
      </c>
      <c r="P50" s="4">
        <v>0</v>
      </c>
      <c r="Q50" s="10" t="str">
        <f ca="1">IFERROR(__xludf.dummyfunction("iferror(index(QUERY(commits!A$2:$K1001, ""select Count(C) where lower(D) = lower('""&amp;G50&amp;""')""),2,1),""-"")"),"-")</f>
        <v>-</v>
      </c>
      <c r="R50" s="4" t="s">
        <v>131</v>
      </c>
      <c r="S50" s="4">
        <v>14</v>
      </c>
      <c r="T50" s="4">
        <f ca="1">VLOOKUP(A50,Расчёт_оценок!A:C,3,FALSE())</f>
        <v>6</v>
      </c>
      <c r="U50" s="4">
        <f ca="1">IFERROR(VLOOKUP(J50,Проекты!A:P,16,FALSE()),0)</f>
        <v>4</v>
      </c>
      <c r="V50" s="4" t="s">
        <v>103</v>
      </c>
      <c r="W50" s="4">
        <v>8</v>
      </c>
      <c r="X50" s="4">
        <v>10</v>
      </c>
      <c r="Y50" s="4">
        <f>IF(W50&gt;$W$140,3,IFERROR(ROUND(3*(W50/X50) * IF(W50&lt;$Y$140,0.5,1),2),0))</f>
        <v>3</v>
      </c>
      <c r="Z50" s="4">
        <v>3</v>
      </c>
      <c r="AA50" s="4">
        <v>3</v>
      </c>
      <c r="AB50" s="4">
        <v>2</v>
      </c>
      <c r="AC50" s="4">
        <f t="shared" si="8"/>
        <v>6</v>
      </c>
      <c r="AD50" s="4">
        <v>2.1</v>
      </c>
      <c r="AE50" s="4">
        <v>5</v>
      </c>
      <c r="AF50" s="4">
        <v>5</v>
      </c>
      <c r="AG50" s="4">
        <v>3</v>
      </c>
      <c r="AH50" s="4">
        <f ca="1">IFERROR(__xludf.dummyfunction("if(isna(filter(prs!C:U,prs!I:I=G50,prs!G:G&gt;DATE(2024,3,28),prs!G:G&lt;DATE(2024,4,26))),0,countunique(index(filter(prs!C:U,prs!I:I=G50,prs!G:G&gt;DATE(2024,3,28),prs!G:G&lt;DATE(2024,4,26)),,1)))"),6)</f>
        <v>6</v>
      </c>
      <c r="AI50" s="4">
        <f ca="1">IFERROR(__xludf.dummyfunction("if(isna(filter(prs!C:U,prs!I:I=G50,prs!R:R&lt;&gt;""Empty field"",prs!G:G&gt;DATE(2024,3,28),prs!G:G&lt;DATE(2024,4,26))),0,countunique(index(filter(prs!C:U,prs!I:I=G50,prs!R:R&lt;&gt;""Empty field"",prs!G:G&gt;DATE(2024,3,28),prs!G:G&lt;DATE(2024,4,26)),,1)))"),6)</f>
        <v>6</v>
      </c>
      <c r="AJ50" s="4">
        <f t="shared" ca="1" si="9"/>
        <v>3</v>
      </c>
      <c r="AK50" s="4">
        <f t="shared" ca="1" si="10"/>
        <v>6</v>
      </c>
      <c r="AL50" s="4">
        <f ca="1">IFERROR(__xludf.dummyfunction("filter('Проекты'!AT:AT,'Проекты'!A:A=J50)"),3.5)</f>
        <v>3.5</v>
      </c>
      <c r="AM50" s="4">
        <f ca="1">IFERROR(__xludf.dummyfunction("ifna(filter(commits_results!H:I,commits_results!B:B=A50,commits_results!A:A=J50),)"),12)</f>
        <v>12</v>
      </c>
      <c r="AN50" s="4">
        <f ca="1">IFERROR(__xludf.dummyfunction("""COMPUTED_VALUE"""),12)</f>
        <v>12</v>
      </c>
      <c r="AO50" s="4">
        <f t="shared" ca="1" si="11"/>
        <v>3</v>
      </c>
      <c r="AP50" s="4">
        <f ca="1">IFERROR(__xludf.dummyfunction("if(isna(filter(prs!C:U,prs!I:I=G50,prs!G:G&gt;DATE(2024,4,25),prs!G:G&lt;DATE(2024,5,23))),0,countunique(index(filter(prs!C:U,prs!I:I=G50,prs!G:G&gt;DATE(2024,4,25),prs!G:G&lt;DATE(2024,5,23)),,1)))"),5)</f>
        <v>5</v>
      </c>
      <c r="AQ50" s="4">
        <f ca="1">IFERROR(__xludf.dummyfunction("if(isna(filter(prs!C:U,prs!I:I=G50,prs!R:R&lt;&gt;""Empty field"",prs!G:G&gt;DATE(2024,4,25),prs!G:G&lt;DATE(2024,5,23))),0,countunique(index(filter(prs!C:U,prs!I:I=G50,prs!R:R&lt;&gt;""Empty field"",prs!G:G&gt;DATE(2024,4,25),prs!G:G&lt;DATE(2024,5,23)),,1)))"),5)</f>
        <v>5</v>
      </c>
      <c r="AR50" s="4">
        <f t="shared" ca="1" si="12"/>
        <v>3</v>
      </c>
      <c r="AS50" s="4">
        <f t="shared" ca="1" si="13"/>
        <v>6</v>
      </c>
      <c r="AT50" s="4">
        <f ca="1">IFERROR(__xludf.dummyfunction("filter('Проекты'!BB:BB,'Проекты'!A:A=J50)"),4)</f>
        <v>4</v>
      </c>
      <c r="AU50" s="4">
        <f ca="1">IFERROR(__xludf.dummyfunction("filter('Проекты'!BE:BE,'Проекты'!A:A=J50)"),0)</f>
        <v>0</v>
      </c>
      <c r="AV50" s="11">
        <f t="shared" ca="1" si="14"/>
        <v>68</v>
      </c>
      <c r="AW50" s="4" t="str">
        <f t="shared" ca="1" si="15"/>
        <v>Удовлетворительно</v>
      </c>
    </row>
    <row r="51" spans="1:49" ht="15.75" customHeight="1">
      <c r="A51" s="6" t="s">
        <v>293</v>
      </c>
      <c r="B51" s="6" t="s">
        <v>293</v>
      </c>
      <c r="C51" s="6"/>
      <c r="D51" s="6">
        <v>1304</v>
      </c>
      <c r="E51" s="6" t="s">
        <v>294</v>
      </c>
      <c r="F51" s="6" t="s">
        <v>294</v>
      </c>
      <c r="G51" s="6" t="s">
        <v>295</v>
      </c>
      <c r="H51" s="6" t="s">
        <v>296</v>
      </c>
      <c r="I51" s="4" t="s">
        <v>1066</v>
      </c>
      <c r="J51" s="7">
        <f ca="1">IFERROR(__xludf.dummyfunction("index(split(I51,char(9)),1,1)"),16)</f>
        <v>16</v>
      </c>
      <c r="K51" s="7">
        <f ca="1">IFERROR(__xludf.dummyfunction("ifna(index(filter('Посещаемость_баллы'!$A:$L,'Посещаемость_баллы'!$B:$B=$B51,'Посещаемость_баллы'!$C:$C=$C51,'Посещаемость_баллы'!$D:$D=$D51),1,12)*10,0)"),8)</f>
        <v>8</v>
      </c>
      <c r="L51" s="7">
        <f>ROUNDDOWN(IFERROR(VALUE(VLOOKUP(H51,'Онлайн-курс1'!B:F,5,FALSE())),IFERROR(VALUE(VLOOKUP(H51,'Онлайн-курс1'!C:F,4,FALSE())),0))/40*20,0)
+ IFERROR(VALUE(SUBSTITUTE(VLOOKUP(H51,'Онлайн-курс2'!B:I,7,FALSE()),".",",")),IFERROR(VALUE(SUBSTITUTE(VLOOKUP(H51,'Онлайн-курс2'!C:I,6,FALSE()),".",",")),0))*2</f>
        <v>20</v>
      </c>
      <c r="M51" s="8" t="s">
        <v>295</v>
      </c>
      <c r="N51" s="9">
        <v>1</v>
      </c>
      <c r="O51" s="4" t="s">
        <v>297</v>
      </c>
      <c r="P51" s="4">
        <v>0</v>
      </c>
      <c r="Q51" s="10" t="str">
        <f ca="1">IFERROR(__xludf.dummyfunction("iferror(index(QUERY(commits!A$2:$K1001, ""select Count(C) where lower(D) = lower('""&amp;G51&amp;""')""),2,1),""-"")"),"-")</f>
        <v>-</v>
      </c>
      <c r="R51" s="4" t="s">
        <v>298</v>
      </c>
      <c r="S51" s="4">
        <v>1</v>
      </c>
      <c r="T51" s="4">
        <f ca="1">VLOOKUP(A51,Расчёт_оценок!A:C,3,FALSE())</f>
        <v>6</v>
      </c>
      <c r="U51" s="4">
        <f ca="1">IFERROR(VLOOKUP(J51,Проекты!A:P,16,FALSE()),0)</f>
        <v>4</v>
      </c>
      <c r="V51" s="4" t="s">
        <v>299</v>
      </c>
      <c r="W51" s="4">
        <v>28</v>
      </c>
      <c r="X51" s="4">
        <v>28</v>
      </c>
      <c r="Y51" s="4">
        <v>3</v>
      </c>
      <c r="Z51" s="4">
        <v>28</v>
      </c>
      <c r="AA51" s="4">
        <v>28</v>
      </c>
      <c r="AB51" s="4">
        <v>2</v>
      </c>
      <c r="AC51" s="4">
        <f t="shared" si="8"/>
        <v>6</v>
      </c>
      <c r="AD51" s="4">
        <v>4</v>
      </c>
      <c r="AE51" s="4">
        <v>13</v>
      </c>
      <c r="AF51" s="4">
        <v>13</v>
      </c>
      <c r="AG51" s="4">
        <v>3</v>
      </c>
      <c r="AH51" s="4">
        <f ca="1">IFERROR(__xludf.dummyfunction("if(isna(filter(prs!C:U,prs!I:I=G51,prs!G:G&gt;DATE(2024,3,28),prs!G:G&lt;DATE(2024,4,26))),0,countunique(index(filter(prs!C:U,prs!I:I=G51,prs!G:G&gt;DATE(2024,3,28),prs!G:G&lt;DATE(2024,4,26)),,1)))"),26)</f>
        <v>26</v>
      </c>
      <c r="AI51" s="4">
        <f ca="1">IFERROR(__xludf.dummyfunction("if(isna(filter(prs!C:U,prs!I:I=G51,prs!R:R&lt;&gt;""Empty field"",prs!G:G&gt;DATE(2024,3,28),prs!G:G&lt;DATE(2024,4,26))),0,countunique(index(filter(prs!C:U,prs!I:I=G51,prs!R:R&lt;&gt;""Empty field"",prs!G:G&gt;DATE(2024,3,28),prs!G:G&lt;DATE(2024,4,26)),,1)))"),26)</f>
        <v>26</v>
      </c>
      <c r="AJ51" s="4">
        <f t="shared" ca="1" si="9"/>
        <v>3</v>
      </c>
      <c r="AK51" s="4">
        <f t="shared" ca="1" si="10"/>
        <v>6</v>
      </c>
      <c r="AL51" s="4">
        <f ca="1">IFERROR(__xludf.dummyfunction("filter('Проекты'!AT:AT,'Проекты'!A:A=J51)"),4)</f>
        <v>4</v>
      </c>
      <c r="AM51" s="4">
        <f ca="1">IFERROR(__xludf.dummyfunction("ifna(filter(commits_results!H:I,commits_results!B:B=A51,commits_results!A:A=J51),)"),21)</f>
        <v>21</v>
      </c>
      <c r="AN51" s="4">
        <f ca="1">IFERROR(__xludf.dummyfunction("""COMPUTED_VALUE"""),22)</f>
        <v>22</v>
      </c>
      <c r="AO51" s="4">
        <f t="shared" ca="1" si="11"/>
        <v>3</v>
      </c>
      <c r="AP51" s="4">
        <f ca="1">IFERROR(__xludf.dummyfunction("if(isna(filter(prs!C:U,prs!I:I=G51,prs!G:G&gt;DATE(2024,4,25),prs!G:G&lt;DATE(2024,5,23))),0,countunique(index(filter(prs!C:U,prs!I:I=G51,prs!G:G&gt;DATE(2024,4,25),prs!G:G&lt;DATE(2024,5,23)),,1)))"),27)</f>
        <v>27</v>
      </c>
      <c r="AQ51" s="4">
        <f ca="1">IFERROR(__xludf.dummyfunction("if(isna(filter(prs!C:U,prs!I:I=G51,prs!R:R&lt;&gt;""Empty field"",prs!G:G&gt;DATE(2024,4,25),prs!G:G&lt;DATE(2024,5,23))),0,countunique(index(filter(prs!C:U,prs!I:I=G51,prs!R:R&lt;&gt;""Empty field"",prs!G:G&gt;DATE(2024,4,25),prs!G:G&lt;DATE(2024,5,23)),,1)))"),27)</f>
        <v>27</v>
      </c>
      <c r="AR51" s="4">
        <f t="shared" ca="1" si="12"/>
        <v>3</v>
      </c>
      <c r="AS51" s="4">
        <f t="shared" ca="1" si="13"/>
        <v>6</v>
      </c>
      <c r="AT51" s="4">
        <f ca="1">IFERROR(__xludf.dummyfunction("filter('Проекты'!BB:BB,'Проекты'!A:A=J51)"),2.4)</f>
        <v>2.4</v>
      </c>
      <c r="AU51" s="4">
        <f ca="1">IFERROR(__xludf.dummyfunction("filter('Проекты'!BE:BE,'Проекты'!A:A=J51)"),0)</f>
        <v>0</v>
      </c>
      <c r="AV51" s="11">
        <f t="shared" ca="1" si="14"/>
        <v>67</v>
      </c>
      <c r="AW51" s="4" t="str">
        <f t="shared" ca="1" si="15"/>
        <v>Удовлетворительно</v>
      </c>
    </row>
    <row r="52" spans="1:49" ht="15.75" customHeight="1">
      <c r="A52" s="6" t="s">
        <v>300</v>
      </c>
      <c r="B52" s="6" t="s">
        <v>300</v>
      </c>
      <c r="C52" s="6"/>
      <c r="D52" s="6">
        <v>1304</v>
      </c>
      <c r="E52" s="6" t="s">
        <v>301</v>
      </c>
      <c r="F52" s="6" t="s">
        <v>301</v>
      </c>
      <c r="G52" s="6" t="s">
        <v>302</v>
      </c>
      <c r="H52" s="6" t="s">
        <v>303</v>
      </c>
      <c r="I52" s="4" t="s">
        <v>1067</v>
      </c>
      <c r="J52" s="7">
        <f ca="1">IFERROR(__xludf.dummyfunction("index(split(I52,char(9)),1,1)"),9)</f>
        <v>9</v>
      </c>
      <c r="K52" s="7">
        <f ca="1">IFERROR(__xludf.dummyfunction("ifna(index(filter('Посещаемость_баллы'!$A:$L,'Посещаемость_баллы'!$B:$B=$B52,'Посещаемость_баллы'!$C:$C=$C52,'Посещаемость_баллы'!$D:$D=$D52),1,12)*10,0)"),2)</f>
        <v>2</v>
      </c>
      <c r="L52" s="7">
        <f>ROUNDDOWN(IFERROR(VALUE(VLOOKUP(H52,'Онлайн-курс1'!B:F,5,FALSE())),IFERROR(VALUE(VLOOKUP(H52,'Онлайн-курс1'!C:F,4,FALSE())),0))/40*20,0)
+ IFERROR(VALUE(SUBSTITUTE(VLOOKUP(H52,'Онлайн-курс2'!B:I,7,FALSE()),".",",")),IFERROR(VALUE(SUBSTITUTE(VLOOKUP(H52,'Онлайн-курс2'!C:I,6,FALSE()),".",",")),0))*2</f>
        <v>20</v>
      </c>
      <c r="M52" s="8" t="s">
        <v>302</v>
      </c>
      <c r="N52" s="9">
        <v>1</v>
      </c>
      <c r="O52" s="4" t="s">
        <v>304</v>
      </c>
      <c r="P52" s="4">
        <v>0</v>
      </c>
      <c r="Q52" s="10" t="str">
        <f ca="1">IFERROR(__xludf.dummyfunction("iferror(index(QUERY(commits!A$2:$K1001, ""select Count(C) where lower(D) = lower('""&amp;G52&amp;""')""),2,1),""-"")"),"-")</f>
        <v>-</v>
      </c>
      <c r="R52" s="4" t="s">
        <v>103</v>
      </c>
      <c r="S52" s="4">
        <v>2</v>
      </c>
      <c r="T52" s="4">
        <f ca="1">VLOOKUP(A52,Расчёт_оценок!A:C,3,FALSE())</f>
        <v>6</v>
      </c>
      <c r="U52" s="4">
        <f ca="1">IFERROR(VLOOKUP(J52,Проекты!A:P,16,FALSE()),0)</f>
        <v>4</v>
      </c>
      <c r="V52" s="4" t="s">
        <v>71</v>
      </c>
      <c r="W52" s="4">
        <v>0</v>
      </c>
      <c r="X52" s="4">
        <v>11</v>
      </c>
      <c r="Y52" s="4">
        <v>0</v>
      </c>
      <c r="Z52" s="4">
        <v>8</v>
      </c>
      <c r="AA52" s="4">
        <v>8</v>
      </c>
      <c r="AB52" s="4">
        <v>2</v>
      </c>
      <c r="AC52" s="4">
        <f t="shared" si="8"/>
        <v>3</v>
      </c>
      <c r="AD52" s="4">
        <v>2.2999999999999998</v>
      </c>
      <c r="AE52" s="4">
        <v>6</v>
      </c>
      <c r="AF52" s="4">
        <v>6</v>
      </c>
      <c r="AG52" s="4">
        <v>3</v>
      </c>
      <c r="AH52" s="4">
        <f ca="1">IFERROR(__xludf.dummyfunction("if(isna(filter(prs!C:U,prs!I:I=G52,prs!G:G&gt;DATE(2024,3,28),prs!G:G&lt;DATE(2024,4,26))),0,countunique(index(filter(prs!C:U,prs!I:I=G52,prs!G:G&gt;DATE(2024,3,28),prs!G:G&lt;DATE(2024,4,26)),,1)))"),8)</f>
        <v>8</v>
      </c>
      <c r="AI52" s="4">
        <f ca="1">IFERROR(__xludf.dummyfunction("if(isna(filter(prs!C:U,prs!I:I=G52,prs!R:R&lt;&gt;""Empty field"",prs!G:G&gt;DATE(2024,3,28),prs!G:G&lt;DATE(2024,4,26))),0,countunique(index(filter(prs!C:U,prs!I:I=G52,prs!R:R&lt;&gt;""Empty field"",prs!G:G&gt;DATE(2024,3,28),prs!G:G&lt;DATE(2024,4,26)),,1)))"),8)</f>
        <v>8</v>
      </c>
      <c r="AJ52" s="4">
        <f t="shared" ca="1" si="9"/>
        <v>3</v>
      </c>
      <c r="AK52" s="4">
        <f t="shared" ca="1" si="10"/>
        <v>6</v>
      </c>
      <c r="AL52" s="4">
        <f ca="1">IFERROR(__xludf.dummyfunction("filter('Проекты'!AT:AT,'Проекты'!A:A=J52)"),3.9)</f>
        <v>3.9</v>
      </c>
      <c r="AM52" s="4">
        <f ca="1">IFERROR(__xludf.dummyfunction("ifna(filter(commits_results!H:I,commits_results!B:B=A52,commits_results!A:A=J52),)"),9)</f>
        <v>9</v>
      </c>
      <c r="AN52" s="4">
        <f ca="1">IFERROR(__xludf.dummyfunction("""COMPUTED_VALUE"""),9)</f>
        <v>9</v>
      </c>
      <c r="AO52" s="4">
        <f t="shared" ca="1" si="11"/>
        <v>3</v>
      </c>
      <c r="AP52" s="4">
        <f ca="1">IFERROR(__xludf.dummyfunction("if(isna(filter(prs!C:U,prs!I:I=G52,prs!G:G&gt;DATE(2024,4,25),prs!G:G&lt;DATE(2024,5,23))),0,countunique(index(filter(prs!C:U,prs!I:I=G52,prs!G:G&gt;DATE(2024,4,25),prs!G:G&lt;DATE(2024,5,23)),,1)))"),5)</f>
        <v>5</v>
      </c>
      <c r="AQ52" s="4">
        <f ca="1">IFERROR(__xludf.dummyfunction("if(isna(filter(prs!C:U,prs!I:I=G52,prs!R:R&lt;&gt;""Empty field"",prs!G:G&gt;DATE(2024,4,25),prs!G:G&lt;DATE(2024,5,23))),0,countunique(index(filter(prs!C:U,prs!I:I=G52,prs!R:R&lt;&gt;""Empty field"",prs!G:G&gt;DATE(2024,4,25),prs!G:G&lt;DATE(2024,5,23)),,1)))"),5)</f>
        <v>5</v>
      </c>
      <c r="AR52" s="4">
        <f t="shared" ca="1" si="12"/>
        <v>3</v>
      </c>
      <c r="AS52" s="4">
        <f t="shared" ca="1" si="13"/>
        <v>6</v>
      </c>
      <c r="AT52" s="4">
        <f ca="1">IFERROR(__xludf.dummyfunction("filter('Проекты'!BB:BB,'Проекты'!A:A=J52)"),4)</f>
        <v>4</v>
      </c>
      <c r="AU52" s="4">
        <v>7</v>
      </c>
      <c r="AV52" s="11">
        <f t="shared" ca="1" si="14"/>
        <v>65</v>
      </c>
      <c r="AW52" s="4" t="str">
        <f t="shared" ca="1" si="15"/>
        <v>Удовлетворительно</v>
      </c>
    </row>
    <row r="53" spans="1:49" ht="15.75" customHeight="1">
      <c r="A53" s="6" t="s">
        <v>305</v>
      </c>
      <c r="B53" s="6" t="s">
        <v>305</v>
      </c>
      <c r="C53" s="6"/>
      <c r="D53" s="6">
        <v>1304</v>
      </c>
      <c r="E53" s="6" t="s">
        <v>306</v>
      </c>
      <c r="F53" s="6" t="s">
        <v>306</v>
      </c>
      <c r="G53" s="6" t="s">
        <v>307</v>
      </c>
      <c r="H53" s="6" t="s">
        <v>308</v>
      </c>
      <c r="I53" s="4" t="s">
        <v>1068</v>
      </c>
      <c r="J53" s="7">
        <f ca="1">IFERROR(__xludf.dummyfunction("index(split(I53,char(9)),1,1)"),16)</f>
        <v>16</v>
      </c>
      <c r="K53" s="7">
        <f ca="1">IFERROR(__xludf.dummyfunction("ifna(index(filter('Посещаемость_баллы'!$A:$L,'Посещаемость_баллы'!$B:$B=$B53,'Посещаемость_баллы'!$C:$C=$C53,'Посещаемость_баллы'!$D:$D=$D53),1,12)*10,0)"),2)</f>
        <v>2</v>
      </c>
      <c r="L53" s="7">
        <f>ROUNDDOWN(IFERROR(VALUE(VLOOKUP(H53,'Онлайн-курс1'!B:F,5,FALSE())),IFERROR(VALUE(VLOOKUP(H53,'Онлайн-курс1'!C:F,4,FALSE())),0))/40*20,0)
+ IFERROR(VALUE(SUBSTITUTE(VLOOKUP(H53,'Онлайн-курс2'!B:I,7,FALSE()),".",",")),IFERROR(VALUE(SUBSTITUTE(VLOOKUP(H53,'Онлайн-курс2'!C:I,6,FALSE()),".",",")),0))*2</f>
        <v>20</v>
      </c>
      <c r="M53" s="8" t="s">
        <v>307</v>
      </c>
      <c r="N53" s="9">
        <v>1</v>
      </c>
      <c r="O53" s="4" t="s">
        <v>309</v>
      </c>
      <c r="P53" s="4">
        <v>0</v>
      </c>
      <c r="Q53" s="10" t="str">
        <f ca="1">IFERROR(__xludf.dummyfunction("iferror(index(QUERY(commits!A$2:$K1001, ""select Count(C) where lower(D) = lower('""&amp;G53&amp;""')""),2,1),""-"")"),"-")</f>
        <v>-</v>
      </c>
      <c r="R53" s="4" t="s">
        <v>211</v>
      </c>
      <c r="S53" s="4" t="s">
        <v>47</v>
      </c>
      <c r="T53" s="4">
        <f ca="1">VLOOKUP(A53,Расчёт_оценок!A:C,3,FALSE())</f>
        <v>6</v>
      </c>
      <c r="U53" s="4">
        <f ca="1">IFERROR(VLOOKUP(J53,Проекты!A:P,16,FALSE()),0)</f>
        <v>4</v>
      </c>
      <c r="V53" s="4" t="s">
        <v>40</v>
      </c>
      <c r="W53" s="4">
        <v>1</v>
      </c>
      <c r="X53" s="4">
        <v>1</v>
      </c>
      <c r="Y53" s="4">
        <v>1.5</v>
      </c>
      <c r="Z53" s="4">
        <v>1</v>
      </c>
      <c r="AA53" s="4">
        <v>1</v>
      </c>
      <c r="AB53" s="4">
        <v>1</v>
      </c>
      <c r="AC53" s="4">
        <f t="shared" si="8"/>
        <v>3.5</v>
      </c>
      <c r="AD53" s="4">
        <v>4</v>
      </c>
      <c r="AE53" s="4">
        <v>1</v>
      </c>
      <c r="AF53" s="4">
        <v>1</v>
      </c>
      <c r="AG53" s="4">
        <v>1.5</v>
      </c>
      <c r="AH53" s="4">
        <f ca="1">IFERROR(__xludf.dummyfunction("if(isna(filter(prs!C:U,prs!I:I=G53,prs!G:G&gt;DATE(2024,3,28),prs!G:G&lt;DATE(2024,4,26))),0,countunique(index(filter(prs!C:U,prs!I:I=G53,prs!G:G&gt;DATE(2024,3,28),prs!G:G&lt;DATE(2024,4,26)),,1)))"),2)</f>
        <v>2</v>
      </c>
      <c r="AI53" s="4">
        <f ca="1">IFERROR(__xludf.dummyfunction("if(isna(filter(prs!C:U,prs!I:I=G53,prs!R:R&lt;&gt;""Empty field"",prs!G:G&gt;DATE(2024,3,28),prs!G:G&lt;DATE(2024,4,26))),0,countunique(index(filter(prs!C:U,prs!I:I=G53,prs!R:R&lt;&gt;""Empty field"",prs!G:G&gt;DATE(2024,3,28),prs!G:G&lt;DATE(2024,4,26)),,1)))"),2)</f>
        <v>2</v>
      </c>
      <c r="AJ53" s="4">
        <f t="shared" ca="1" si="9"/>
        <v>3</v>
      </c>
      <c r="AK53" s="4">
        <f t="shared" ca="1" si="10"/>
        <v>4.5</v>
      </c>
      <c r="AL53" s="4">
        <f ca="1">IFERROR(__xludf.dummyfunction("filter('Проекты'!AT:AT,'Проекты'!A:A=J53)"),4)</f>
        <v>4</v>
      </c>
      <c r="AM53" s="4">
        <f ca="1">IFERROR(__xludf.dummyfunction("ifna(filter(commits_results!H:I,commits_results!B:B=A53,commits_results!A:A=J53),)"),3)</f>
        <v>3</v>
      </c>
      <c r="AN53" s="4">
        <f ca="1">IFERROR(__xludf.dummyfunction("""COMPUTED_VALUE"""),3)</f>
        <v>3</v>
      </c>
      <c r="AO53" s="4">
        <f t="shared" ca="1" si="11"/>
        <v>3</v>
      </c>
      <c r="AP53" s="4">
        <f ca="1">IFERROR(__xludf.dummyfunction("if(isna(filter(prs!C:U,prs!I:I=G53,prs!G:G&gt;DATE(2024,4,25),prs!G:G&lt;DATE(2024,5,23))),0,countunique(index(filter(prs!C:U,prs!I:I=G53,prs!G:G&gt;DATE(2024,4,25),prs!G:G&lt;DATE(2024,5,23)),,1)))"),3)</f>
        <v>3</v>
      </c>
      <c r="AQ53" s="4">
        <f ca="1">IFERROR(__xludf.dummyfunction("if(isna(filter(prs!C:U,prs!I:I=G53,prs!R:R&lt;&gt;""Empty field"",prs!G:G&gt;DATE(2024,4,25),prs!G:G&lt;DATE(2024,5,23))),0,countunique(index(filter(prs!C:U,prs!I:I=G53,prs!R:R&lt;&gt;""Empty field"",prs!G:G&gt;DATE(2024,4,25),prs!G:G&lt;DATE(2024,5,23)),,1)))"),3)</f>
        <v>3</v>
      </c>
      <c r="AR53" s="4">
        <f t="shared" ca="1" si="12"/>
        <v>3</v>
      </c>
      <c r="AS53" s="4">
        <f t="shared" ca="1" si="13"/>
        <v>6</v>
      </c>
      <c r="AT53" s="4">
        <f ca="1">IFERROR(__xludf.dummyfunction("filter('Проекты'!BB:BB,'Проекты'!A:A=J53)"),2.4)</f>
        <v>2.4</v>
      </c>
      <c r="AU53" s="4">
        <f ca="1">IFERROR(__xludf.dummyfunction("filter('Проекты'!BE:BE,'Проекты'!A:A=J53)"),0)</f>
        <v>0</v>
      </c>
      <c r="AV53" s="11">
        <f t="shared" ca="1" si="14"/>
        <v>57</v>
      </c>
      <c r="AW53" s="4" t="str">
        <f t="shared" ca="1" si="15"/>
        <v>Неудовлетворительно</v>
      </c>
    </row>
    <row r="54" spans="1:49" ht="15.75" customHeight="1">
      <c r="A54" s="6" t="s">
        <v>310</v>
      </c>
      <c r="B54" s="6" t="s">
        <v>310</v>
      </c>
      <c r="C54" s="6"/>
      <c r="D54" s="6">
        <v>1304</v>
      </c>
      <c r="E54" s="6" t="s">
        <v>311</v>
      </c>
      <c r="F54" s="6" t="s">
        <v>311</v>
      </c>
      <c r="G54" s="6" t="s">
        <v>312</v>
      </c>
      <c r="H54" s="6" t="s">
        <v>313</v>
      </c>
      <c r="I54" s="4" t="s">
        <v>1069</v>
      </c>
      <c r="J54" s="7">
        <f ca="1">IFERROR(__xludf.dummyfunction("index(split(I54,char(9)),1,1)"),1)</f>
        <v>1</v>
      </c>
      <c r="K54" s="7">
        <f ca="1">IFERROR(__xludf.dummyfunction("ifna(index(filter('Посещаемость_баллы'!$A:$L,'Посещаемость_баллы'!$B:$B=$B54,'Посещаемость_баллы'!$C:$C=$C54,'Посещаемость_баллы'!$D:$D=$D54),1,12)*10,0)"),8)</f>
        <v>8</v>
      </c>
      <c r="L54" s="7">
        <f>ROUNDDOWN(IFERROR(VALUE(VLOOKUP(H54,'Онлайн-курс1'!B:F,5,FALSE())),IFERROR(VALUE(VLOOKUP(H54,'Онлайн-курс1'!C:F,4,FALSE())),0))/40*20,0)
+ IFERROR(VALUE(SUBSTITUTE(VLOOKUP(H54,'Онлайн-курс2'!B:I,7,FALSE()),".",",")),IFERROR(VALUE(SUBSTITUTE(VLOOKUP(H54,'Онлайн-курс2'!C:I,6,FALSE()),".",",")),0))*2</f>
        <v>20</v>
      </c>
      <c r="M54" s="8" t="s">
        <v>312</v>
      </c>
      <c r="N54" s="9">
        <v>1</v>
      </c>
      <c r="O54" s="4" t="s">
        <v>314</v>
      </c>
      <c r="P54" s="4">
        <v>0</v>
      </c>
      <c r="Q54" s="10" t="str">
        <f ca="1">IFERROR(__xludf.dummyfunction("iferror(index(QUERY(commits!A$2:$K1001, ""select Count(C) where lower(D) = lower('""&amp;G54&amp;""')""),2,1),""-"")"),"-")</f>
        <v>-</v>
      </c>
      <c r="R54" s="4" t="s">
        <v>46</v>
      </c>
      <c r="S54" s="4" t="s">
        <v>47</v>
      </c>
      <c r="T54" s="4">
        <f ca="1">VLOOKUP(A54,Расчёт_оценок!A:C,3,FALSE())</f>
        <v>6</v>
      </c>
      <c r="U54" s="4">
        <f ca="1">IFERROR(VLOOKUP(J54,Проекты!A:P,16,FALSE()),0)</f>
        <v>4</v>
      </c>
      <c r="V54" s="4" t="s">
        <v>40</v>
      </c>
      <c r="W54" s="4">
        <v>0</v>
      </c>
      <c r="X54" s="4">
        <v>0</v>
      </c>
      <c r="Y54" s="4">
        <v>0</v>
      </c>
      <c r="Z54" s="4">
        <v>1</v>
      </c>
      <c r="AA54" s="4">
        <v>1</v>
      </c>
      <c r="AB54" s="4">
        <v>1</v>
      </c>
      <c r="AC54" s="4">
        <f t="shared" si="8"/>
        <v>2</v>
      </c>
      <c r="AD54" s="4">
        <v>4</v>
      </c>
      <c r="AE54" s="4">
        <v>3</v>
      </c>
      <c r="AF54" s="4">
        <v>3</v>
      </c>
      <c r="AG54" s="4">
        <v>1.5</v>
      </c>
      <c r="AH54" s="4">
        <f ca="1">IFERROR(__xludf.dummyfunction("if(isna(filter(prs!C:U,prs!I:I=G54,prs!G:G&gt;DATE(2024,3,28),prs!G:G&lt;DATE(2024,4,26))),0,countunique(index(filter(prs!C:U,prs!I:I=G54,prs!G:G&gt;DATE(2024,3,28),prs!G:G&lt;DATE(2024,4,26)),,1)))"),4)</f>
        <v>4</v>
      </c>
      <c r="AI54" s="4">
        <f ca="1">IFERROR(__xludf.dummyfunction("if(isna(filter(prs!C:U,prs!I:I=G54,prs!R:R&lt;&gt;""Empty field"",prs!G:G&gt;DATE(2024,3,28),prs!G:G&lt;DATE(2024,4,26))),0,countunique(index(filter(prs!C:U,prs!I:I=G54,prs!R:R&lt;&gt;""Empty field"",prs!G:G&gt;DATE(2024,3,28),prs!G:G&lt;DATE(2024,4,26)),,1)))"),4)</f>
        <v>4</v>
      </c>
      <c r="AJ54" s="4">
        <f t="shared" ca="1" si="9"/>
        <v>3</v>
      </c>
      <c r="AK54" s="4">
        <f t="shared" ca="1" si="10"/>
        <v>4.5</v>
      </c>
      <c r="AL54" s="4">
        <f ca="1">IFERROR(__xludf.dummyfunction("filter('Проекты'!AT:AT,'Проекты'!A:A=J54)"),4)</f>
        <v>4</v>
      </c>
      <c r="AM54" s="4">
        <f ca="1">IFERROR(__xludf.dummyfunction("ifna(filter(commits_results!H:I,commits_results!B:B=A54,commits_results!A:A=J54),)"),3)</f>
        <v>3</v>
      </c>
      <c r="AN54" s="4">
        <f ca="1">IFERROR(__xludf.dummyfunction("""COMPUTED_VALUE"""),3)</f>
        <v>3</v>
      </c>
      <c r="AO54" s="4">
        <f t="shared" ca="1" si="11"/>
        <v>3</v>
      </c>
      <c r="AP54" s="4">
        <f ca="1">IFERROR(__xludf.dummyfunction("if(isna(filter(prs!C:U,prs!I:I=G54,prs!G:G&gt;DATE(2024,4,25),prs!G:G&lt;DATE(2024,5,23))),0,countunique(index(filter(prs!C:U,prs!I:I=G54,prs!G:G&gt;DATE(2024,4,25),prs!G:G&lt;DATE(2024,5,23)),,1)))"),1)</f>
        <v>1</v>
      </c>
      <c r="AQ54" s="4">
        <f ca="1">IFERROR(__xludf.dummyfunction("if(isna(filter(prs!C:U,prs!I:I=G54,prs!R:R&lt;&gt;""Empty field"",prs!G:G&gt;DATE(2024,4,25),prs!G:G&lt;DATE(2024,5,23))),0,countunique(index(filter(prs!C:U,prs!I:I=G54,prs!R:R&lt;&gt;""Empty field"",prs!G:G&gt;DATE(2024,4,25),prs!G:G&lt;DATE(2024,5,23)),,1)))"),1)</f>
        <v>1</v>
      </c>
      <c r="AR54" s="4">
        <f t="shared" ca="1" si="12"/>
        <v>3</v>
      </c>
      <c r="AS54" s="4">
        <f t="shared" ca="1" si="13"/>
        <v>6</v>
      </c>
      <c r="AT54" s="4">
        <f ca="1">IFERROR(__xludf.dummyfunction("filter('Проекты'!BB:BB,'Проекты'!A:A=J54)"),2.9)</f>
        <v>2.9</v>
      </c>
      <c r="AU54" s="4">
        <f ca="1">IFERROR(__xludf.dummyfunction("filter('Проекты'!BE:BE,'Проекты'!A:A=J54)"),0)</f>
        <v>0</v>
      </c>
      <c r="AV54" s="11">
        <f t="shared" ca="1" si="14"/>
        <v>62</v>
      </c>
      <c r="AW54" s="4" t="str">
        <f t="shared" ca="1" si="15"/>
        <v>Удовлетворительно</v>
      </c>
    </row>
    <row r="55" spans="1:49" ht="15.75" customHeight="1">
      <c r="A55" s="6" t="s">
        <v>315</v>
      </c>
      <c r="B55" s="6" t="s">
        <v>315</v>
      </c>
      <c r="C55" s="6"/>
      <c r="D55" s="6">
        <v>1381</v>
      </c>
      <c r="E55" s="6" t="s">
        <v>316</v>
      </c>
      <c r="F55" s="6" t="s">
        <v>316</v>
      </c>
      <c r="G55" s="6" t="s">
        <v>317</v>
      </c>
      <c r="H55" s="6" t="s">
        <v>318</v>
      </c>
      <c r="I55" s="4" t="s">
        <v>1070</v>
      </c>
      <c r="J55" s="7">
        <f ca="1">IFERROR(__xludf.dummyfunction("index(split(I55,char(9)),1,1)"),10)</f>
        <v>10</v>
      </c>
      <c r="K55" s="7">
        <f ca="1">IFERROR(__xludf.dummyfunction("ifna(index(filter('Посещаемость_баллы'!$A:$L,'Посещаемость_баллы'!$B:$B=$B55,'Посещаемость_баллы'!$C:$C=$C55,'Посещаемость_баллы'!$D:$D=$D55),1,12)*10,0)"),8)</f>
        <v>8</v>
      </c>
      <c r="L55" s="7">
        <f>ROUNDDOWN(IFERROR(VALUE(VLOOKUP(H55,'Онлайн-курс1'!B:F,5,FALSE())),IFERROR(VALUE(VLOOKUP(H55,'Онлайн-курс1'!C:F,4,FALSE())),0))/40*20,0)
+ IFERROR(VALUE(SUBSTITUTE(VLOOKUP(H55,'Онлайн-курс2'!B:I,7,FALSE()),".",",")),IFERROR(VALUE(SUBSTITUTE(VLOOKUP(H55,'Онлайн-курс2'!C:I,6,FALSE()),".",",")),0))*2</f>
        <v>0</v>
      </c>
      <c r="M55" s="8" t="s">
        <v>317</v>
      </c>
      <c r="N55" s="9">
        <v>1</v>
      </c>
      <c r="O55" s="4" t="s">
        <v>319</v>
      </c>
      <c r="P55" s="4">
        <v>0</v>
      </c>
      <c r="Q55" s="10" t="str">
        <f ca="1">IFERROR(__xludf.dummyfunction("iferror(index(QUERY(commits!A$2:$K1001, ""select Count(C) where lower(D) = lower('""&amp;G55&amp;""')""),2,1),""-"")"),"-")</f>
        <v>-</v>
      </c>
      <c r="R55" s="4" t="s">
        <v>40</v>
      </c>
      <c r="S55" s="4">
        <v>1</v>
      </c>
      <c r="T55" s="4">
        <f ca="1">VLOOKUP(A55,Расчёт_оценок!A:C,3,FALSE())</f>
        <v>6</v>
      </c>
      <c r="U55" s="4">
        <f ca="1">IFERROR(VLOOKUP(J55,Проекты!A:P,16,FALSE()),0)</f>
        <v>4</v>
      </c>
      <c r="V55" s="4" t="s">
        <v>71</v>
      </c>
      <c r="W55" s="4">
        <v>15</v>
      </c>
      <c r="X55" s="4">
        <v>15</v>
      </c>
      <c r="Y55" s="4">
        <v>3</v>
      </c>
      <c r="Z55" s="4">
        <v>4</v>
      </c>
      <c r="AA55" s="4">
        <v>4</v>
      </c>
      <c r="AB55" s="4">
        <v>2</v>
      </c>
      <c r="AC55" s="4">
        <f t="shared" si="8"/>
        <v>6</v>
      </c>
      <c r="AD55" s="4">
        <v>4</v>
      </c>
      <c r="AE55" s="4">
        <v>7</v>
      </c>
      <c r="AF55" s="4">
        <v>7</v>
      </c>
      <c r="AG55" s="4">
        <v>3</v>
      </c>
      <c r="AH55" s="4">
        <f ca="1">IFERROR(__xludf.dummyfunction("if(isna(filter(prs!C:U,prs!I:I=G55,prs!G:G&gt;DATE(2024,3,28),prs!G:G&lt;DATE(2024,4,26))),0,countunique(index(filter(prs!C:U,prs!I:I=G55,prs!G:G&gt;DATE(2024,3,28),prs!G:G&lt;DATE(2024,4,26)),,1)))"),8)</f>
        <v>8</v>
      </c>
      <c r="AI55" s="4">
        <f ca="1">IFERROR(__xludf.dummyfunction("if(isna(filter(prs!C:U,prs!I:I=G55,prs!R:R&lt;&gt;""Empty field"",prs!G:G&gt;DATE(2024,3,28),prs!G:G&lt;DATE(2024,4,26))),0,countunique(index(filter(prs!C:U,prs!I:I=G55,prs!R:R&lt;&gt;""Empty field"",prs!G:G&gt;DATE(2024,3,28),prs!G:G&lt;DATE(2024,4,26)),,1)))"),8)</f>
        <v>8</v>
      </c>
      <c r="AJ55" s="4">
        <f t="shared" ca="1" si="9"/>
        <v>3</v>
      </c>
      <c r="AK55" s="4">
        <f t="shared" ca="1" si="10"/>
        <v>6</v>
      </c>
      <c r="AL55" s="4">
        <f ca="1">IFERROR(__xludf.dummyfunction("filter('Проекты'!AT:AT,'Проекты'!A:A=J55)"),4)</f>
        <v>4</v>
      </c>
      <c r="AM55" s="4">
        <f ca="1">IFERROR(__xludf.dummyfunction("ifna(filter(commits_results!H:I,commits_results!B:B=A55,commits_results!A:A=J55),)"),7)</f>
        <v>7</v>
      </c>
      <c r="AN55" s="4">
        <f ca="1">IFERROR(__xludf.dummyfunction("""COMPUTED_VALUE"""),9)</f>
        <v>9</v>
      </c>
      <c r="AO55" s="4">
        <f t="shared" ca="1" si="11"/>
        <v>3</v>
      </c>
      <c r="AP55" s="4">
        <f ca="1">IFERROR(__xludf.dummyfunction("if(isna(filter(prs!C:U,prs!I:I=G55,prs!G:G&gt;DATE(2024,4,25),prs!G:G&lt;DATE(2024,5,23))),0,countunique(index(filter(prs!C:U,prs!I:I=G55,prs!G:G&gt;DATE(2024,4,25),prs!G:G&lt;DATE(2024,5,23)),,1)))"),9)</f>
        <v>9</v>
      </c>
      <c r="AQ55" s="4">
        <f ca="1">IFERROR(__xludf.dummyfunction("if(isna(filter(prs!C:U,prs!I:I=G55,prs!R:R&lt;&gt;""Empty field"",prs!G:G&gt;DATE(2024,4,25),prs!G:G&lt;DATE(2024,5,23))),0,countunique(index(filter(prs!C:U,prs!I:I=G55,prs!R:R&lt;&gt;""Empty field"",prs!G:G&gt;DATE(2024,4,25),prs!G:G&lt;DATE(2024,5,23)),,1)))"),8)</f>
        <v>8</v>
      </c>
      <c r="AR55" s="4">
        <f t="shared" ca="1" si="12"/>
        <v>3</v>
      </c>
      <c r="AS55" s="4">
        <f t="shared" ca="1" si="13"/>
        <v>6</v>
      </c>
      <c r="AT55" s="4">
        <f ca="1">IFERROR(__xludf.dummyfunction("filter('Проекты'!BB:BB,'Проекты'!A:A=J55)"),4)</f>
        <v>4</v>
      </c>
      <c r="AU55" s="4">
        <f ca="1">IFERROR(__xludf.dummyfunction("filter('Проекты'!BE:BE,'Проекты'!A:A=J55)"),0)</f>
        <v>0</v>
      </c>
      <c r="AV55" s="11">
        <f t="shared" ca="1" si="14"/>
        <v>48</v>
      </c>
      <c r="AW55" s="4" t="str">
        <f t="shared" ca="1" si="15"/>
        <v>Неудовлетворительно</v>
      </c>
    </row>
    <row r="56" spans="1:49" ht="15.75" customHeight="1">
      <c r="A56" s="6" t="s">
        <v>320</v>
      </c>
      <c r="B56" s="6" t="s">
        <v>320</v>
      </c>
      <c r="C56" s="6"/>
      <c r="D56" s="6">
        <v>1381</v>
      </c>
      <c r="E56" s="6" t="s">
        <v>321</v>
      </c>
      <c r="F56" s="6" t="s">
        <v>321</v>
      </c>
      <c r="G56" s="6" t="s">
        <v>322</v>
      </c>
      <c r="H56" s="6" t="s">
        <v>323</v>
      </c>
      <c r="I56" s="4" t="s">
        <v>1071</v>
      </c>
      <c r="J56" s="7">
        <f ca="1">IFERROR(__xludf.dummyfunction("index(split(I56,char(9)),1,1)"),18)</f>
        <v>18</v>
      </c>
      <c r="K56" s="7">
        <f ca="1">IFERROR(__xludf.dummyfunction("ifna(index(filter('Посещаемость_баллы'!$A:$L,'Посещаемость_баллы'!$B:$B=$B56,'Посещаемость_баллы'!$C:$C=$C56,'Посещаемость_баллы'!$D:$D=$D56),1,12)*10,0)"),10)</f>
        <v>10</v>
      </c>
      <c r="L56" s="7">
        <f>ROUNDDOWN(IFERROR(VALUE(VLOOKUP(H56,'Онлайн-курс1'!B:F,5,FALSE())),IFERROR(VALUE(VLOOKUP(H56,'Онлайн-курс1'!C:F,4,FALSE())),0))/40*20,0)
+ IFERROR(VALUE(SUBSTITUTE(VLOOKUP(H56,'Онлайн-курс2'!B:I,7,FALSE()),".",",")),IFERROR(VALUE(SUBSTITUTE(VLOOKUP(H56,'Онлайн-курс2'!C:I,6,FALSE()),".",",")),0))*2</f>
        <v>20</v>
      </c>
      <c r="M56" s="8" t="s">
        <v>322</v>
      </c>
      <c r="N56" s="9">
        <v>1</v>
      </c>
      <c r="O56" s="4" t="s">
        <v>324</v>
      </c>
      <c r="P56" s="4">
        <v>0</v>
      </c>
      <c r="Q56" s="10" t="str">
        <f ca="1">IFERROR(__xludf.dummyfunction("iferror(index(QUERY(commits!A$2:$K1001, ""select Count(C) where lower(D) = lower('""&amp;G56&amp;""')""),2,1),""-"")"),"-")</f>
        <v>-</v>
      </c>
      <c r="R56" s="4" t="s">
        <v>54</v>
      </c>
      <c r="S56" s="4" t="s">
        <v>47</v>
      </c>
      <c r="T56" s="4">
        <f ca="1">VLOOKUP(A56,Расчёт_оценок!A:C,3,FALSE())</f>
        <v>6</v>
      </c>
      <c r="U56" s="4">
        <f ca="1">IFERROR(VLOOKUP(J56,Проекты!A:P,16,FALSE()),0)</f>
        <v>4</v>
      </c>
      <c r="V56" s="4" t="s">
        <v>325</v>
      </c>
      <c r="W56" s="4">
        <v>17</v>
      </c>
      <c r="X56" s="4">
        <v>17</v>
      </c>
      <c r="Y56" s="4">
        <v>3</v>
      </c>
      <c r="Z56" s="4">
        <v>4</v>
      </c>
      <c r="AA56" s="4">
        <v>3</v>
      </c>
      <c r="AB56" s="4">
        <v>1.5</v>
      </c>
      <c r="AC56" s="4">
        <f t="shared" si="8"/>
        <v>5.5</v>
      </c>
      <c r="AD56" s="4">
        <v>3.8</v>
      </c>
      <c r="AE56" s="4">
        <v>6</v>
      </c>
      <c r="AF56" s="4">
        <v>6</v>
      </c>
      <c r="AG56" s="4">
        <v>3</v>
      </c>
      <c r="AH56" s="4">
        <f ca="1">IFERROR(__xludf.dummyfunction("if(isna(filter(prs!C:U,prs!I:I=G56,prs!G:G&gt;DATE(2024,3,28),prs!G:G&lt;DATE(2024,4,26))),0,countunique(index(filter(prs!C:U,prs!I:I=G56,prs!G:G&gt;DATE(2024,3,28),prs!G:G&lt;DATE(2024,4,26)),,1)))"),2)</f>
        <v>2</v>
      </c>
      <c r="AI56" s="4">
        <f ca="1">IFERROR(__xludf.dummyfunction("if(isna(filter(prs!C:U,prs!I:I=G56,prs!R:R&lt;&gt;""Empty field"",prs!G:G&gt;DATE(2024,3,28),prs!G:G&lt;DATE(2024,4,26))),0,countunique(index(filter(prs!C:U,prs!I:I=G56,prs!R:R&lt;&gt;""Empty field"",prs!G:G&gt;DATE(2024,3,28),prs!G:G&lt;DATE(2024,4,26)),,1)))"),2)</f>
        <v>2</v>
      </c>
      <c r="AJ56" s="4">
        <f t="shared" ca="1" si="9"/>
        <v>3</v>
      </c>
      <c r="AK56" s="4">
        <f t="shared" ca="1" si="10"/>
        <v>6</v>
      </c>
      <c r="AL56" s="4">
        <f ca="1">IFERROR(__xludf.dummyfunction("filter('Проекты'!AT:AT,'Проекты'!A:A=J56)"),3.5)</f>
        <v>3.5</v>
      </c>
      <c r="AM56" s="4">
        <f ca="1">IFERROR(__xludf.dummyfunction("ifna(filter(commits_results!H:I,commits_results!B:B=A56,commits_results!A:A=J56),)"),6)</f>
        <v>6</v>
      </c>
      <c r="AN56" s="4">
        <f ca="1">IFERROR(__xludf.dummyfunction("""COMPUTED_VALUE"""),6)</f>
        <v>6</v>
      </c>
      <c r="AO56" s="4">
        <f t="shared" ca="1" si="11"/>
        <v>3</v>
      </c>
      <c r="AP56" s="4">
        <f ca="1">IFERROR(__xludf.dummyfunction("if(isna(filter(prs!C:U,prs!I:I=G56,prs!G:G&gt;DATE(2024,4,25),prs!G:G&lt;DATE(2024,5,23))),0,countunique(index(filter(prs!C:U,prs!I:I=G56,prs!G:G&gt;DATE(2024,4,25),prs!G:G&lt;DATE(2024,5,23)),,1)))"),1)</f>
        <v>1</v>
      </c>
      <c r="AQ56" s="4">
        <f ca="1">IFERROR(__xludf.dummyfunction("if(isna(filter(prs!C:U,prs!I:I=G56,prs!R:R&lt;&gt;""Empty field"",prs!G:G&gt;DATE(2024,4,25),prs!G:G&lt;DATE(2024,5,23))),0,countunique(index(filter(prs!C:U,prs!I:I=G56,prs!R:R&lt;&gt;""Empty field"",prs!G:G&gt;DATE(2024,4,25),prs!G:G&lt;DATE(2024,5,23)),,1)))"),1)</f>
        <v>1</v>
      </c>
      <c r="AR56" s="4">
        <f t="shared" ca="1" si="12"/>
        <v>3</v>
      </c>
      <c r="AS56" s="4">
        <f t="shared" ca="1" si="13"/>
        <v>6</v>
      </c>
      <c r="AT56" s="4">
        <f ca="1">IFERROR(__xludf.dummyfunction("filter('Проекты'!BB:BB,'Проекты'!A:A=J56)"),4)</f>
        <v>4</v>
      </c>
      <c r="AU56" s="4">
        <f ca="1">IFERROR(__xludf.dummyfunction("filter('Проекты'!BE:BE,'Проекты'!A:A=J56)"),0)</f>
        <v>0</v>
      </c>
      <c r="AV56" s="11">
        <f t="shared" ca="1" si="14"/>
        <v>69</v>
      </c>
      <c r="AW56" s="4" t="str">
        <f t="shared" ca="1" si="15"/>
        <v>Удовлетворительно</v>
      </c>
    </row>
    <row r="57" spans="1:49" ht="15.75" customHeight="1">
      <c r="A57" s="6" t="s">
        <v>326</v>
      </c>
      <c r="B57" s="6" t="s">
        <v>326</v>
      </c>
      <c r="C57" s="6"/>
      <c r="D57" s="6">
        <v>1381</v>
      </c>
      <c r="E57" s="6" t="s">
        <v>327</v>
      </c>
      <c r="F57" s="6" t="s">
        <v>327</v>
      </c>
      <c r="G57" s="6" t="s">
        <v>328</v>
      </c>
      <c r="H57" s="6" t="s">
        <v>329</v>
      </c>
      <c r="I57" s="4" t="s">
        <v>1072</v>
      </c>
      <c r="J57" s="7">
        <f ca="1">IFERROR(__xludf.dummyfunction("index(split(I57,char(9)),1,1)"),10)</f>
        <v>10</v>
      </c>
      <c r="K57" s="7">
        <f ca="1">IFERROR(__xludf.dummyfunction("ifna(index(filter('Посещаемость_баллы'!$A:$L,'Посещаемость_баллы'!$B:$B=$B57,'Посещаемость_баллы'!$C:$C=$C57,'Посещаемость_баллы'!$D:$D=$D57),1,12)*10,0)"),10)</f>
        <v>10</v>
      </c>
      <c r="L57" s="7">
        <f>ROUNDDOWN(IFERROR(VALUE(VLOOKUP(H57,'Онлайн-курс1'!B:F,5,FALSE())),IFERROR(VALUE(VLOOKUP(H57,'Онлайн-курс1'!C:F,4,FALSE())),0))/40*20,0)
+ IFERROR(VALUE(SUBSTITUTE(VLOOKUP(H57,'Онлайн-курс2'!B:I,7,FALSE()),".",",")),IFERROR(VALUE(SUBSTITUTE(VLOOKUP(H57,'Онлайн-курс2'!C:I,6,FALSE()),".",",")),0))*2</f>
        <v>0</v>
      </c>
      <c r="M57" s="8" t="s">
        <v>328</v>
      </c>
      <c r="N57" s="9">
        <v>1</v>
      </c>
      <c r="O57" s="4" t="s">
        <v>330</v>
      </c>
      <c r="P57" s="4">
        <v>0</v>
      </c>
      <c r="Q57" s="10" t="str">
        <f ca="1">IFERROR(__xludf.dummyfunction("iferror(index(QUERY(commits!A$2:$K1001, ""select Count(C) where lower(D) = lower('""&amp;G57&amp;""')""),2,1),""-"")"),"-")</f>
        <v>-</v>
      </c>
      <c r="R57" s="4" t="s">
        <v>40</v>
      </c>
      <c r="S57" s="4">
        <v>1</v>
      </c>
      <c r="T57" s="4">
        <f ca="1">VLOOKUP(A57,Расчёт_оценок!A:C,3,FALSE())</f>
        <v>6</v>
      </c>
      <c r="U57" s="4">
        <f ca="1">IFERROR(VLOOKUP(J57,Проекты!A:P,16,FALSE()),0)</f>
        <v>4</v>
      </c>
      <c r="V57" s="4" t="s">
        <v>331</v>
      </c>
      <c r="W57" s="4">
        <v>10</v>
      </c>
      <c r="X57" s="4">
        <v>13</v>
      </c>
      <c r="Y57" s="4">
        <v>2.31</v>
      </c>
      <c r="Z57" s="4">
        <v>7</v>
      </c>
      <c r="AA57" s="4">
        <v>6</v>
      </c>
      <c r="AB57" s="4">
        <v>2</v>
      </c>
      <c r="AC57" s="4">
        <f t="shared" si="8"/>
        <v>5.3100000000000005</v>
      </c>
      <c r="AD57" s="4">
        <v>4</v>
      </c>
      <c r="AE57" s="4">
        <v>3</v>
      </c>
      <c r="AF57" s="4">
        <v>5</v>
      </c>
      <c r="AG57" s="4">
        <v>0.9</v>
      </c>
      <c r="AH57" s="4">
        <f ca="1">IFERROR(__xludf.dummyfunction("if(isna(filter(prs!C:U,prs!I:I=G57,prs!G:G&gt;DATE(2024,3,28),prs!G:G&lt;DATE(2024,4,26))),0,countunique(index(filter(prs!C:U,prs!I:I=G57,prs!G:G&gt;DATE(2024,3,28),prs!G:G&lt;DATE(2024,4,26)),,1)))"),6)</f>
        <v>6</v>
      </c>
      <c r="AI57" s="4">
        <f ca="1">IFERROR(__xludf.dummyfunction("if(isna(filter(prs!C:U,prs!I:I=G57,prs!R:R&lt;&gt;""Empty field"",prs!G:G&gt;DATE(2024,3,28),prs!G:G&lt;DATE(2024,4,26))),0,countunique(index(filter(prs!C:U,prs!I:I=G57,prs!R:R&lt;&gt;""Empty field"",prs!G:G&gt;DATE(2024,3,28),prs!G:G&lt;DATE(2024,4,26)),,1)))"),4)</f>
        <v>4</v>
      </c>
      <c r="AJ57" s="4">
        <f t="shared" ca="1" si="9"/>
        <v>3</v>
      </c>
      <c r="AK57" s="4">
        <f t="shared" ca="1" si="10"/>
        <v>3.9</v>
      </c>
      <c r="AL57" s="4">
        <f ca="1">IFERROR(__xludf.dummyfunction("filter('Проекты'!AT:AT,'Проекты'!A:A=J57)"),4)</f>
        <v>4</v>
      </c>
      <c r="AM57" s="4">
        <f ca="1">IFERROR(__xludf.dummyfunction("ifna(filter(commits_results!H:I,commits_results!B:B=A57,commits_results!A:A=J57),)"),14)</f>
        <v>14</v>
      </c>
      <c r="AN57" s="4">
        <f ca="1">IFERROR(__xludf.dummyfunction("""COMPUTED_VALUE"""),15)</f>
        <v>15</v>
      </c>
      <c r="AO57" s="4">
        <f t="shared" ca="1" si="11"/>
        <v>3</v>
      </c>
      <c r="AP57" s="4">
        <f ca="1">IFERROR(__xludf.dummyfunction("if(isna(filter(prs!C:U,prs!I:I=G57,prs!G:G&gt;DATE(2024,4,25),prs!G:G&lt;DATE(2024,5,23))),0,countunique(index(filter(prs!C:U,prs!I:I=G57,prs!G:G&gt;DATE(2024,4,25),prs!G:G&lt;DATE(2024,5,23)),,1)))"),9)</f>
        <v>9</v>
      </c>
      <c r="AQ57" s="4">
        <f ca="1">IFERROR(__xludf.dummyfunction("if(isna(filter(prs!C:U,prs!I:I=G57,prs!R:R&lt;&gt;""Empty field"",prs!G:G&gt;DATE(2024,4,25),prs!G:G&lt;DATE(2024,5,23))),0,countunique(index(filter(prs!C:U,prs!I:I=G57,prs!R:R&lt;&gt;""Empty field"",prs!G:G&gt;DATE(2024,4,25),prs!G:G&lt;DATE(2024,5,23)),,1)))"),7)</f>
        <v>7</v>
      </c>
      <c r="AR57" s="4">
        <f t="shared" ca="1" si="12"/>
        <v>3</v>
      </c>
      <c r="AS57" s="4">
        <f t="shared" ca="1" si="13"/>
        <v>6</v>
      </c>
      <c r="AT57" s="4">
        <f ca="1">IFERROR(__xludf.dummyfunction("filter('Проекты'!BB:BB,'Проекты'!A:A=J57)"),4)</f>
        <v>4</v>
      </c>
      <c r="AU57" s="4">
        <f ca="1">IFERROR(__xludf.dummyfunction("filter('Проекты'!BE:BE,'Проекты'!A:A=J57)"),0)</f>
        <v>0</v>
      </c>
      <c r="AV57" s="11">
        <f t="shared" ca="1" si="14"/>
        <v>48</v>
      </c>
      <c r="AW57" s="4" t="str">
        <f t="shared" ca="1" si="15"/>
        <v>Неудовлетворительно</v>
      </c>
    </row>
    <row r="58" spans="1:49" ht="15.75" customHeight="1">
      <c r="A58" s="6" t="s">
        <v>332</v>
      </c>
      <c r="B58" s="6" t="s">
        <v>332</v>
      </c>
      <c r="C58" s="6"/>
      <c r="D58" s="6">
        <v>1381</v>
      </c>
      <c r="E58" s="6" t="s">
        <v>333</v>
      </c>
      <c r="F58" s="6" t="s">
        <v>333</v>
      </c>
      <c r="G58" s="6" t="s">
        <v>334</v>
      </c>
      <c r="H58" s="6" t="s">
        <v>335</v>
      </c>
      <c r="I58" s="4" t="s">
        <v>1073</v>
      </c>
      <c r="J58" s="7">
        <f ca="1">IFERROR(__xludf.dummyfunction("index(split(I58,char(9)),1,1)"),16)</f>
        <v>16</v>
      </c>
      <c r="K58" s="7">
        <f ca="1">IFERROR(__xludf.dummyfunction("ifna(index(filter('Посещаемость_баллы'!$A:$L,'Посещаемость_баллы'!$B:$B=$B58,'Посещаемость_баллы'!$C:$C=$C58,'Посещаемость_баллы'!$D:$D=$D58),1,12)*10,0)"),10)</f>
        <v>10</v>
      </c>
      <c r="L58" s="7">
        <f>ROUNDDOWN(IFERROR(VALUE(VLOOKUP(H58,'Онлайн-курс1'!B:F,5,FALSE())),IFERROR(VALUE(VLOOKUP(H58,'Онлайн-курс1'!C:F,4,FALSE())),0))/40*20,0)
+ IFERROR(VALUE(SUBSTITUTE(VLOOKUP(H58,'Онлайн-курс2'!B:I,7,FALSE()),".",",")),IFERROR(VALUE(SUBSTITUTE(VLOOKUP(H58,'Онлайн-курс2'!C:I,6,FALSE()),".",",")),0))*2</f>
        <v>20</v>
      </c>
      <c r="M58" s="8" t="s">
        <v>334</v>
      </c>
      <c r="N58" s="9">
        <v>1</v>
      </c>
      <c r="O58" s="4" t="s">
        <v>336</v>
      </c>
      <c r="P58" s="4">
        <v>0</v>
      </c>
      <c r="Q58" s="10" t="str">
        <f ca="1">IFERROR(__xludf.dummyfunction("iferror(index(QUERY(commits!A$2:$K1001, ""select Count(C) where lower(D) = lower('""&amp;G58&amp;""')""),2,1),""-"")"),"-")</f>
        <v>-</v>
      </c>
      <c r="R58" s="4" t="s">
        <v>211</v>
      </c>
      <c r="S58" s="4" t="s">
        <v>47</v>
      </c>
      <c r="T58" s="4">
        <f ca="1">VLOOKUP(A58,Расчёт_оценок!A:C,3,FALSE())</f>
        <v>6</v>
      </c>
      <c r="U58" s="4">
        <f ca="1">IFERROR(VLOOKUP(J58,Проекты!A:P,16,FALSE()),0)</f>
        <v>4</v>
      </c>
      <c r="V58" s="4" t="s">
        <v>331</v>
      </c>
      <c r="W58" s="4">
        <v>6</v>
      </c>
      <c r="X58" s="4">
        <v>6</v>
      </c>
      <c r="Y58" s="4">
        <v>3</v>
      </c>
      <c r="Z58" s="4">
        <v>6</v>
      </c>
      <c r="AA58" s="4">
        <v>6</v>
      </c>
      <c r="AB58" s="4">
        <v>2</v>
      </c>
      <c r="AC58" s="4">
        <f t="shared" si="8"/>
        <v>6</v>
      </c>
      <c r="AD58" s="4">
        <v>4</v>
      </c>
      <c r="AE58" s="4">
        <v>3</v>
      </c>
      <c r="AF58" s="4">
        <v>3</v>
      </c>
      <c r="AG58" s="4">
        <v>1.5</v>
      </c>
      <c r="AH58" s="4">
        <f ca="1">IFERROR(__xludf.dummyfunction("if(isna(filter(prs!C:U,prs!I:I=G58,prs!G:G&gt;DATE(2024,3,28),prs!G:G&lt;DATE(2024,4,26))),0,countunique(index(filter(prs!C:U,prs!I:I=G58,prs!G:G&gt;DATE(2024,3,28),prs!G:G&lt;DATE(2024,4,26)),,1)))"),6)</f>
        <v>6</v>
      </c>
      <c r="AI58" s="4">
        <f ca="1">IFERROR(__xludf.dummyfunction("if(isna(filter(prs!C:U,prs!I:I=G58,prs!R:R&lt;&gt;""Empty field"",prs!G:G&gt;DATE(2024,3,28),prs!G:G&lt;DATE(2024,4,26))),0,countunique(index(filter(prs!C:U,prs!I:I=G58,prs!R:R&lt;&gt;""Empty field"",prs!G:G&gt;DATE(2024,3,28),prs!G:G&lt;DATE(2024,4,26)),,1)))"),6)</f>
        <v>6</v>
      </c>
      <c r="AJ58" s="4">
        <f t="shared" ca="1" si="9"/>
        <v>3</v>
      </c>
      <c r="AK58" s="4">
        <f t="shared" ca="1" si="10"/>
        <v>4.5</v>
      </c>
      <c r="AL58" s="4">
        <f ca="1">IFERROR(__xludf.dummyfunction("filter('Проекты'!AT:AT,'Проекты'!A:A=J58)"),4)</f>
        <v>4</v>
      </c>
      <c r="AM58" s="4">
        <f ca="1">IFERROR(__xludf.dummyfunction("ifna(filter(commits_results!H:I,commits_results!B:B=A58,commits_results!A:A=J58),)"),4)</f>
        <v>4</v>
      </c>
      <c r="AN58" s="4">
        <f ca="1">IFERROR(__xludf.dummyfunction("""COMPUTED_VALUE"""),4)</f>
        <v>4</v>
      </c>
      <c r="AO58" s="4">
        <f t="shared" ca="1" si="11"/>
        <v>3</v>
      </c>
      <c r="AP58" s="4">
        <f ca="1">IFERROR(__xludf.dummyfunction("if(isna(filter(prs!C:U,prs!I:I=G58,prs!G:G&gt;DATE(2024,4,25),prs!G:G&lt;DATE(2024,5,23))),0,countunique(index(filter(prs!C:U,prs!I:I=G58,prs!G:G&gt;DATE(2024,4,25),prs!G:G&lt;DATE(2024,5,23)),,1)))"),4)</f>
        <v>4</v>
      </c>
      <c r="AQ58" s="4">
        <f ca="1">IFERROR(__xludf.dummyfunction("if(isna(filter(prs!C:U,prs!I:I=G58,prs!R:R&lt;&gt;""Empty field"",prs!G:G&gt;DATE(2024,4,25),prs!G:G&lt;DATE(2024,5,23))),0,countunique(index(filter(prs!C:U,prs!I:I=G58,prs!R:R&lt;&gt;""Empty field"",prs!G:G&gt;DATE(2024,4,25),prs!G:G&lt;DATE(2024,5,23)),,1)))"),4)</f>
        <v>4</v>
      </c>
      <c r="AR58" s="4">
        <f t="shared" ca="1" si="12"/>
        <v>3</v>
      </c>
      <c r="AS58" s="4">
        <f t="shared" ca="1" si="13"/>
        <v>6</v>
      </c>
      <c r="AT58" s="4">
        <f ca="1">IFERROR(__xludf.dummyfunction("filter('Проекты'!BB:BB,'Проекты'!A:A=J58)"),2.4)</f>
        <v>2.4</v>
      </c>
      <c r="AU58" s="4">
        <f ca="1">IFERROR(__xludf.dummyfunction("filter('Проекты'!BE:BE,'Проекты'!A:A=J58)"),0)</f>
        <v>0</v>
      </c>
      <c r="AV58" s="11">
        <f t="shared" ca="1" si="14"/>
        <v>67</v>
      </c>
      <c r="AW58" s="4" t="str">
        <f t="shared" ca="1" si="15"/>
        <v>Удовлетворительно</v>
      </c>
    </row>
    <row r="59" spans="1:49" ht="15.75" customHeight="1">
      <c r="A59" s="6" t="s">
        <v>337</v>
      </c>
      <c r="B59" s="6" t="s">
        <v>337</v>
      </c>
      <c r="C59" s="6"/>
      <c r="D59" s="6">
        <v>1381</v>
      </c>
      <c r="E59" s="6" t="s">
        <v>338</v>
      </c>
      <c r="F59" s="6" t="s">
        <v>338</v>
      </c>
      <c r="G59" s="6" t="s">
        <v>339</v>
      </c>
      <c r="H59" s="6" t="s">
        <v>340</v>
      </c>
      <c r="I59" s="4" t="s">
        <v>1074</v>
      </c>
      <c r="J59" s="7">
        <f ca="1">IFERROR(__xludf.dummyfunction("index(split(I59,char(9)),1,1)"),7)</f>
        <v>7</v>
      </c>
      <c r="K59" s="7">
        <f ca="1">IFERROR(__xludf.dummyfunction("ifna(index(filter('Посещаемость_баллы'!$A:$L,'Посещаемость_баллы'!$B:$B=$B59,'Посещаемость_баллы'!$C:$C=$C59,'Посещаемость_баллы'!$D:$D=$D59),1,12)*10,0)"),0)</f>
        <v>0</v>
      </c>
      <c r="L59" s="7">
        <f>ROUNDDOWN(IFERROR(VALUE(VLOOKUP(H59,'Онлайн-курс1'!B:F,5,FALSE())),IFERROR(VALUE(VLOOKUP(H59,'Онлайн-курс1'!C:F,4,FALSE())),0))/40*20,0)
+ IFERROR(VALUE(SUBSTITUTE(VLOOKUP(H59,'Онлайн-курс2'!B:I,7,FALSE()),".",",")),IFERROR(VALUE(SUBSTITUTE(VLOOKUP(H59,'Онлайн-курс2'!C:I,6,FALSE()),".",",")),0))*2</f>
        <v>20</v>
      </c>
      <c r="M59" s="8" t="s">
        <v>339</v>
      </c>
      <c r="N59" s="9">
        <v>1</v>
      </c>
      <c r="O59" s="4" t="s">
        <v>341</v>
      </c>
      <c r="P59" s="4">
        <v>0</v>
      </c>
      <c r="Q59" s="10" t="str">
        <f ca="1">IFERROR(__xludf.dummyfunction("iferror(index(QUERY(commits!A$2:$K1001, ""select Count(C) where lower(D) = lower('""&amp;G59&amp;""')""),2,1),""-"")"),"-")</f>
        <v>-</v>
      </c>
      <c r="R59" s="4" t="s">
        <v>39</v>
      </c>
      <c r="S59" s="4">
        <v>4</v>
      </c>
      <c r="T59" s="4">
        <f ca="1">VLOOKUP(A59,Расчёт_оценок!A:C,3,FALSE())</f>
        <v>6</v>
      </c>
      <c r="U59" s="4">
        <f ca="1">IFERROR(VLOOKUP(J59,Проекты!A:P,16,FALSE()),0)</f>
        <v>4</v>
      </c>
      <c r="V59" s="4" t="s">
        <v>54</v>
      </c>
      <c r="W59" s="4">
        <v>14</v>
      </c>
      <c r="X59" s="4">
        <v>36</v>
      </c>
      <c r="Y59" s="4">
        <v>3</v>
      </c>
      <c r="Z59" s="4">
        <v>10</v>
      </c>
      <c r="AA59" s="4">
        <v>3</v>
      </c>
      <c r="AB59" s="4">
        <v>0.6</v>
      </c>
      <c r="AC59" s="4">
        <f t="shared" si="8"/>
        <v>3.6</v>
      </c>
      <c r="AD59" s="4">
        <v>3.8</v>
      </c>
      <c r="AE59" s="4">
        <v>17</v>
      </c>
      <c r="AF59" s="4">
        <v>17</v>
      </c>
      <c r="AG59" s="4">
        <v>3</v>
      </c>
      <c r="AH59" s="4">
        <f ca="1">IFERROR(__xludf.dummyfunction("if(isna(filter(prs!C:U,prs!I:I=G59,prs!G:G&gt;DATE(2024,3,28),prs!G:G&lt;DATE(2024,4,26))),0,countunique(index(filter(prs!C:U,prs!I:I=G59,prs!G:G&gt;DATE(2024,3,28),prs!G:G&lt;DATE(2024,4,26)),,1)))"),3)</f>
        <v>3</v>
      </c>
      <c r="AI59" s="4">
        <f ca="1">IFERROR(__xludf.dummyfunction("if(isna(filter(prs!C:U,prs!I:I=G59,prs!R:R&lt;&gt;""Empty field"",prs!G:G&gt;DATE(2024,3,28),prs!G:G&lt;DATE(2024,4,26))),0,countunique(index(filter(prs!C:U,prs!I:I=G59,prs!R:R&lt;&gt;""Empty field"",prs!G:G&gt;DATE(2024,3,28),prs!G:G&lt;DATE(2024,4,26)),,1)))"),3)</f>
        <v>3</v>
      </c>
      <c r="AJ59" s="4">
        <f t="shared" ca="1" si="9"/>
        <v>3</v>
      </c>
      <c r="AK59" s="4">
        <f t="shared" ca="1" si="10"/>
        <v>6</v>
      </c>
      <c r="AL59" s="4">
        <f ca="1">IFERROR(__xludf.dummyfunction("filter('Проекты'!AT:AT,'Проекты'!A:A=J59)"),4)</f>
        <v>4</v>
      </c>
      <c r="AM59" s="4">
        <f ca="1">IFERROR(__xludf.dummyfunction("ifna(filter(commits_results!H:I,commits_results!B:B=A59,commits_results!A:A=J59),)"),2)</f>
        <v>2</v>
      </c>
      <c r="AN59" s="4">
        <f ca="1">IFERROR(__xludf.dummyfunction("""COMPUTED_VALUE"""),15)</f>
        <v>15</v>
      </c>
      <c r="AO59" s="4">
        <f t="shared" ca="1" si="11"/>
        <v>3</v>
      </c>
      <c r="AP59" s="4">
        <f ca="1">IFERROR(__xludf.dummyfunction("if(isna(filter(prs!C:U,prs!I:I=G59,prs!G:G&gt;DATE(2024,4,25),prs!G:G&lt;DATE(2024,5,23))),0,countunique(index(filter(prs!C:U,prs!I:I=G59,prs!G:G&gt;DATE(2024,4,25),prs!G:G&lt;DATE(2024,5,23)),,1)))"),2)</f>
        <v>2</v>
      </c>
      <c r="AQ59" s="4">
        <f ca="1">IFERROR(__xludf.dummyfunction("if(isna(filter(prs!C:U,prs!I:I=G59,prs!R:R&lt;&gt;""Empty field"",prs!G:G&gt;DATE(2024,4,25),prs!G:G&lt;DATE(2024,5,23))),0,countunique(index(filter(prs!C:U,prs!I:I=G59,prs!R:R&lt;&gt;""Empty field"",prs!G:G&gt;DATE(2024,4,25),prs!G:G&lt;DATE(2024,5,23)),,1)))"),0)</f>
        <v>0</v>
      </c>
      <c r="AR59" s="4">
        <f t="shared" ca="1" si="12"/>
        <v>0</v>
      </c>
      <c r="AS59" s="4">
        <f t="shared" ca="1" si="13"/>
        <v>3</v>
      </c>
      <c r="AT59" s="4">
        <f ca="1">IFERROR(__xludf.dummyfunction("filter('Проекты'!BB:BB,'Проекты'!A:A=J59)"),4)</f>
        <v>4</v>
      </c>
      <c r="AU59" s="4">
        <f ca="1">IFERROR(__xludf.dummyfunction("filter('Проекты'!BE:BE,'Проекты'!A:A=J59)"),0)</f>
        <v>0</v>
      </c>
      <c r="AV59" s="11">
        <f t="shared" ca="1" si="14"/>
        <v>55</v>
      </c>
      <c r="AW59" s="4" t="str">
        <f t="shared" ca="1" si="15"/>
        <v>Неудовлетворительно</v>
      </c>
    </row>
    <row r="60" spans="1:49" ht="15.75" customHeight="1">
      <c r="A60" s="6" t="s">
        <v>342</v>
      </c>
      <c r="B60" s="6" t="s">
        <v>342</v>
      </c>
      <c r="C60" s="6"/>
      <c r="D60" s="6">
        <v>1381</v>
      </c>
      <c r="E60" s="6" t="s">
        <v>343</v>
      </c>
      <c r="F60" s="6" t="s">
        <v>343</v>
      </c>
      <c r="G60" s="6" t="s">
        <v>344</v>
      </c>
      <c r="H60" s="6" t="s">
        <v>345</v>
      </c>
      <c r="I60" s="4" t="s">
        <v>1075</v>
      </c>
      <c r="J60" s="7">
        <f ca="1">IFERROR(__xludf.dummyfunction("index(split(I60,char(9)),1,1)"),8)</f>
        <v>8</v>
      </c>
      <c r="K60" s="7">
        <f ca="1">IFERROR(__xludf.dummyfunction("ifna(index(filter('Посещаемость_баллы'!$A:$L,'Посещаемость_баллы'!$B:$B=$B60,'Посещаемость_баллы'!$C:$C=$C60,'Посещаемость_баллы'!$D:$D=$D60),1,12)*10,0)"),8)</f>
        <v>8</v>
      </c>
      <c r="L60" s="7">
        <f>ROUNDDOWN(IFERROR(VALUE(VLOOKUP(H60,'Онлайн-курс1'!B:F,5,FALSE())),IFERROR(VALUE(VLOOKUP(H60,'Онлайн-курс1'!C:F,4,FALSE())),0))/40*20,0)
+ IFERROR(VALUE(SUBSTITUTE(VLOOKUP(H60,'Онлайн-курс2'!B:I,7,FALSE()),".",",")),IFERROR(VALUE(SUBSTITUTE(VLOOKUP(H60,'Онлайн-курс2'!C:I,6,FALSE()),".",",")),0))*2</f>
        <v>20</v>
      </c>
      <c r="M60" s="8" t="s">
        <v>344</v>
      </c>
      <c r="N60" s="9">
        <v>1</v>
      </c>
      <c r="O60" s="4" t="s">
        <v>346</v>
      </c>
      <c r="P60" s="4">
        <v>0</v>
      </c>
      <c r="Q60" s="10" t="str">
        <f ca="1">IFERROR(__xludf.dummyfunction("iferror(index(QUERY(commits!A$2:$K1001, ""select Count(C) where lower(D) = lower('""&amp;G60&amp;""')""),2,1),""-"")"),"-")</f>
        <v>-</v>
      </c>
      <c r="R60" s="4" t="s">
        <v>46</v>
      </c>
      <c r="S60" s="4" t="s">
        <v>47</v>
      </c>
      <c r="T60" s="4">
        <f ca="1">VLOOKUP(A60,Расчёт_оценок!A:C,3,FALSE())</f>
        <v>6</v>
      </c>
      <c r="U60" s="4">
        <f ca="1">IFERROR(VLOOKUP(J60,Проекты!A:P,16,FALSE()),0)</f>
        <v>4</v>
      </c>
      <c r="V60" s="4" t="s">
        <v>71</v>
      </c>
      <c r="W60" s="4">
        <v>16</v>
      </c>
      <c r="X60" s="4">
        <v>23</v>
      </c>
      <c r="Y60" s="4">
        <v>3</v>
      </c>
      <c r="Z60" s="4">
        <v>7</v>
      </c>
      <c r="AA60" s="4">
        <v>3</v>
      </c>
      <c r="AB60" s="4">
        <v>0.86</v>
      </c>
      <c r="AC60" s="4">
        <f t="shared" si="8"/>
        <v>4.8599999999999994</v>
      </c>
      <c r="AD60" s="4">
        <v>2.6</v>
      </c>
      <c r="AE60" s="4">
        <v>12</v>
      </c>
      <c r="AF60" s="4">
        <v>27</v>
      </c>
      <c r="AG60" s="4">
        <v>3</v>
      </c>
      <c r="AH60" s="4">
        <f ca="1">IFERROR(__xludf.dummyfunction("if(isna(filter(prs!C:U,prs!I:I=G60,prs!G:G&gt;DATE(2024,3,28),prs!G:G&lt;DATE(2024,4,26))),0,countunique(index(filter(prs!C:U,prs!I:I=G60,prs!G:G&gt;DATE(2024,3,28),prs!G:G&lt;DATE(2024,4,26)),,1)))"),12)</f>
        <v>12</v>
      </c>
      <c r="AI60" s="4">
        <f ca="1">IFERROR(__xludf.dummyfunction("if(isna(filter(prs!C:U,prs!I:I=G60,prs!R:R&lt;&gt;""Empty field"",prs!G:G&gt;DATE(2024,3,28),prs!G:G&lt;DATE(2024,4,26))),0,countunique(index(filter(prs!C:U,prs!I:I=G60,prs!R:R&lt;&gt;""Empty field"",prs!G:G&gt;DATE(2024,3,28),prs!G:G&lt;DATE(2024,4,26)),,1)))"),8)</f>
        <v>8</v>
      </c>
      <c r="AJ60" s="4">
        <f t="shared" ca="1" si="9"/>
        <v>3</v>
      </c>
      <c r="AK60" s="4">
        <f t="shared" ca="1" si="10"/>
        <v>6</v>
      </c>
      <c r="AL60" s="4">
        <f ca="1">IFERROR(__xludf.dummyfunction("filter('Проекты'!AT:AT,'Проекты'!A:A=J60)"),3.7)</f>
        <v>3.7</v>
      </c>
      <c r="AM60" s="4">
        <f ca="1">IFERROR(__xludf.dummyfunction("ifna(filter(commits_results!H:I,commits_results!B:B=A60,commits_results!A:A=J60),)"),31)</f>
        <v>31</v>
      </c>
      <c r="AN60" s="4">
        <f ca="1">IFERROR(__xludf.dummyfunction("""COMPUTED_VALUE"""),31)</f>
        <v>31</v>
      </c>
      <c r="AO60" s="4">
        <f t="shared" ca="1" si="11"/>
        <v>3</v>
      </c>
      <c r="AP60" s="4">
        <f ca="1">IFERROR(__xludf.dummyfunction("if(isna(filter(prs!C:U,prs!I:I=G60,prs!G:G&gt;DATE(2024,4,25),prs!G:G&lt;DATE(2024,5,23))),0,countunique(index(filter(prs!C:U,prs!I:I=G60,prs!G:G&gt;DATE(2024,4,25),prs!G:G&lt;DATE(2024,5,23)),,1)))"),2)</f>
        <v>2</v>
      </c>
      <c r="AQ60" s="4">
        <f ca="1">IFERROR(__xludf.dummyfunction("if(isna(filter(prs!C:U,prs!I:I=G60,prs!R:R&lt;&gt;""Empty field"",prs!G:G&gt;DATE(2024,4,25),prs!G:G&lt;DATE(2024,5,23))),0,countunique(index(filter(prs!C:U,prs!I:I=G60,prs!R:R&lt;&gt;""Empty field"",prs!G:G&gt;DATE(2024,4,25),prs!G:G&lt;DATE(2024,5,23)),,1)))"),2)</f>
        <v>2</v>
      </c>
      <c r="AR60" s="4">
        <f t="shared" ca="1" si="12"/>
        <v>3</v>
      </c>
      <c r="AS60" s="4">
        <f t="shared" ca="1" si="13"/>
        <v>6</v>
      </c>
      <c r="AT60" s="4">
        <f ca="1">IFERROR(__xludf.dummyfunction("filter('Проекты'!BB:BB,'Проекты'!A:A=J60)"),2.4)</f>
        <v>2.4</v>
      </c>
      <c r="AU60" s="4">
        <f ca="1">IFERROR(__xludf.dummyfunction("filter('Проекты'!BE:BE,'Проекты'!A:A=J60)"),0)</f>
        <v>0</v>
      </c>
      <c r="AV60" s="11">
        <f t="shared" ca="1" si="14"/>
        <v>64</v>
      </c>
      <c r="AW60" s="4" t="str">
        <f t="shared" ca="1" si="15"/>
        <v>Удовлетворительно</v>
      </c>
    </row>
    <row r="61" spans="1:49" ht="15.75" customHeight="1">
      <c r="A61" s="6" t="s">
        <v>347</v>
      </c>
      <c r="B61" s="6" t="s">
        <v>347</v>
      </c>
      <c r="C61" s="6"/>
      <c r="D61" s="6">
        <v>1381</v>
      </c>
      <c r="E61" s="6" t="s">
        <v>348</v>
      </c>
      <c r="F61" s="6" t="s">
        <v>348</v>
      </c>
      <c r="G61" s="6" t="s">
        <v>349</v>
      </c>
      <c r="H61" s="6" t="s">
        <v>350</v>
      </c>
      <c r="I61" s="4" t="s">
        <v>1076</v>
      </c>
      <c r="J61" s="7">
        <f ca="1">IFERROR(__xludf.dummyfunction("index(split(I61,char(9)),1,1)"),8)</f>
        <v>8</v>
      </c>
      <c r="K61" s="7">
        <f ca="1">IFERROR(__xludf.dummyfunction("ifna(index(filter('Посещаемость_баллы'!$A:$L,'Посещаемость_баллы'!$B:$B=$B61,'Посещаемость_баллы'!$C:$C=$C61,'Посещаемость_баллы'!$D:$D=$D61),1,12)*10,0)"),4)</f>
        <v>4</v>
      </c>
      <c r="L61" s="7">
        <f>ROUNDDOWN(IFERROR(VALUE(VLOOKUP(H61,'Онлайн-курс1'!B:F,5,FALSE())),IFERROR(VALUE(VLOOKUP(H61,'Онлайн-курс1'!C:F,4,FALSE())),0))/40*20,0)
+ IFERROR(VALUE(SUBSTITUTE(VLOOKUP(H61,'Онлайн-курс2'!B:I,7,FALSE()),".",",")),IFERROR(VALUE(SUBSTITUTE(VLOOKUP(H61,'Онлайн-курс2'!C:I,6,FALSE()),".",",")),0))*2</f>
        <v>0</v>
      </c>
      <c r="M61" s="8" t="s">
        <v>349</v>
      </c>
      <c r="N61" s="9">
        <v>1</v>
      </c>
      <c r="O61" s="4" t="s">
        <v>351</v>
      </c>
      <c r="P61" s="4">
        <v>0</v>
      </c>
      <c r="Q61" s="10" t="str">
        <f ca="1">IFERROR(__xludf.dummyfunction("iferror(index(QUERY(commits!A$2:$K1001, ""select Count(C) where lower(D) = lower('""&amp;G61&amp;""')""),2,1),""-"")"),"-")</f>
        <v>-</v>
      </c>
      <c r="R61" s="4" t="s">
        <v>211</v>
      </c>
      <c r="S61" s="4" t="s">
        <v>47</v>
      </c>
      <c r="T61" s="4">
        <f ca="1">VLOOKUP(A61,Расчёт_оценок!A:C,3,FALSE())</f>
        <v>6</v>
      </c>
      <c r="U61" s="4">
        <f ca="1">IFERROR(VLOOKUP(J61,Проекты!A:P,16,FALSE()),0)</f>
        <v>4</v>
      </c>
      <c r="V61" s="4" t="s">
        <v>71</v>
      </c>
      <c r="W61" s="4">
        <v>12</v>
      </c>
      <c r="X61" s="4">
        <v>16</v>
      </c>
      <c r="Y61" s="4">
        <v>3</v>
      </c>
      <c r="Z61" s="4">
        <v>5</v>
      </c>
      <c r="AA61" s="4">
        <v>5</v>
      </c>
      <c r="AB61" s="4">
        <v>2</v>
      </c>
      <c r="AC61" s="4">
        <f t="shared" si="8"/>
        <v>6</v>
      </c>
      <c r="AD61" s="4">
        <v>2.6</v>
      </c>
      <c r="AE61" s="4">
        <v>7</v>
      </c>
      <c r="AF61" s="4">
        <v>7</v>
      </c>
      <c r="AG61" s="4">
        <v>3</v>
      </c>
      <c r="AH61" s="4">
        <f ca="1">IFERROR(__xludf.dummyfunction("if(isna(filter(prs!C:U,prs!I:I=G61,prs!G:G&gt;DATE(2024,3,28),prs!G:G&lt;DATE(2024,4,26))),0,countunique(index(filter(prs!C:U,prs!I:I=G61,prs!G:G&gt;DATE(2024,3,28),prs!G:G&lt;DATE(2024,4,26)),,1)))"),12)</f>
        <v>12</v>
      </c>
      <c r="AI61" s="4">
        <f ca="1">IFERROR(__xludf.dummyfunction("if(isna(filter(prs!C:U,prs!I:I=G61,prs!R:R&lt;&gt;""Empty field"",prs!G:G&gt;DATE(2024,3,28),prs!G:G&lt;DATE(2024,4,26))),0,countunique(index(filter(prs!C:U,prs!I:I=G61,prs!R:R&lt;&gt;""Empty field"",prs!G:G&gt;DATE(2024,3,28),prs!G:G&lt;DATE(2024,4,26)),,1)))"),12)</f>
        <v>12</v>
      </c>
      <c r="AJ61" s="4">
        <f t="shared" ca="1" si="9"/>
        <v>3</v>
      </c>
      <c r="AK61" s="4">
        <f t="shared" ca="1" si="10"/>
        <v>6</v>
      </c>
      <c r="AL61" s="4">
        <f ca="1">IFERROR(__xludf.dummyfunction("filter('Проекты'!AT:AT,'Проекты'!A:A=J61)"),3.7)</f>
        <v>3.7</v>
      </c>
      <c r="AM61" s="4">
        <f ca="1">IFERROR(__xludf.dummyfunction("ifna(filter(commits_results!H:I,commits_results!B:B=A61,commits_results!A:A=J61),)"),1)</f>
        <v>1</v>
      </c>
      <c r="AN61" s="4">
        <f ca="1">IFERROR(__xludf.dummyfunction("""COMPUTED_VALUE"""),1)</f>
        <v>1</v>
      </c>
      <c r="AO61" s="4">
        <f t="shared" ca="1" si="11"/>
        <v>3</v>
      </c>
      <c r="AP61" s="4">
        <f ca="1">IFERROR(__xludf.dummyfunction("if(isna(filter(prs!C:U,prs!I:I=G61,prs!G:G&gt;DATE(2024,4,25),prs!G:G&lt;DATE(2024,5,23))),0,countunique(index(filter(prs!C:U,prs!I:I=G61,prs!G:G&gt;DATE(2024,4,25),prs!G:G&lt;DATE(2024,5,23)),,1)))"),1)</f>
        <v>1</v>
      </c>
      <c r="AQ61" s="4">
        <f ca="1">IFERROR(__xludf.dummyfunction("if(isna(filter(prs!C:U,prs!I:I=G61,prs!R:R&lt;&gt;""Empty field"",prs!G:G&gt;DATE(2024,4,25),prs!G:G&lt;DATE(2024,5,23))),0,countunique(index(filter(prs!C:U,prs!I:I=G61,prs!R:R&lt;&gt;""Empty field"",prs!G:G&gt;DATE(2024,4,25),prs!G:G&lt;DATE(2024,5,23)),,1)))"),1)</f>
        <v>1</v>
      </c>
      <c r="AR61" s="4">
        <f t="shared" ca="1" si="12"/>
        <v>3</v>
      </c>
      <c r="AS61" s="4">
        <f t="shared" ca="1" si="13"/>
        <v>6</v>
      </c>
      <c r="AT61" s="4">
        <f ca="1">IFERROR(__xludf.dummyfunction("filter('Проекты'!BB:BB,'Проекты'!A:A=J61)"),2.4)</f>
        <v>2.4</v>
      </c>
      <c r="AU61" s="4">
        <f ca="1">IFERROR(__xludf.dummyfunction("filter('Проекты'!BE:BE,'Проекты'!A:A=J61)"),0)</f>
        <v>0</v>
      </c>
      <c r="AV61" s="11">
        <f t="shared" ca="1" si="14"/>
        <v>41</v>
      </c>
      <c r="AW61" s="4" t="str">
        <f t="shared" ca="1" si="15"/>
        <v>Неудовлетворительно</v>
      </c>
    </row>
    <row r="62" spans="1:49" ht="15.75" customHeight="1">
      <c r="A62" s="6" t="s">
        <v>352</v>
      </c>
      <c r="B62" s="6" t="s">
        <v>352</v>
      </c>
      <c r="C62" s="6"/>
      <c r="D62" s="6">
        <v>1381</v>
      </c>
      <c r="E62" s="6" t="s">
        <v>353</v>
      </c>
      <c r="F62" s="6" t="s">
        <v>353</v>
      </c>
      <c r="G62" s="6" t="s">
        <v>354</v>
      </c>
      <c r="H62" s="6" t="s">
        <v>355</v>
      </c>
      <c r="I62" s="4" t="s">
        <v>1077</v>
      </c>
      <c r="J62" s="7">
        <f ca="1">IFERROR(__xludf.dummyfunction("index(split(I62,char(9)),1,1)"),8)</f>
        <v>8</v>
      </c>
      <c r="K62" s="7">
        <f ca="1">IFERROR(__xludf.dummyfunction("ifna(index(filter('Посещаемость_баллы'!$A:$L,'Посещаемость_баллы'!$B:$B=$B62,'Посещаемость_баллы'!$C:$C=$C62,'Посещаемость_баллы'!$D:$D=$D62),1,12)*10,0)"),2)</f>
        <v>2</v>
      </c>
      <c r="L62" s="7">
        <f>ROUNDDOWN(IFERROR(VALUE(VLOOKUP(H62,'Онлайн-курс1'!B:F,5,FALSE())),IFERROR(VALUE(VLOOKUP(H62,'Онлайн-курс1'!C:F,4,FALSE())),0))/40*20,0)
+ IFERROR(VALUE(SUBSTITUTE(VLOOKUP(H62,'Онлайн-курс2'!B:I,7,FALSE()),".",",")),IFERROR(VALUE(SUBSTITUTE(VLOOKUP(H62,'Онлайн-курс2'!C:I,6,FALSE()),".",",")),0))*2</f>
        <v>20</v>
      </c>
      <c r="M62" s="8" t="s">
        <v>354</v>
      </c>
      <c r="N62" s="9">
        <v>1</v>
      </c>
      <c r="O62" s="4" t="s">
        <v>356</v>
      </c>
      <c r="P62" s="4">
        <v>0</v>
      </c>
      <c r="Q62" s="10" t="str">
        <f ca="1">IFERROR(__xludf.dummyfunction("iferror(index(QUERY(commits!A$2:$K1001, ""select Count(C) where lower(D) = lower('""&amp;G62&amp;""')""),2,1),""-"")"),"-")</f>
        <v>-</v>
      </c>
      <c r="R62" s="4" t="s">
        <v>40</v>
      </c>
      <c r="S62" s="4">
        <v>1</v>
      </c>
      <c r="T62" s="4">
        <f ca="1">VLOOKUP(A62,Расчёт_оценок!A:C,3,FALSE())</f>
        <v>6</v>
      </c>
      <c r="U62" s="4">
        <f ca="1">IFERROR(VLOOKUP(J62,Проекты!A:P,16,FALSE()),0)</f>
        <v>4</v>
      </c>
      <c r="V62" s="4" t="s">
        <v>357</v>
      </c>
      <c r="W62" s="4">
        <v>9</v>
      </c>
      <c r="X62" s="4">
        <v>11</v>
      </c>
      <c r="Y62" s="4">
        <v>2.4500000000000002</v>
      </c>
      <c r="Z62" s="4">
        <v>7</v>
      </c>
      <c r="AA62" s="4">
        <v>4</v>
      </c>
      <c r="AB62" s="4">
        <v>1.1399999999999999</v>
      </c>
      <c r="AC62" s="4">
        <f t="shared" si="8"/>
        <v>4.59</v>
      </c>
      <c r="AD62" s="4">
        <v>2.6</v>
      </c>
      <c r="AE62" s="4">
        <v>5</v>
      </c>
      <c r="AF62" s="4">
        <v>6</v>
      </c>
      <c r="AG62" s="4">
        <v>2.5</v>
      </c>
      <c r="AH62" s="4">
        <f ca="1">IFERROR(__xludf.dummyfunction("if(isna(filter(prs!C:U,prs!I:I=G62,prs!G:G&gt;DATE(2024,3,28),prs!G:G&lt;DATE(2024,4,26))),0,countunique(index(filter(prs!C:U,prs!I:I=G62,prs!G:G&gt;DATE(2024,3,28),prs!G:G&lt;DATE(2024,4,26)),,1)))"),10)</f>
        <v>10</v>
      </c>
      <c r="AI62" s="4">
        <f ca="1">IFERROR(__xludf.dummyfunction("if(isna(filter(prs!C:U,prs!I:I=G62,prs!R:R&lt;&gt;""Empty field"",prs!G:G&gt;DATE(2024,3,28),prs!G:G&lt;DATE(2024,4,26))),0,countunique(index(filter(prs!C:U,prs!I:I=G62,prs!R:R&lt;&gt;""Empty field"",prs!G:G&gt;DATE(2024,3,28),prs!G:G&lt;DATE(2024,4,26)),,1)))"),10)</f>
        <v>10</v>
      </c>
      <c r="AJ62" s="4">
        <f t="shared" ca="1" si="9"/>
        <v>3</v>
      </c>
      <c r="AK62" s="4">
        <f t="shared" ca="1" si="10"/>
        <v>5.5</v>
      </c>
      <c r="AL62" s="4">
        <f ca="1">IFERROR(__xludf.dummyfunction("filter('Проекты'!AT:AT,'Проекты'!A:A=J62)"),3.7)</f>
        <v>3.7</v>
      </c>
      <c r="AM62" s="4">
        <f ca="1">IFERROR(__xludf.dummyfunction("ifna(filter(commits_results!H:I,commits_results!B:B=A62,commits_results!A:A=J62),)"),2)</f>
        <v>2</v>
      </c>
      <c r="AN62" s="4">
        <f ca="1">IFERROR(__xludf.dummyfunction("""COMPUTED_VALUE"""),2)</f>
        <v>2</v>
      </c>
      <c r="AO62" s="4">
        <f t="shared" ca="1" si="11"/>
        <v>3</v>
      </c>
      <c r="AP62" s="4">
        <f ca="1">IFERROR(__xludf.dummyfunction("if(isna(filter(prs!C:U,prs!I:I=G62,prs!G:G&gt;DATE(2024,4,25),prs!G:G&lt;DATE(2024,5,23))),0,countunique(index(filter(prs!C:U,prs!I:I=G62,prs!G:G&gt;DATE(2024,4,25),prs!G:G&lt;DATE(2024,5,23)),,1)))"),1)</f>
        <v>1</v>
      </c>
      <c r="AQ62" s="4">
        <f ca="1">IFERROR(__xludf.dummyfunction("if(isna(filter(prs!C:U,prs!I:I=G62,prs!R:R&lt;&gt;""Empty field"",prs!G:G&gt;DATE(2024,4,25),prs!G:G&lt;DATE(2024,5,23))),0,countunique(index(filter(prs!C:U,prs!I:I=G62,prs!R:R&lt;&gt;""Empty field"",prs!G:G&gt;DATE(2024,4,25),prs!G:G&lt;DATE(2024,5,23)),,1)))"),1)</f>
        <v>1</v>
      </c>
      <c r="AR62" s="4">
        <f t="shared" ca="1" si="12"/>
        <v>3</v>
      </c>
      <c r="AS62" s="4">
        <f t="shared" ca="1" si="13"/>
        <v>6</v>
      </c>
      <c r="AT62" s="4">
        <f ca="1">IFERROR(__xludf.dummyfunction("filter('Проекты'!BB:BB,'Проекты'!A:A=J62)"),2.4)</f>
        <v>2.4</v>
      </c>
      <c r="AU62" s="4">
        <f ca="1">IFERROR(__xludf.dummyfunction("filter('Проекты'!BE:BE,'Проекты'!A:A=J62)"),0)</f>
        <v>0</v>
      </c>
      <c r="AV62" s="11">
        <f t="shared" ca="1" si="14"/>
        <v>57</v>
      </c>
      <c r="AW62" s="4" t="str">
        <f t="shared" ca="1" si="15"/>
        <v>Неудовлетворительно</v>
      </c>
    </row>
    <row r="63" spans="1:49" ht="15.75" customHeight="1">
      <c r="A63" s="6" t="s">
        <v>358</v>
      </c>
      <c r="B63" s="6" t="s">
        <v>358</v>
      </c>
      <c r="C63" s="6"/>
      <c r="D63" s="6">
        <v>1381</v>
      </c>
      <c r="E63" s="6" t="s">
        <v>359</v>
      </c>
      <c r="F63" s="6" t="s">
        <v>359</v>
      </c>
      <c r="G63" s="6" t="s">
        <v>360</v>
      </c>
      <c r="H63" s="6" t="s">
        <v>361</v>
      </c>
      <c r="I63" s="4" t="s">
        <v>1078</v>
      </c>
      <c r="J63" s="7">
        <f ca="1">IFERROR(__xludf.dummyfunction("index(split(I63,char(9)),1,1)"),8)</f>
        <v>8</v>
      </c>
      <c r="K63" s="7">
        <f ca="1">IFERROR(__xludf.dummyfunction("ifna(index(filter('Посещаемость_баллы'!$A:$L,'Посещаемость_баллы'!$B:$B=$B63,'Посещаемость_баллы'!$C:$C=$C63,'Посещаемость_баллы'!$D:$D=$D63),1,12)*10,0)"),6)</f>
        <v>6</v>
      </c>
      <c r="L63" s="7">
        <f>ROUNDDOWN(IFERROR(VALUE(VLOOKUP(H63,'Онлайн-курс1'!B:F,5,FALSE())),IFERROR(VALUE(VLOOKUP(H63,'Онлайн-курс1'!C:F,4,FALSE())),0))/40*20,0)
+ IFERROR(VALUE(SUBSTITUTE(VLOOKUP(H63,'Онлайн-курс2'!B:I,7,FALSE()),".",",")),IFERROR(VALUE(SUBSTITUTE(VLOOKUP(H63,'Онлайн-курс2'!C:I,6,FALSE()),".",",")),0))*2</f>
        <v>20</v>
      </c>
      <c r="M63" s="8" t="s">
        <v>360</v>
      </c>
      <c r="N63" s="9">
        <v>1</v>
      </c>
      <c r="O63" s="4" t="s">
        <v>362</v>
      </c>
      <c r="P63" s="4">
        <v>0</v>
      </c>
      <c r="Q63" s="10" t="str">
        <f ca="1">IFERROR(__xludf.dummyfunction("iferror(index(QUERY(commits!A$2:$K1001, ""select Count(C) where lower(D) = lower('""&amp;G63&amp;""')""),2,1),""-"")"),"-")</f>
        <v>-</v>
      </c>
      <c r="R63" s="4" t="s">
        <v>54</v>
      </c>
      <c r="S63" s="4" t="s">
        <v>47</v>
      </c>
      <c r="T63" s="4">
        <f ca="1">VLOOKUP(A63,Расчёт_оценок!A:C,3,FALSE())</f>
        <v>6</v>
      </c>
      <c r="U63" s="4">
        <f ca="1">IFERROR(VLOOKUP(J63,Проекты!A:P,16,FALSE()),0)</f>
        <v>4</v>
      </c>
      <c r="V63" s="4" t="s">
        <v>103</v>
      </c>
      <c r="W63" s="4">
        <v>9</v>
      </c>
      <c r="X63" s="4">
        <v>13</v>
      </c>
      <c r="Y63" s="4">
        <v>2.08</v>
      </c>
      <c r="Z63" s="4">
        <v>5</v>
      </c>
      <c r="AA63" s="4">
        <v>4</v>
      </c>
      <c r="AB63" s="4">
        <v>1.6</v>
      </c>
      <c r="AC63" s="4">
        <f t="shared" si="8"/>
        <v>4.68</v>
      </c>
      <c r="AD63" s="4">
        <v>2.6</v>
      </c>
      <c r="AE63" s="4">
        <v>17</v>
      </c>
      <c r="AF63" s="4">
        <v>17</v>
      </c>
      <c r="AG63" s="4">
        <v>3</v>
      </c>
      <c r="AH63" s="4">
        <f ca="1">IFERROR(__xludf.dummyfunction("if(isna(filter(prs!C:U,prs!I:I=G63,prs!G:G&gt;DATE(2024,3,28),prs!G:G&lt;DATE(2024,4,26))),0,countunique(index(filter(prs!C:U,prs!I:I=G63,prs!G:G&gt;DATE(2024,3,28),prs!G:G&lt;DATE(2024,4,26)),,1)))"),16)</f>
        <v>16</v>
      </c>
      <c r="AI63" s="4">
        <f ca="1">IFERROR(__xludf.dummyfunction("if(isna(filter(prs!C:U,prs!I:I=G63,prs!R:R&lt;&gt;""Empty field"",prs!G:G&gt;DATE(2024,3,28),prs!G:G&lt;DATE(2024,4,26))),0,countunique(index(filter(prs!C:U,prs!I:I=G63,prs!R:R&lt;&gt;""Empty field"",prs!G:G&gt;DATE(2024,3,28),prs!G:G&lt;DATE(2024,4,26)),,1)))"),10)</f>
        <v>10</v>
      </c>
      <c r="AJ63" s="4">
        <f t="shared" ca="1" si="9"/>
        <v>3</v>
      </c>
      <c r="AK63" s="4">
        <f t="shared" ca="1" si="10"/>
        <v>6</v>
      </c>
      <c r="AL63" s="4">
        <f ca="1">IFERROR(__xludf.dummyfunction("filter('Проекты'!AT:AT,'Проекты'!A:A=J63)"),3.7)</f>
        <v>3.7</v>
      </c>
      <c r="AM63" s="4">
        <f ca="1">IFERROR(__xludf.dummyfunction("ifna(filter(commits_results!H:I,commits_results!B:B=A63,commits_results!A:A=J63),)"),11)</f>
        <v>11</v>
      </c>
      <c r="AN63" s="4">
        <f ca="1">IFERROR(__xludf.dummyfunction("""COMPUTED_VALUE"""),11)</f>
        <v>11</v>
      </c>
      <c r="AO63" s="4">
        <f t="shared" ca="1" si="11"/>
        <v>3</v>
      </c>
      <c r="AP63" s="4">
        <f ca="1">IFERROR(__xludf.dummyfunction("if(isna(filter(prs!C:U,prs!I:I=G63,prs!G:G&gt;DATE(2024,4,25),prs!G:G&lt;DATE(2024,5,23))),0,countunique(index(filter(prs!C:U,prs!I:I=G63,prs!G:G&gt;DATE(2024,4,25),prs!G:G&lt;DATE(2024,5,23)),,1)))"),1)</f>
        <v>1</v>
      </c>
      <c r="AQ63" s="4">
        <f ca="1">IFERROR(__xludf.dummyfunction("if(isna(filter(prs!C:U,prs!I:I=G63,prs!R:R&lt;&gt;""Empty field"",prs!G:G&gt;DATE(2024,4,25),prs!G:G&lt;DATE(2024,5,23))),0,countunique(index(filter(prs!C:U,prs!I:I=G63,prs!R:R&lt;&gt;""Empty field"",prs!G:G&gt;DATE(2024,4,25),prs!G:G&lt;DATE(2024,5,23)),,1)))"),1)</f>
        <v>1</v>
      </c>
      <c r="AR63" s="4">
        <f t="shared" ca="1" si="12"/>
        <v>3</v>
      </c>
      <c r="AS63" s="4">
        <f t="shared" ca="1" si="13"/>
        <v>6</v>
      </c>
      <c r="AT63" s="4">
        <f ca="1">IFERROR(__xludf.dummyfunction("filter('Проекты'!BB:BB,'Проекты'!A:A=J63)"),2.4)</f>
        <v>2.4</v>
      </c>
      <c r="AU63" s="4">
        <f ca="1">IFERROR(__xludf.dummyfunction("filter('Проекты'!BE:BE,'Проекты'!A:A=J63)"),0)</f>
        <v>0</v>
      </c>
      <c r="AV63" s="11">
        <f t="shared" ca="1" si="14"/>
        <v>62</v>
      </c>
      <c r="AW63" s="4" t="str">
        <f t="shared" ca="1" si="15"/>
        <v>Удовлетворительно</v>
      </c>
    </row>
    <row r="64" spans="1:49" ht="15.75" customHeight="1">
      <c r="A64" s="6" t="s">
        <v>363</v>
      </c>
      <c r="B64" s="6" t="s">
        <v>363</v>
      </c>
      <c r="C64" s="6"/>
      <c r="D64" s="6">
        <v>1381</v>
      </c>
      <c r="E64" s="6" t="s">
        <v>364</v>
      </c>
      <c r="F64" s="6" t="s">
        <v>364</v>
      </c>
      <c r="G64" s="6" t="s">
        <v>365</v>
      </c>
      <c r="H64" s="6" t="s">
        <v>366</v>
      </c>
      <c r="I64" s="4" t="s">
        <v>1079</v>
      </c>
      <c r="J64" s="7">
        <f ca="1">IFERROR(__xludf.dummyfunction("index(split(I64,char(9)),1,1)"),16)</f>
        <v>16</v>
      </c>
      <c r="K64" s="7">
        <f ca="1">IFERROR(__xludf.dummyfunction("ifna(index(filter('Посещаемость_баллы'!$A:$L,'Посещаемость_баллы'!$B:$B=$B64,'Посещаемость_баллы'!$C:$C=$C64,'Посещаемость_баллы'!$D:$D=$D64),1,12)*10,0)"),6)</f>
        <v>6</v>
      </c>
      <c r="L64" s="7">
        <f>ROUNDDOWN(IFERROR(VALUE(VLOOKUP(H64,'Онлайн-курс1'!B:F,5,FALSE())),IFERROR(VALUE(VLOOKUP(H64,'Онлайн-курс1'!C:F,4,FALSE())),0))/40*20,0)
+ IFERROR(VALUE(SUBSTITUTE(VLOOKUP(H64,'Онлайн-курс2'!B:I,7,FALSE()),".",",")),IFERROR(VALUE(SUBSTITUTE(VLOOKUP(H64,'Онлайн-курс2'!C:I,6,FALSE()),".",",")),0))*2</f>
        <v>20</v>
      </c>
      <c r="M64" s="8" t="s">
        <v>365</v>
      </c>
      <c r="N64" s="9">
        <v>1</v>
      </c>
      <c r="O64" s="4" t="s">
        <v>367</v>
      </c>
      <c r="P64" s="4">
        <v>1</v>
      </c>
      <c r="Q64" s="10" t="str">
        <f ca="1">IFERROR(__xludf.dummyfunction("iferror(index(QUERY(commits!A$2:$K1001, ""select Count(C) where lower(D) = lower('""&amp;G64&amp;""')""),2,1),""-"")"),"-")</f>
        <v>-</v>
      </c>
      <c r="R64" s="4" t="s">
        <v>211</v>
      </c>
      <c r="S64" s="4" t="s">
        <v>47</v>
      </c>
      <c r="T64" s="4">
        <f ca="1">VLOOKUP(A64,Расчёт_оценок!A:C,3,FALSE())</f>
        <v>6</v>
      </c>
      <c r="U64" s="4">
        <f ca="1">IFERROR(VLOOKUP(J64,Проекты!A:P,16,FALSE()),0)</f>
        <v>4</v>
      </c>
      <c r="V64" s="4" t="s">
        <v>40</v>
      </c>
      <c r="W64" s="4">
        <v>1</v>
      </c>
      <c r="X64" s="4">
        <v>2</v>
      </c>
      <c r="Y64" s="4">
        <v>0.75</v>
      </c>
      <c r="Z64" s="4">
        <v>1</v>
      </c>
      <c r="AA64" s="4">
        <v>1</v>
      </c>
      <c r="AB64" s="4">
        <v>1</v>
      </c>
      <c r="AC64" s="4">
        <f t="shared" si="8"/>
        <v>2.75</v>
      </c>
      <c r="AD64" s="4">
        <v>4</v>
      </c>
      <c r="AE64" s="4">
        <v>2</v>
      </c>
      <c r="AF64" s="4">
        <v>2</v>
      </c>
      <c r="AG64" s="4">
        <v>1.5</v>
      </c>
      <c r="AH64" s="4">
        <f ca="1">IFERROR(__xludf.dummyfunction("if(isna(filter(prs!C:U,prs!I:I=G64,prs!G:G&gt;DATE(2024,3,28),prs!G:G&lt;DATE(2024,4,26))),0,countunique(index(filter(prs!C:U,prs!I:I=G64,prs!G:G&gt;DATE(2024,3,28),prs!G:G&lt;DATE(2024,4,26)),,1)))"),4)</f>
        <v>4</v>
      </c>
      <c r="AI64" s="4">
        <f ca="1">IFERROR(__xludf.dummyfunction("if(isna(filter(prs!C:U,prs!I:I=G64,prs!R:R&lt;&gt;""Empty field"",prs!G:G&gt;DATE(2024,3,28),prs!G:G&lt;DATE(2024,4,26))),0,countunique(index(filter(prs!C:U,prs!I:I=G64,prs!R:R&lt;&gt;""Empty field"",prs!G:G&gt;DATE(2024,3,28),prs!G:G&lt;DATE(2024,4,26)),,1)))"),4)</f>
        <v>4</v>
      </c>
      <c r="AJ64" s="4">
        <f t="shared" ca="1" si="9"/>
        <v>3</v>
      </c>
      <c r="AK64" s="4">
        <f t="shared" ca="1" si="10"/>
        <v>4.5</v>
      </c>
      <c r="AL64" s="4">
        <f ca="1">IFERROR(__xludf.dummyfunction("filter('Проекты'!AT:AT,'Проекты'!A:A=J64)"),4)</f>
        <v>4</v>
      </c>
      <c r="AM64" s="4">
        <f ca="1">IFERROR(__xludf.dummyfunction("ifna(filter(commits_results!H:I,commits_results!B:B=A64,commits_results!A:A=J64),)"),1)</f>
        <v>1</v>
      </c>
      <c r="AN64" s="4">
        <f ca="1">IFERROR(__xludf.dummyfunction("""COMPUTED_VALUE"""),1)</f>
        <v>1</v>
      </c>
      <c r="AO64" s="4">
        <f t="shared" ca="1" si="11"/>
        <v>3</v>
      </c>
      <c r="AP64" s="4">
        <f ca="1">IFERROR(__xludf.dummyfunction("if(isna(filter(prs!C:U,prs!I:I=G64,prs!G:G&gt;DATE(2024,4,25),prs!G:G&lt;DATE(2024,5,23))),0,countunique(index(filter(prs!C:U,prs!I:I=G64,prs!G:G&gt;DATE(2024,4,25),prs!G:G&lt;DATE(2024,5,23)),,1)))"),1)</f>
        <v>1</v>
      </c>
      <c r="AQ64" s="4">
        <f ca="1">IFERROR(__xludf.dummyfunction("if(isna(filter(prs!C:U,prs!I:I=G64,prs!R:R&lt;&gt;""Empty field"",prs!G:G&gt;DATE(2024,4,25),prs!G:G&lt;DATE(2024,5,23))),0,countunique(index(filter(prs!C:U,prs!I:I=G64,prs!R:R&lt;&gt;""Empty field"",prs!G:G&gt;DATE(2024,4,25),prs!G:G&lt;DATE(2024,5,23)),,1)))"),1)</f>
        <v>1</v>
      </c>
      <c r="AR64" s="4">
        <f t="shared" ca="1" si="12"/>
        <v>3</v>
      </c>
      <c r="AS64" s="4">
        <f t="shared" ca="1" si="13"/>
        <v>6</v>
      </c>
      <c r="AT64" s="4">
        <f ca="1">IFERROR(__xludf.dummyfunction("filter('Проекты'!BB:BB,'Проекты'!A:A=J64)"),2.4)</f>
        <v>2.4</v>
      </c>
      <c r="AU64" s="4">
        <f ca="1">IFERROR(__xludf.dummyfunction("filter('Проекты'!BE:BE,'Проекты'!A:A=J64)"),0)</f>
        <v>0</v>
      </c>
      <c r="AV64" s="11">
        <f t="shared" ca="1" si="14"/>
        <v>60</v>
      </c>
      <c r="AW64" s="4" t="str">
        <f t="shared" ca="1" si="15"/>
        <v>Удовлетворительно</v>
      </c>
    </row>
    <row r="65" spans="1:79" ht="15.75" customHeight="1">
      <c r="A65" s="6" t="s">
        <v>368</v>
      </c>
      <c r="B65" s="6" t="s">
        <v>368</v>
      </c>
      <c r="C65" s="6"/>
      <c r="D65" s="6">
        <v>1381</v>
      </c>
      <c r="E65" s="6" t="s">
        <v>369</v>
      </c>
      <c r="F65" s="6" t="s">
        <v>369</v>
      </c>
      <c r="G65" s="6" t="s">
        <v>370</v>
      </c>
      <c r="H65" s="6" t="s">
        <v>371</v>
      </c>
      <c r="I65" s="4" t="s">
        <v>1080</v>
      </c>
      <c r="J65" s="7">
        <f ca="1">IFERROR(__xludf.dummyfunction("index(split(I65,char(9)),1,1)"),17)</f>
        <v>17</v>
      </c>
      <c r="K65" s="7">
        <f ca="1">IFERROR(__xludf.dummyfunction("ifna(index(filter('Посещаемость_баллы'!$A:$L,'Посещаемость_баллы'!$B:$B=$B65,'Посещаемость_баллы'!$C:$C=$C65,'Посещаемость_баллы'!$D:$D=$D65),1,12)*10,0)"),4)</f>
        <v>4</v>
      </c>
      <c r="L65" s="7">
        <f>ROUNDDOWN(IFERROR(VALUE(VLOOKUP(H65,'Онлайн-курс1'!B:F,5,FALSE())),IFERROR(VALUE(VLOOKUP(H65,'Онлайн-курс1'!C:F,4,FALSE())),0))/40*20,0)
+ IFERROR(VALUE(SUBSTITUTE(VLOOKUP(H65,'Онлайн-курс2'!B:I,7,FALSE()),".",",")),IFERROR(VALUE(SUBSTITUTE(VLOOKUP(H65,'Онлайн-курс2'!C:I,6,FALSE()),".",",")),0))*2</f>
        <v>20</v>
      </c>
      <c r="M65" s="8" t="s">
        <v>370</v>
      </c>
      <c r="N65" s="9">
        <v>1</v>
      </c>
      <c r="O65" s="4" t="s">
        <v>372</v>
      </c>
      <c r="P65" s="4">
        <v>0</v>
      </c>
      <c r="Q65" s="10" t="str">
        <f ca="1">IFERROR(__xludf.dummyfunction("iferror(index(QUERY(commits!A$2:$K1001, ""select Count(C) where lower(D) = lower('""&amp;G65&amp;""')""),2,1),""-"")"),"-")</f>
        <v>-</v>
      </c>
      <c r="R65" s="4" t="s">
        <v>54</v>
      </c>
      <c r="S65" s="4" t="s">
        <v>47</v>
      </c>
      <c r="T65" s="4">
        <f ca="1">VLOOKUP(A65,Расчёт_оценок!A:C,3,FALSE())</f>
        <v>6</v>
      </c>
      <c r="U65" s="4">
        <f ca="1">IFERROR(VLOOKUP(J65,Проекты!A:P,16,FALSE()),0)</f>
        <v>4</v>
      </c>
      <c r="V65" s="4" t="s">
        <v>40</v>
      </c>
      <c r="W65" s="4">
        <v>0</v>
      </c>
      <c r="X65" s="4">
        <v>3</v>
      </c>
      <c r="Y65" s="4">
        <v>0</v>
      </c>
      <c r="Z65" s="4">
        <v>1</v>
      </c>
      <c r="AA65" s="4">
        <v>1</v>
      </c>
      <c r="AB65" s="4">
        <v>1</v>
      </c>
      <c r="AC65" s="4">
        <f t="shared" si="8"/>
        <v>2</v>
      </c>
      <c r="AD65" s="4">
        <v>0.2</v>
      </c>
      <c r="AE65" s="4">
        <v>26</v>
      </c>
      <c r="AF65" s="4">
        <v>26</v>
      </c>
      <c r="AG65" s="4">
        <v>3</v>
      </c>
      <c r="AH65" s="4">
        <f ca="1">IFERROR(__xludf.dummyfunction("if(isna(filter(prs!C:U,prs!I:I=G65,prs!G:G&gt;DATE(2024,3,28),prs!G:G&lt;DATE(2024,4,26))),0,countunique(index(filter(prs!C:U,prs!I:I=G65,prs!G:G&gt;DATE(2024,3,28),prs!G:G&lt;DATE(2024,4,26)),,1)))"),2)</f>
        <v>2</v>
      </c>
      <c r="AI65" s="4">
        <f ca="1">IFERROR(__xludf.dummyfunction("if(isna(filter(prs!C:U,prs!I:I=G65,prs!R:R&lt;&gt;""Empty field"",prs!G:G&gt;DATE(2024,3,28),prs!G:G&lt;DATE(2024,4,26))),0,countunique(index(filter(prs!C:U,prs!I:I=G65,prs!R:R&lt;&gt;""Empty field"",prs!G:G&gt;DATE(2024,3,28),prs!G:G&lt;DATE(2024,4,26)),,1)))"),2)</f>
        <v>2</v>
      </c>
      <c r="AJ65" s="4">
        <f t="shared" ca="1" si="9"/>
        <v>3</v>
      </c>
      <c r="AK65" s="4">
        <f t="shared" ca="1" si="10"/>
        <v>6</v>
      </c>
      <c r="AL65" s="4">
        <f ca="1">IFERROR(__xludf.dummyfunction("filter('Проекты'!AT:AT,'Проекты'!A:A=J65)"),1.3)</f>
        <v>1.3</v>
      </c>
      <c r="AM65" s="4">
        <f ca="1">IFERROR(__xludf.dummyfunction("ifna(filter(commits_results!H:I,commits_results!B:B=A65,commits_results!A:A=J65),)"),49)</f>
        <v>49</v>
      </c>
      <c r="AN65" s="4">
        <f ca="1">IFERROR(__xludf.dummyfunction("""COMPUTED_VALUE"""),49)</f>
        <v>49</v>
      </c>
      <c r="AO65" s="4">
        <f t="shared" ca="1" si="11"/>
        <v>3</v>
      </c>
      <c r="AP65" s="4">
        <f ca="1">IFERROR(__xludf.dummyfunction("if(isna(filter(prs!C:U,prs!I:I=G65,prs!G:G&gt;DATE(2024,4,25),prs!G:G&lt;DATE(2024,5,23))),0,countunique(index(filter(prs!C:U,prs!I:I=G65,prs!G:G&gt;DATE(2024,4,25),prs!G:G&lt;DATE(2024,5,23)),,1)))"),6)</f>
        <v>6</v>
      </c>
      <c r="AQ65" s="4">
        <f ca="1">IFERROR(__xludf.dummyfunction("if(isna(filter(prs!C:U,prs!I:I=G65,prs!R:R&lt;&gt;""Empty field"",prs!G:G&gt;DATE(2024,4,25),prs!G:G&lt;DATE(2024,5,23))),0,countunique(index(filter(prs!C:U,prs!I:I=G65,prs!R:R&lt;&gt;""Empty field"",prs!G:G&gt;DATE(2024,4,25),prs!G:G&lt;DATE(2024,5,23)),,1)))"),6)</f>
        <v>6</v>
      </c>
      <c r="AR65" s="4">
        <f t="shared" ca="1" si="12"/>
        <v>3</v>
      </c>
      <c r="AS65" s="4">
        <f t="shared" ca="1" si="13"/>
        <v>6</v>
      </c>
      <c r="AT65" s="4">
        <f ca="1">IFERROR(__xludf.dummyfunction("filter('Проекты'!BB:BB,'Проекты'!A:A=J65)"),0.5)</f>
        <v>0.5</v>
      </c>
      <c r="AU65" s="4">
        <f ca="1">IFERROR(__xludf.dummyfunction("filter('Проекты'!BE:BE,'Проекты'!A:A=J65)"),0)</f>
        <v>0</v>
      </c>
      <c r="AV65" s="11">
        <f t="shared" ca="1" si="14"/>
        <v>50</v>
      </c>
      <c r="AW65" s="4" t="str">
        <f t="shared" ca="1" si="15"/>
        <v>Неудовлетворительно</v>
      </c>
    </row>
    <row r="66" spans="1:79" ht="15.75" customHeight="1">
      <c r="A66" s="6" t="s">
        <v>373</v>
      </c>
      <c r="B66" s="6" t="s">
        <v>373</v>
      </c>
      <c r="C66" s="6"/>
      <c r="D66" s="6">
        <v>1381</v>
      </c>
      <c r="E66" s="6" t="s">
        <v>374</v>
      </c>
      <c r="F66" s="6" t="s">
        <v>374</v>
      </c>
      <c r="G66" s="6" t="s">
        <v>375</v>
      </c>
      <c r="H66" s="6" t="s">
        <v>376</v>
      </c>
      <c r="I66" s="4" t="s">
        <v>1081</v>
      </c>
      <c r="J66" s="7">
        <f ca="1">IFERROR(__xludf.dummyfunction("index(split(I66,char(9)),1,1)"),1)</f>
        <v>1</v>
      </c>
      <c r="K66" s="7">
        <f ca="1">IFERROR(__xludf.dummyfunction("ifna(index(filter('Посещаемость_баллы'!$A:$L,'Посещаемость_баллы'!$B:$B=$B66,'Посещаемость_баллы'!$C:$C=$C66,'Посещаемость_баллы'!$D:$D=$D66),1,12)*10,0)"),10)</f>
        <v>10</v>
      </c>
      <c r="L66" s="7">
        <f>ROUNDDOWN(IFERROR(VALUE(VLOOKUP(H66,'Онлайн-курс1'!B:F,5,FALSE())),IFERROR(VALUE(VLOOKUP(H66,'Онлайн-курс1'!C:F,4,FALSE())),0))/40*20,0)
+ IFERROR(VALUE(SUBSTITUTE(VLOOKUP(H66,'Онлайн-курс2'!B:I,7,FALSE()),".",",")),IFERROR(VALUE(SUBSTITUTE(VLOOKUP(H66,'Онлайн-курс2'!C:I,6,FALSE()),".",",")),0))*2</f>
        <v>0</v>
      </c>
      <c r="M66" s="8" t="s">
        <v>375</v>
      </c>
      <c r="N66" s="9">
        <v>1</v>
      </c>
      <c r="O66" s="4" t="s">
        <v>377</v>
      </c>
      <c r="P66" s="4">
        <v>0</v>
      </c>
      <c r="Q66" s="10" t="str">
        <f ca="1">IFERROR(__xludf.dummyfunction("iferror(index(QUERY(commits!A$2:$K1001, ""select Count(C) where lower(D) = lower('""&amp;G66&amp;""')""),2,1),""-"")"),"-")</f>
        <v>-</v>
      </c>
      <c r="R66" s="4" t="s">
        <v>54</v>
      </c>
      <c r="S66" s="4" t="s">
        <v>47</v>
      </c>
      <c r="T66" s="4">
        <f ca="1">VLOOKUP(A66,Расчёт_оценок!A:C,3,FALSE())</f>
        <v>5</v>
      </c>
      <c r="U66" s="4">
        <f ca="1">IFERROR(VLOOKUP(J66,Проекты!A:P,16,FALSE()),0)</f>
        <v>4</v>
      </c>
      <c r="V66" s="4" t="s">
        <v>54</v>
      </c>
      <c r="W66" s="4">
        <v>1</v>
      </c>
      <c r="X66" s="4">
        <v>1</v>
      </c>
      <c r="Y66" s="4">
        <v>1.5</v>
      </c>
      <c r="Z66" s="4">
        <v>0</v>
      </c>
      <c r="AA66" s="4">
        <v>0</v>
      </c>
      <c r="AB66" s="4">
        <v>0</v>
      </c>
      <c r="AC66" s="4">
        <f t="shared" si="8"/>
        <v>1.5</v>
      </c>
      <c r="AD66" s="4">
        <v>4</v>
      </c>
      <c r="AE66" s="4">
        <v>0</v>
      </c>
      <c r="AF66" s="4">
        <v>5</v>
      </c>
      <c r="AG66" s="4">
        <v>0</v>
      </c>
      <c r="AH66" s="4">
        <f ca="1">IFERROR(__xludf.dummyfunction("if(isna(filter(prs!C:U,prs!I:I=G66,prs!G:G&gt;DATE(2024,3,28),prs!G:G&lt;DATE(2024,4,26))),0,countunique(index(filter(prs!C:U,prs!I:I=G66,prs!G:G&gt;DATE(2024,3,28),prs!G:G&lt;DATE(2024,4,26)),,1)))"),8)</f>
        <v>8</v>
      </c>
      <c r="AI66" s="4">
        <f ca="1">IFERROR(__xludf.dummyfunction("if(isna(filter(prs!C:U,prs!I:I=G66,prs!R:R&lt;&gt;""Empty field"",prs!G:G&gt;DATE(2024,3,28),prs!G:G&lt;DATE(2024,4,26))),0,countunique(index(filter(prs!C:U,prs!I:I=G66,prs!R:R&lt;&gt;""Empty field"",prs!G:G&gt;DATE(2024,3,28),prs!G:G&lt;DATE(2024,4,26)),,1)))"),2)</f>
        <v>2</v>
      </c>
      <c r="AJ66" s="4">
        <f t="shared" ca="1" si="9"/>
        <v>3</v>
      </c>
      <c r="AK66" s="4">
        <f t="shared" ca="1" si="10"/>
        <v>3</v>
      </c>
      <c r="AL66" s="4">
        <f ca="1">IFERROR(__xludf.dummyfunction("filter('Проекты'!AT:AT,'Проекты'!A:A=J66)"),4)</f>
        <v>4</v>
      </c>
      <c r="AM66" s="4">
        <f ca="1">IFERROR(__xludf.dummyfunction("ifna(filter(commits_results!H:I,commits_results!B:B=A66,commits_results!A:A=J66),)"),0)</f>
        <v>0</v>
      </c>
      <c r="AN66" s="4">
        <f ca="1">IFERROR(__xludf.dummyfunction("""COMPUTED_VALUE"""),0)</f>
        <v>0</v>
      </c>
      <c r="AO66" s="4">
        <f t="shared" ca="1" si="11"/>
        <v>0</v>
      </c>
      <c r="AP66" s="4">
        <f ca="1">IFERROR(__xludf.dummyfunction("if(isna(filter(prs!C:U,prs!I:I=G66,prs!G:G&gt;DATE(2024,4,25),prs!G:G&lt;DATE(2024,5,23))),0,countunique(index(filter(prs!C:U,prs!I:I=G66,prs!G:G&gt;DATE(2024,4,25),prs!G:G&lt;DATE(2024,5,23)),,1)))"),2)</f>
        <v>2</v>
      </c>
      <c r="AQ66" s="4">
        <f ca="1">IFERROR(__xludf.dummyfunction("if(isna(filter(prs!C:U,prs!I:I=G66,prs!R:R&lt;&gt;""Empty field"",prs!G:G&gt;DATE(2024,4,25),prs!G:G&lt;DATE(2024,5,23))),0,countunique(index(filter(prs!C:U,prs!I:I=G66,prs!R:R&lt;&gt;""Empty field"",prs!G:G&gt;DATE(2024,4,25),prs!G:G&lt;DATE(2024,5,23)),,1)))"),2)</f>
        <v>2</v>
      </c>
      <c r="AR66" s="4">
        <f t="shared" ca="1" si="12"/>
        <v>3</v>
      </c>
      <c r="AS66" s="4">
        <f t="shared" ca="1" si="13"/>
        <v>3</v>
      </c>
      <c r="AT66" s="4">
        <f ca="1">IFERROR(__xludf.dummyfunction("filter('Проекты'!BB:BB,'Проекты'!A:A=J66)"),2.9)</f>
        <v>2.9</v>
      </c>
      <c r="AU66" s="4">
        <f ca="1">IFERROR(__xludf.dummyfunction("filter('Проекты'!BE:BE,'Проекты'!A:A=J66)"),0)</f>
        <v>0</v>
      </c>
      <c r="AV66" s="11">
        <f t="shared" ca="1" si="14"/>
        <v>38</v>
      </c>
      <c r="AW66" s="4" t="str">
        <f t="shared" ca="1" si="15"/>
        <v>Неудовлетворительно</v>
      </c>
    </row>
    <row r="67" spans="1:79" ht="15.75" customHeight="1">
      <c r="A67" s="6" t="s">
        <v>378</v>
      </c>
      <c r="B67" s="6" t="s">
        <v>378</v>
      </c>
      <c r="C67" s="6"/>
      <c r="D67" s="6">
        <v>1381</v>
      </c>
      <c r="E67" s="6" t="s">
        <v>379</v>
      </c>
      <c r="F67" s="6" t="s">
        <v>379</v>
      </c>
      <c r="G67" s="6" t="s">
        <v>380</v>
      </c>
      <c r="H67" s="6" t="s">
        <v>381</v>
      </c>
      <c r="I67" s="4" t="s">
        <v>1082</v>
      </c>
      <c r="J67" s="7">
        <f ca="1">IFERROR(__xludf.dummyfunction("index(split(I67,char(9)),1,1)"),17)</f>
        <v>17</v>
      </c>
      <c r="K67" s="7">
        <f ca="1">IFERROR(__xludf.dummyfunction("ifna(index(filter('Посещаемость_баллы'!$A:$L,'Посещаемость_баллы'!$B:$B=$B67,'Посещаемость_баллы'!$C:$C=$C67,'Посещаемость_баллы'!$D:$D=$D67),1,12)*10,0)"),0)</f>
        <v>0</v>
      </c>
      <c r="L67" s="7">
        <f>ROUNDDOWN(IFERROR(VALUE(VLOOKUP(H67,'Онлайн-курс1'!B:F,5,FALSE())),IFERROR(VALUE(VLOOKUP(H67,'Онлайн-курс1'!C:F,4,FALSE())),0))/40*20,0)
+ IFERROR(VALUE(SUBSTITUTE(VLOOKUP(H67,'Онлайн-курс2'!B:I,7,FALSE()),".",",")),IFERROR(VALUE(SUBSTITUTE(VLOOKUP(H67,'Онлайн-курс2'!C:I,6,FALSE()),".",",")),0))*2</f>
        <v>0</v>
      </c>
      <c r="M67" s="8" t="s">
        <v>380</v>
      </c>
      <c r="N67" s="9">
        <v>1</v>
      </c>
      <c r="O67" s="4" t="s">
        <v>382</v>
      </c>
      <c r="P67" s="4">
        <v>0</v>
      </c>
      <c r="Q67" s="10" t="str">
        <f ca="1">IFERROR(__xludf.dummyfunction("iferror(index(QUERY(commits!A$2:$K1001, ""select Count(C) where lower(D) = lower('""&amp;G67&amp;""')""),2,1),""-"")"),"-")</f>
        <v>-</v>
      </c>
      <c r="R67" s="4" t="s">
        <v>54</v>
      </c>
      <c r="S67" s="4" t="s">
        <v>47</v>
      </c>
      <c r="T67" s="4">
        <f ca="1">VLOOKUP(A67,Расчёт_оценок!A:C,3,FALSE())</f>
        <v>6</v>
      </c>
      <c r="U67" s="4">
        <f ca="1">IFERROR(VLOOKUP(J67,Проекты!A:P,16,FALSE()),0)</f>
        <v>4</v>
      </c>
      <c r="V67" s="4" t="s">
        <v>40</v>
      </c>
      <c r="W67" s="4">
        <v>0</v>
      </c>
      <c r="X67" s="4">
        <v>8</v>
      </c>
      <c r="Y67" s="4">
        <v>0</v>
      </c>
      <c r="Z67" s="4">
        <v>1</v>
      </c>
      <c r="AA67" s="4">
        <v>1</v>
      </c>
      <c r="AB67" s="4">
        <v>1</v>
      </c>
      <c r="AC67" s="4">
        <f t="shared" ref="AC67:AC96" si="16">SUM(Y67+AB67+IF(V67&lt;&gt;"issue не создавал, issue не комментил",1,0))</f>
        <v>2</v>
      </c>
      <c r="AD67" s="4">
        <v>0.2</v>
      </c>
      <c r="AE67" s="4">
        <v>4</v>
      </c>
      <c r="AF67" s="4">
        <v>4</v>
      </c>
      <c r="AG67" s="4">
        <v>1.5</v>
      </c>
      <c r="AH67" s="4">
        <f ca="1">IFERROR(__xludf.dummyfunction("if(isna(filter(prs!C:U,prs!I:I=G67,prs!G:G&gt;DATE(2024,3,28),prs!G:G&lt;DATE(2024,4,26))),0,countunique(index(filter(prs!C:U,prs!I:I=G67,prs!G:G&gt;DATE(2024,3,28),prs!G:G&lt;DATE(2024,4,26)),,1)))"),2)</f>
        <v>2</v>
      </c>
      <c r="AI67" s="4">
        <f ca="1">IFERROR(__xludf.dummyfunction("if(isna(filter(prs!C:U,prs!I:I=G67,prs!R:R&lt;&gt;""Empty field"",prs!G:G&gt;DATE(2024,3,28),prs!G:G&lt;DATE(2024,4,26))),0,countunique(index(filter(prs!C:U,prs!I:I=G67,prs!R:R&lt;&gt;""Empty field"",prs!G:G&gt;DATE(2024,3,28),prs!G:G&lt;DATE(2024,4,26)),,1)))"),2)</f>
        <v>2</v>
      </c>
      <c r="AJ67" s="4">
        <f t="shared" ref="AJ67:AJ98" ca="1" si="17">IF(AI67&gt;$AA$140,3,IFERROR(ROUND((3*AI67/AH67) * IF(AI67&lt;$AB$140,0.5,1),2),0))</f>
        <v>3</v>
      </c>
      <c r="AK67" s="4">
        <f t="shared" ref="AK67:AK98" ca="1" si="18">AG67+AJ67</f>
        <v>4.5</v>
      </c>
      <c r="AL67" s="4">
        <f ca="1">IFERROR(__xludf.dummyfunction("filter('Проекты'!AT:AT,'Проекты'!A:A=J67)"),1.3)</f>
        <v>1.3</v>
      </c>
      <c r="AM67" s="4">
        <f ca="1">IFERROR(__xludf.dummyfunction("ifna(filter(commits_results!H:I,commits_results!B:B=A67,commits_results!A:A=J67),)"),5)</f>
        <v>5</v>
      </c>
      <c r="AN67" s="4">
        <f ca="1">IFERROR(__xludf.dummyfunction("""COMPUTED_VALUE"""),5)</f>
        <v>5</v>
      </c>
      <c r="AO67" s="4">
        <f t="shared" ref="AO67:AO98" ca="1" si="19">IF(AN67&gt;$W$140,3,IFERROR(ROUND(3*(AM67/AN67) * IF(AM67&lt;$Y$140,0.5,1),2),0))</f>
        <v>3</v>
      </c>
      <c r="AP67" s="4">
        <f ca="1">IFERROR(__xludf.dummyfunction("if(isna(filter(prs!C:U,prs!I:I=G67,prs!G:G&gt;DATE(2024,4,25),prs!G:G&lt;DATE(2024,5,23))),0,countunique(index(filter(prs!C:U,prs!I:I=G67,prs!G:G&gt;DATE(2024,4,25),prs!G:G&lt;DATE(2024,5,23)),,1)))"),3)</f>
        <v>3</v>
      </c>
      <c r="AQ67" s="4">
        <f ca="1">IFERROR(__xludf.dummyfunction("if(isna(filter(prs!C:U,prs!I:I=G67,prs!R:R&lt;&gt;""Empty field"",prs!G:G&gt;DATE(2024,4,25),prs!G:G&lt;DATE(2024,5,23))),0,countunique(index(filter(prs!C:U,prs!I:I=G67,prs!R:R&lt;&gt;""Empty field"",prs!G:G&gt;DATE(2024,4,25),prs!G:G&lt;DATE(2024,5,23)),,1)))"),3)</f>
        <v>3</v>
      </c>
      <c r="AR67" s="4">
        <f t="shared" ref="AR67:AR98" ca="1" si="20">IF(AQ67&gt;$AA$140,3,IFERROR(ROUND((3*AQ67/AP67) * IF(AQ67&lt;$AB$140,0.5,1),2),0))</f>
        <v>3</v>
      </c>
      <c r="AS67" s="4">
        <f t="shared" ref="AS67:AS97" ca="1" si="21">AO67+AR67</f>
        <v>6</v>
      </c>
      <c r="AT67" s="4">
        <f ca="1">IFERROR(__xludf.dummyfunction("filter('Проекты'!BB:BB,'Проекты'!A:A=J67)"),0.5)</f>
        <v>0.5</v>
      </c>
      <c r="AU67" s="4">
        <f ca="1">IFERROR(__xludf.dummyfunction("filter('Проекты'!BE:BE,'Проекты'!A:A=J67)"),0)</f>
        <v>0</v>
      </c>
      <c r="AV67" s="11">
        <f t="shared" ref="AV67:AV98" ca="1" si="22">ROUNDUP(SUM(K67:L67,T67:U67,AC67:AD67,AK67:AL67,AS67:AT67,AU67),0)</f>
        <v>25</v>
      </c>
      <c r="AW67" s="4" t="str">
        <f t="shared" ref="AW67:AW97" ca="1" si="23">IF(AV67&lt;60, "Неудовлетворительно", IF(AV67&lt;75, "Удовлетворительно", IF(AV67&lt;85, "Хорошо", "Отлично")))</f>
        <v>Неудовлетворительно</v>
      </c>
    </row>
    <row r="68" spans="1:79" ht="15.75" customHeight="1">
      <c r="A68" s="6" t="s">
        <v>383</v>
      </c>
      <c r="B68" s="6" t="s">
        <v>383</v>
      </c>
      <c r="C68" s="6"/>
      <c r="D68" s="6">
        <v>1381</v>
      </c>
      <c r="E68" s="6" t="s">
        <v>384</v>
      </c>
      <c r="F68" s="6" t="s">
        <v>384</v>
      </c>
      <c r="G68" s="6" t="s">
        <v>385</v>
      </c>
      <c r="H68" s="6" t="s">
        <v>345</v>
      </c>
      <c r="I68" s="4" t="s">
        <v>1083</v>
      </c>
      <c r="J68" s="7">
        <f ca="1">IFERROR(__xludf.dummyfunction("index(split(I68,char(9)),1,1)"),13)</f>
        <v>13</v>
      </c>
      <c r="K68" s="7">
        <f ca="1">IFERROR(__xludf.dummyfunction("ifna(index(filter('Посещаемость_баллы'!$A:$L,'Посещаемость_баллы'!$B:$B=$B68,'Посещаемость_баллы'!$C:$C=$C68,'Посещаемость_баллы'!$D:$D=$D68),1,12)*10,0)"),0)</f>
        <v>0</v>
      </c>
      <c r="L68" s="7">
        <f>ROUNDDOWN(IFERROR(VALUE(VLOOKUP(H68,'Онлайн-курс1'!B:F,5,FALSE())),IFERROR(VALUE(VLOOKUP(H68,'Онлайн-курс1'!C:F,4,FALSE())),0))/40*20,0)
+ IFERROR(VALUE(SUBSTITUTE(VLOOKUP(H68,'Онлайн-курс2'!B:I,7,FALSE()),".",",")),IFERROR(VALUE(SUBSTITUTE(VLOOKUP(H68,'Онлайн-курс2'!C:I,6,FALSE()),".",",")),0))*2</f>
        <v>20</v>
      </c>
      <c r="M68" s="8" t="s">
        <v>385</v>
      </c>
      <c r="N68" s="9">
        <v>1</v>
      </c>
      <c r="O68" s="4" t="s">
        <v>386</v>
      </c>
      <c r="P68" s="4">
        <v>0</v>
      </c>
      <c r="Q68" s="10" t="str">
        <f ca="1">IFERROR(__xludf.dummyfunction("iferror(index(QUERY(commits!A$2:$K1001, ""select Count(C) where lower(D) = lower('""&amp;G68&amp;""')""),2,1),""-"")"),"-")</f>
        <v>-</v>
      </c>
      <c r="R68" s="4" t="s">
        <v>131</v>
      </c>
      <c r="S68" s="4">
        <v>1</v>
      </c>
      <c r="T68" s="4">
        <f ca="1">VLOOKUP(A68,Расчёт_оценок!A:C,3,FALSE())</f>
        <v>4</v>
      </c>
      <c r="U68" s="4">
        <f ca="1">IFERROR(VLOOKUP(J68,Проекты!A:P,16,FALSE()),0)</f>
        <v>4</v>
      </c>
      <c r="V68" s="4" t="s">
        <v>387</v>
      </c>
      <c r="W68" s="4">
        <v>16</v>
      </c>
      <c r="X68" s="4">
        <v>16</v>
      </c>
      <c r="Y68" s="4">
        <v>3</v>
      </c>
      <c r="Z68" s="4">
        <v>3</v>
      </c>
      <c r="AA68" s="4">
        <v>3</v>
      </c>
      <c r="AB68" s="4">
        <v>2</v>
      </c>
      <c r="AC68" s="4">
        <f t="shared" si="16"/>
        <v>6</v>
      </c>
      <c r="AD68" s="4">
        <v>4</v>
      </c>
      <c r="AE68" s="4">
        <v>0</v>
      </c>
      <c r="AF68" s="4">
        <v>4</v>
      </c>
      <c r="AG68" s="4">
        <v>0</v>
      </c>
      <c r="AH68" s="4">
        <f ca="1">IFERROR(__xludf.dummyfunction("if(isna(filter(prs!C:U,prs!I:I=G68,prs!G:G&gt;DATE(2024,3,28),prs!G:G&lt;DATE(2024,4,26))),0,countunique(index(filter(prs!C:U,prs!I:I=G68,prs!G:G&gt;DATE(2024,3,28),prs!G:G&lt;DATE(2024,4,26)),,1)))"),2)</f>
        <v>2</v>
      </c>
      <c r="AI68" s="4">
        <f ca="1">IFERROR(__xludf.dummyfunction("if(isna(filter(prs!C:U,prs!I:I=G68,prs!R:R&lt;&gt;""Empty field"",prs!G:G&gt;DATE(2024,3,28),prs!G:G&lt;DATE(2024,4,26))),0,countunique(index(filter(prs!C:U,prs!I:I=G68,prs!R:R&lt;&gt;""Empty field"",prs!G:G&gt;DATE(2024,3,28),prs!G:G&lt;DATE(2024,4,26)),,1)))"),0)</f>
        <v>0</v>
      </c>
      <c r="AJ68" s="4">
        <f t="shared" ca="1" si="17"/>
        <v>0</v>
      </c>
      <c r="AK68" s="4">
        <f t="shared" ca="1" si="18"/>
        <v>0</v>
      </c>
      <c r="AL68" s="4">
        <f ca="1">IFERROR(__xludf.dummyfunction("filter('Проекты'!AT:AT,'Проекты'!A:A=J68)"),3.5)</f>
        <v>3.5</v>
      </c>
      <c r="AM68" s="4">
        <f ca="1">IFERROR(__xludf.dummyfunction("ifna(filter(commits_results!H:I,commits_results!B:B=A68,commits_results!A:A=J68),)"),1)</f>
        <v>1</v>
      </c>
      <c r="AN68" s="4">
        <f ca="1">IFERROR(__xludf.dummyfunction("""COMPUTED_VALUE"""),15)</f>
        <v>15</v>
      </c>
      <c r="AO68" s="4">
        <f t="shared" ca="1" si="19"/>
        <v>3</v>
      </c>
      <c r="AP68" s="4">
        <f ca="1">IFERROR(__xludf.dummyfunction("if(isna(filter(prs!C:U,prs!I:I=G68,prs!G:G&gt;DATE(2024,4,25),prs!G:G&lt;DATE(2024,5,23))),0,countunique(index(filter(prs!C:U,prs!I:I=G68,prs!G:G&gt;DATE(2024,4,25),prs!G:G&lt;DATE(2024,5,23)),,1)))"),0)</f>
        <v>0</v>
      </c>
      <c r="AQ68" s="4">
        <f ca="1">IFERROR(__xludf.dummyfunction("if(isna(filter(prs!C:U,prs!I:I=G68,prs!R:R&lt;&gt;""Empty field"",prs!G:G&gt;DATE(2024,4,25),prs!G:G&lt;DATE(2024,5,23))),0,countunique(index(filter(prs!C:U,prs!I:I=G68,prs!R:R&lt;&gt;""Empty field"",prs!G:G&gt;DATE(2024,4,25),prs!G:G&lt;DATE(2024,5,23)),,1)))"),0)</f>
        <v>0</v>
      </c>
      <c r="AR68" s="4">
        <f t="shared" ca="1" si="20"/>
        <v>0</v>
      </c>
      <c r="AS68" s="4">
        <f t="shared" ca="1" si="21"/>
        <v>3</v>
      </c>
      <c r="AT68" s="4">
        <f ca="1">IFERROR(__xludf.dummyfunction("filter('Проекты'!BB:BB,'Проекты'!A:A=J68)"),3.2)</f>
        <v>3.2</v>
      </c>
      <c r="AU68" s="4">
        <f ca="1">IFERROR(__xludf.dummyfunction("filter('Проекты'!BE:BE,'Проекты'!A:A=J68)"),0)</f>
        <v>0</v>
      </c>
      <c r="AV68" s="11">
        <f t="shared" ca="1" si="22"/>
        <v>48</v>
      </c>
      <c r="AW68" s="4" t="str">
        <f t="shared" ca="1" si="23"/>
        <v>Неудовлетворительно</v>
      </c>
    </row>
    <row r="69" spans="1:79" ht="15.75" customHeight="1">
      <c r="A69" s="6" t="s">
        <v>388</v>
      </c>
      <c r="B69" s="6" t="s">
        <v>388</v>
      </c>
      <c r="C69" s="6"/>
      <c r="D69" s="6">
        <v>1381</v>
      </c>
      <c r="E69" s="6" t="s">
        <v>389</v>
      </c>
      <c r="F69" s="6" t="s">
        <v>389</v>
      </c>
      <c r="G69" s="6" t="s">
        <v>390</v>
      </c>
      <c r="H69" s="6" t="s">
        <v>391</v>
      </c>
      <c r="I69" s="4" t="s">
        <v>1084</v>
      </c>
      <c r="J69" s="7">
        <f ca="1">IFERROR(__xludf.dummyfunction("index(split(I69,char(9)),1,1)"),10)</f>
        <v>10</v>
      </c>
      <c r="K69" s="7">
        <f ca="1">IFERROR(__xludf.dummyfunction("ifna(index(filter('Посещаемость_баллы'!$A:$L,'Посещаемость_баллы'!$B:$B=$B69,'Посещаемость_баллы'!$C:$C=$C69,'Посещаемость_баллы'!$D:$D=$D69),1,12)*10,0)"),8)</f>
        <v>8</v>
      </c>
      <c r="L69" s="7">
        <f>ROUNDDOWN(IFERROR(VALUE(VLOOKUP(H69,'Онлайн-курс1'!B:F,5,FALSE())),IFERROR(VALUE(VLOOKUP(H69,'Онлайн-курс1'!C:F,4,FALSE())),0))/40*20,0)
+ IFERROR(VALUE(SUBSTITUTE(VLOOKUP(H69,'Онлайн-курс2'!B:I,7,FALSE()),".",",")),IFERROR(VALUE(SUBSTITUTE(VLOOKUP(H69,'Онлайн-курс2'!C:I,6,FALSE()),".",",")),0))*2</f>
        <v>20</v>
      </c>
      <c r="M69" s="8" t="s">
        <v>390</v>
      </c>
      <c r="N69" s="9">
        <v>1</v>
      </c>
      <c r="O69" s="4" t="s">
        <v>392</v>
      </c>
      <c r="P69" s="4">
        <v>0</v>
      </c>
      <c r="Q69" s="10" t="str">
        <f ca="1">IFERROR(__xludf.dummyfunction("iferror(index(QUERY(commits!A$2:$K1001, ""select Count(C) where lower(D) = lower('""&amp;G69&amp;""')""),2,1),""-"")"),"-")</f>
        <v>-</v>
      </c>
      <c r="R69" s="4" t="s">
        <v>103</v>
      </c>
      <c r="S69" s="4">
        <v>2</v>
      </c>
      <c r="T69" s="4">
        <f ca="1">VLOOKUP(A69,Расчёт_оценок!A:C,3,FALSE())</f>
        <v>6</v>
      </c>
      <c r="U69" s="4">
        <f ca="1">IFERROR(VLOOKUP(J69,Проекты!A:P,16,FALSE()),0)</f>
        <v>4</v>
      </c>
      <c r="V69" s="4" t="s">
        <v>148</v>
      </c>
      <c r="W69" s="4">
        <v>9</v>
      </c>
      <c r="X69" s="4">
        <v>9</v>
      </c>
      <c r="Y69" s="4">
        <v>3</v>
      </c>
      <c r="Z69" s="4">
        <v>7</v>
      </c>
      <c r="AA69" s="4">
        <v>5</v>
      </c>
      <c r="AB69" s="4">
        <v>2</v>
      </c>
      <c r="AC69" s="4">
        <f t="shared" si="16"/>
        <v>6</v>
      </c>
      <c r="AD69" s="4">
        <v>4</v>
      </c>
      <c r="AE69" s="4">
        <v>3</v>
      </c>
      <c r="AF69" s="4">
        <v>3</v>
      </c>
      <c r="AG69" s="4">
        <v>1.5</v>
      </c>
      <c r="AH69" s="4">
        <f ca="1">IFERROR(__xludf.dummyfunction("if(isna(filter(prs!C:U,prs!I:I=G69,prs!G:G&gt;DATE(2024,3,28),prs!G:G&lt;DATE(2024,4,26))),0,countunique(index(filter(prs!C:U,prs!I:I=G69,prs!G:G&gt;DATE(2024,3,28),prs!G:G&lt;DATE(2024,4,26)),,1)))"),14)</f>
        <v>14</v>
      </c>
      <c r="AI69" s="4">
        <f ca="1">IFERROR(__xludf.dummyfunction("if(isna(filter(prs!C:U,prs!I:I=G69,prs!R:R&lt;&gt;""Empty field"",prs!G:G&gt;DATE(2024,3,28),prs!G:G&lt;DATE(2024,4,26))),0,countunique(index(filter(prs!C:U,prs!I:I=G69,prs!R:R&lt;&gt;""Empty field"",prs!G:G&gt;DATE(2024,3,28),prs!G:G&lt;DATE(2024,4,26)),,1)))"),12)</f>
        <v>12</v>
      </c>
      <c r="AJ69" s="4">
        <f t="shared" ca="1" si="17"/>
        <v>3</v>
      </c>
      <c r="AK69" s="4">
        <f t="shared" ca="1" si="18"/>
        <v>4.5</v>
      </c>
      <c r="AL69" s="4">
        <f ca="1">IFERROR(__xludf.dummyfunction("filter('Проекты'!AT:AT,'Проекты'!A:A=J69)"),4)</f>
        <v>4</v>
      </c>
      <c r="AM69" s="4">
        <f ca="1">IFERROR(__xludf.dummyfunction("ifna(filter(commits_results!H:I,commits_results!B:B=A69,commits_results!A:A=J69),)"),3)</f>
        <v>3</v>
      </c>
      <c r="AN69" s="4">
        <f ca="1">IFERROR(__xludf.dummyfunction("""COMPUTED_VALUE"""),3)</f>
        <v>3</v>
      </c>
      <c r="AO69" s="4">
        <f t="shared" ca="1" si="19"/>
        <v>3</v>
      </c>
      <c r="AP69" s="4">
        <f ca="1">IFERROR(__xludf.dummyfunction("if(isna(filter(prs!C:U,prs!I:I=G69,prs!G:G&gt;DATE(2024,4,25),prs!G:G&lt;DATE(2024,5,23))),0,countunique(index(filter(prs!C:U,prs!I:I=G69,prs!G:G&gt;DATE(2024,4,25),prs!G:G&lt;DATE(2024,5,23)),,1)))"),18)</f>
        <v>18</v>
      </c>
      <c r="AQ69" s="4">
        <f ca="1">IFERROR(__xludf.dummyfunction("if(isna(filter(prs!C:U,prs!I:I=G69,prs!R:R&lt;&gt;""Empty field"",prs!G:G&gt;DATE(2024,4,25),prs!G:G&lt;DATE(2024,5,23))),0,countunique(index(filter(prs!C:U,prs!I:I=G69,prs!R:R&lt;&gt;""Empty field"",prs!G:G&gt;DATE(2024,4,25),prs!G:G&lt;DATE(2024,5,23)),,1)))"),18)</f>
        <v>18</v>
      </c>
      <c r="AR69" s="4">
        <f t="shared" ca="1" si="20"/>
        <v>3</v>
      </c>
      <c r="AS69" s="4">
        <f t="shared" ca="1" si="21"/>
        <v>6</v>
      </c>
      <c r="AT69" s="4">
        <f ca="1">IFERROR(__xludf.dummyfunction("filter('Проекты'!BB:BB,'Проекты'!A:A=J69)"),4)</f>
        <v>4</v>
      </c>
      <c r="AU69" s="4">
        <f ca="1">IFERROR(__xludf.dummyfunction("filter('Проекты'!BE:BE,'Проекты'!A:A=J69)"),0)</f>
        <v>0</v>
      </c>
      <c r="AV69" s="11">
        <f t="shared" ca="1" si="22"/>
        <v>67</v>
      </c>
      <c r="AW69" s="4" t="str">
        <f t="shared" ca="1" si="23"/>
        <v>Удовлетворительно</v>
      </c>
    </row>
    <row r="70" spans="1:79" ht="15.75" customHeight="1">
      <c r="A70" s="6" t="s">
        <v>393</v>
      </c>
      <c r="B70" s="6" t="s">
        <v>393</v>
      </c>
      <c r="C70" s="6"/>
      <c r="D70" s="6">
        <v>1381</v>
      </c>
      <c r="E70" s="6" t="s">
        <v>394</v>
      </c>
      <c r="F70" s="6" t="s">
        <v>394</v>
      </c>
      <c r="G70" s="6" t="s">
        <v>395</v>
      </c>
      <c r="H70" s="6" t="s">
        <v>396</v>
      </c>
      <c r="I70" s="4" t="s">
        <v>1085</v>
      </c>
      <c r="J70" s="7">
        <f ca="1">IFERROR(__xludf.dummyfunction("index(split(I70,char(9)),1,1)"),1)</f>
        <v>1</v>
      </c>
      <c r="K70" s="7">
        <f ca="1">IFERROR(__xludf.dummyfunction("ifna(index(filter('Посещаемость_баллы'!$A:$L,'Посещаемость_баллы'!$B:$B=$B70,'Посещаемость_баллы'!$C:$C=$C70,'Посещаемость_баллы'!$D:$D=$D70),1,12)*10,0)"),8)</f>
        <v>8</v>
      </c>
      <c r="L70" s="7">
        <f>ROUNDDOWN(IFERROR(VALUE(VLOOKUP(H70,'Онлайн-курс1'!B:F,5,FALSE())),IFERROR(VALUE(VLOOKUP(H70,'Онлайн-курс1'!C:F,4,FALSE())),0))/40*20,0)
+ IFERROR(VALUE(SUBSTITUTE(VLOOKUP(H70,'Онлайн-курс2'!B:I,7,FALSE()),".",",")),IFERROR(VALUE(SUBSTITUTE(VLOOKUP(H70,'Онлайн-курс2'!C:I,6,FALSE()),".",",")),0))*2</f>
        <v>20</v>
      </c>
      <c r="M70" s="8" t="s">
        <v>395</v>
      </c>
      <c r="N70" s="9">
        <v>1</v>
      </c>
      <c r="O70" s="4" t="s">
        <v>397</v>
      </c>
      <c r="P70" s="4">
        <v>0</v>
      </c>
      <c r="Q70" s="10" t="str">
        <f ca="1">IFERROR(__xludf.dummyfunction("iferror(index(QUERY(commits!A$2:$K1001, ""select Count(C) where lower(D) = lower('""&amp;G70&amp;""')""),2,1),""-"")"),"-")</f>
        <v>-</v>
      </c>
      <c r="R70" s="4" t="s">
        <v>54</v>
      </c>
      <c r="S70" s="4" t="s">
        <v>47</v>
      </c>
      <c r="T70" s="4">
        <f ca="1">VLOOKUP(A70,Расчёт_оценок!A:C,3,FALSE())</f>
        <v>4</v>
      </c>
      <c r="U70" s="4">
        <f ca="1">IFERROR(VLOOKUP(J70,Проекты!A:P,16,FALSE()),0)</f>
        <v>4</v>
      </c>
      <c r="V70" s="4" t="s">
        <v>40</v>
      </c>
      <c r="W70" s="4">
        <v>1</v>
      </c>
      <c r="X70" s="4">
        <v>1</v>
      </c>
      <c r="Y70" s="4">
        <v>1.5</v>
      </c>
      <c r="Z70" s="4">
        <v>1</v>
      </c>
      <c r="AA70" s="4">
        <v>1</v>
      </c>
      <c r="AB70" s="4">
        <v>1</v>
      </c>
      <c r="AC70" s="4">
        <f t="shared" si="16"/>
        <v>3.5</v>
      </c>
      <c r="AD70" s="4">
        <v>4</v>
      </c>
      <c r="AE70" s="4">
        <v>0</v>
      </c>
      <c r="AF70" s="4">
        <v>11</v>
      </c>
      <c r="AG70" s="4">
        <v>3</v>
      </c>
      <c r="AH70" s="4">
        <f ca="1">IFERROR(__xludf.dummyfunction("if(isna(filter(prs!C:U,prs!I:I=G70,prs!G:G&gt;DATE(2024,3,28),prs!G:G&lt;DATE(2024,4,26))),0,countunique(index(filter(prs!C:U,prs!I:I=G70,prs!G:G&gt;DATE(2024,3,28),prs!G:G&lt;DATE(2024,4,26)),,1)))"),2)</f>
        <v>2</v>
      </c>
      <c r="AI70" s="4">
        <f ca="1">IFERROR(__xludf.dummyfunction("if(isna(filter(prs!C:U,prs!I:I=G70,prs!R:R&lt;&gt;""Empty field"",prs!G:G&gt;DATE(2024,3,28),prs!G:G&lt;DATE(2024,4,26))),0,countunique(index(filter(prs!C:U,prs!I:I=G70,prs!R:R&lt;&gt;""Empty field"",prs!G:G&gt;DATE(2024,3,28),prs!G:G&lt;DATE(2024,4,26)),,1)))"),2)</f>
        <v>2</v>
      </c>
      <c r="AJ70" s="4">
        <f t="shared" ca="1" si="17"/>
        <v>3</v>
      </c>
      <c r="AK70" s="4">
        <f t="shared" ca="1" si="18"/>
        <v>6</v>
      </c>
      <c r="AL70" s="4">
        <f ca="1">IFERROR(__xludf.dummyfunction("filter('Проекты'!AT:AT,'Проекты'!A:A=J70)"),4)</f>
        <v>4</v>
      </c>
      <c r="AM70" s="4">
        <f ca="1">IFERROR(__xludf.dummyfunction("ifna(filter(commits_results!H:I,commits_results!B:B=A70,commits_results!A:A=J70),)"),12)</f>
        <v>12</v>
      </c>
      <c r="AN70" s="4">
        <f ca="1">IFERROR(__xludf.dummyfunction("""COMPUTED_VALUE"""),12)</f>
        <v>12</v>
      </c>
      <c r="AO70" s="4">
        <f t="shared" ca="1" si="19"/>
        <v>3</v>
      </c>
      <c r="AP70" s="4">
        <f ca="1">IFERROR(__xludf.dummyfunction("if(isna(filter(prs!C:U,prs!I:I=G70,prs!G:G&gt;DATE(2024,4,25),prs!G:G&lt;DATE(2024,5,23))),0,countunique(index(filter(prs!C:U,prs!I:I=G70,prs!G:G&gt;DATE(2024,4,25),prs!G:G&lt;DATE(2024,5,23)),,1)))"),1)</f>
        <v>1</v>
      </c>
      <c r="AQ70" s="4">
        <f ca="1">IFERROR(__xludf.dummyfunction("if(isna(filter(prs!C:U,prs!I:I=G70,prs!R:R&lt;&gt;""Empty field"",prs!G:G&gt;DATE(2024,4,25),prs!G:G&lt;DATE(2024,5,23))),0,countunique(index(filter(prs!C:U,prs!I:I=G70,prs!R:R&lt;&gt;""Empty field"",prs!G:G&gt;DATE(2024,4,25),prs!G:G&lt;DATE(2024,5,23)),,1)))"),1)</f>
        <v>1</v>
      </c>
      <c r="AR70" s="4">
        <f t="shared" ca="1" si="20"/>
        <v>3</v>
      </c>
      <c r="AS70" s="4">
        <f t="shared" ca="1" si="21"/>
        <v>6</v>
      </c>
      <c r="AT70" s="4">
        <f ca="1">IFERROR(__xludf.dummyfunction("filter('Проекты'!BB:BB,'Проекты'!A:A=J70)"),2.9)</f>
        <v>2.9</v>
      </c>
      <c r="AU70" s="4">
        <f ca="1">IFERROR(__xludf.dummyfunction("filter('Проекты'!BE:BE,'Проекты'!A:A=J70)"),0)</f>
        <v>0</v>
      </c>
      <c r="AV70" s="11">
        <f t="shared" ca="1" si="22"/>
        <v>63</v>
      </c>
      <c r="AW70" s="4" t="str">
        <f t="shared" ca="1" si="23"/>
        <v>Удовлетворительно</v>
      </c>
    </row>
    <row r="71" spans="1:79" ht="15.75" customHeight="1">
      <c r="A71" s="6" t="s">
        <v>398</v>
      </c>
      <c r="B71" s="6" t="s">
        <v>398</v>
      </c>
      <c r="C71" s="6"/>
      <c r="D71" s="6">
        <v>1381</v>
      </c>
      <c r="E71" s="6" t="s">
        <v>399</v>
      </c>
      <c r="F71" s="6" t="s">
        <v>399</v>
      </c>
      <c r="G71" s="6" t="s">
        <v>400</v>
      </c>
      <c r="H71" s="6" t="s">
        <v>401</v>
      </c>
      <c r="I71" s="4" t="s">
        <v>1086</v>
      </c>
      <c r="J71" s="7">
        <f ca="1">IFERROR(__xludf.dummyfunction("index(split(I71,char(9)),1,1)"),17)</f>
        <v>17</v>
      </c>
      <c r="K71" s="7">
        <f ca="1">IFERROR(__xludf.dummyfunction("ifna(index(filter('Посещаемость_баллы'!$A:$L,'Посещаемость_баллы'!$B:$B=$B71,'Посещаемость_баллы'!$C:$C=$C71,'Посещаемость_баллы'!$D:$D=$D71),1,12)*10,0)"),0)</f>
        <v>0</v>
      </c>
      <c r="L71" s="7">
        <f>ROUNDDOWN(IFERROR(VALUE(VLOOKUP(H71,'Онлайн-курс1'!B:F,5,FALSE())),IFERROR(VALUE(VLOOKUP(H71,'Онлайн-курс1'!C:F,4,FALSE())),0))/40*20,0)
+ IFERROR(VALUE(SUBSTITUTE(VLOOKUP(H71,'Онлайн-курс2'!B:I,7,FALSE()),".",",")),IFERROR(VALUE(SUBSTITUTE(VLOOKUP(H71,'Онлайн-курс2'!C:I,6,FALSE()),".",",")),0))*2</f>
        <v>0</v>
      </c>
      <c r="M71" s="8" t="s">
        <v>400</v>
      </c>
      <c r="N71" s="9">
        <v>1</v>
      </c>
      <c r="O71" s="4" t="s">
        <v>402</v>
      </c>
      <c r="P71" s="4">
        <v>0</v>
      </c>
      <c r="Q71" s="10" t="str">
        <f ca="1">IFERROR(__xludf.dummyfunction("iferror(index(QUERY(commits!A$2:$K1001, ""select Count(C) where lower(D) = lower('""&amp;G71&amp;""')""),2,1),""-"")"),"-")</f>
        <v>-</v>
      </c>
      <c r="R71" s="4" t="s">
        <v>54</v>
      </c>
      <c r="S71" s="4" t="s">
        <v>47</v>
      </c>
      <c r="T71" s="4">
        <f ca="1">VLOOKUP(A71,Расчёт_оценок!A:C,3,FALSE())</f>
        <v>6</v>
      </c>
      <c r="U71" s="4">
        <f ca="1">IFERROR(VLOOKUP(J71,Проекты!A:P,16,FALSE()),0)</f>
        <v>4</v>
      </c>
      <c r="V71" s="4" t="s">
        <v>54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f t="shared" si="16"/>
        <v>0</v>
      </c>
      <c r="AD71" s="4">
        <v>0.2</v>
      </c>
      <c r="AE71" s="4">
        <v>1</v>
      </c>
      <c r="AF71" s="4">
        <v>1</v>
      </c>
      <c r="AG71" s="4">
        <v>1.5</v>
      </c>
      <c r="AH71" s="4">
        <f ca="1">IFERROR(__xludf.dummyfunction("if(isna(filter(prs!C:U,prs!I:I=G71,prs!G:G&gt;DATE(2024,3,28),prs!G:G&lt;DATE(2024,4,26))),0,countunique(index(filter(prs!C:U,prs!I:I=G71,prs!G:G&gt;DATE(2024,3,28),prs!G:G&lt;DATE(2024,4,26)),,1)))"),0)</f>
        <v>0</v>
      </c>
      <c r="AI71" s="4">
        <f ca="1">IFERROR(__xludf.dummyfunction("if(isna(filter(prs!C:U,prs!I:I=G71,prs!R:R&lt;&gt;""Empty field"",prs!G:G&gt;DATE(2024,3,28),prs!G:G&lt;DATE(2024,4,26))),0,countunique(index(filter(prs!C:U,prs!I:I=G71,prs!R:R&lt;&gt;""Empty field"",prs!G:G&gt;DATE(2024,3,28),prs!G:G&lt;DATE(2024,4,26)),,1)))"),0)</f>
        <v>0</v>
      </c>
      <c r="AJ71" s="4">
        <f t="shared" ca="1" si="17"/>
        <v>0</v>
      </c>
      <c r="AK71" s="4">
        <f t="shared" ca="1" si="18"/>
        <v>1.5</v>
      </c>
      <c r="AL71" s="4">
        <f ca="1">IFERROR(__xludf.dummyfunction("filter('Проекты'!AT:AT,'Проекты'!A:A=J71)"),1.3)</f>
        <v>1.3</v>
      </c>
      <c r="AM71" s="4">
        <f ca="1">IFERROR(__xludf.dummyfunction("ifna(filter(commits_results!H:I,commits_results!B:B=A71,commits_results!A:A=J71),)"),0)</f>
        <v>0</v>
      </c>
      <c r="AN71" s="4">
        <f ca="1">IFERROR(__xludf.dummyfunction("""COMPUTED_VALUE"""),0)</f>
        <v>0</v>
      </c>
      <c r="AO71" s="4">
        <f t="shared" ca="1" si="19"/>
        <v>0</v>
      </c>
      <c r="AP71" s="4">
        <f ca="1">IFERROR(__xludf.dummyfunction("if(isna(filter(prs!C:U,prs!I:I=G71,prs!G:G&gt;DATE(2024,4,25),prs!G:G&lt;DATE(2024,5,23))),0,countunique(index(filter(prs!C:U,prs!I:I=G71,prs!G:G&gt;DATE(2024,4,25),prs!G:G&lt;DATE(2024,5,23)),,1)))"),0)</f>
        <v>0</v>
      </c>
      <c r="AQ71" s="4">
        <f ca="1">IFERROR(__xludf.dummyfunction("if(isna(filter(prs!C:U,prs!I:I=G71,prs!R:R&lt;&gt;""Empty field"",prs!G:G&gt;DATE(2024,4,25),prs!G:G&lt;DATE(2024,5,23))),0,countunique(index(filter(prs!C:U,prs!I:I=G71,prs!R:R&lt;&gt;""Empty field"",prs!G:G&gt;DATE(2024,4,25),prs!G:G&lt;DATE(2024,5,23)),,1)))"),0)</f>
        <v>0</v>
      </c>
      <c r="AR71" s="4">
        <f t="shared" ca="1" si="20"/>
        <v>0</v>
      </c>
      <c r="AS71" s="4">
        <f t="shared" ca="1" si="21"/>
        <v>0</v>
      </c>
      <c r="AT71" s="4">
        <f ca="1">IFERROR(__xludf.dummyfunction("filter('Проекты'!BB:BB,'Проекты'!A:A=J71)"),0.5)</f>
        <v>0.5</v>
      </c>
      <c r="AU71" s="4">
        <f ca="1">IFERROR(__xludf.dummyfunction("filter('Проекты'!BE:BE,'Проекты'!A:A=J71)"),0)</f>
        <v>0</v>
      </c>
      <c r="AV71" s="11">
        <f t="shared" ca="1" si="22"/>
        <v>14</v>
      </c>
      <c r="AW71" s="4" t="str">
        <f t="shared" ca="1" si="23"/>
        <v>Неудовлетворительно</v>
      </c>
    </row>
    <row r="72" spans="1:79" ht="15.75" customHeight="1">
      <c r="A72" s="6" t="s">
        <v>403</v>
      </c>
      <c r="B72" s="6" t="s">
        <v>403</v>
      </c>
      <c r="C72" s="6"/>
      <c r="D72" s="6">
        <v>1381</v>
      </c>
      <c r="E72" s="6" t="s">
        <v>404</v>
      </c>
      <c r="F72" s="6" t="s">
        <v>404</v>
      </c>
      <c r="G72" s="6" t="s">
        <v>405</v>
      </c>
      <c r="H72" s="6" t="s">
        <v>406</v>
      </c>
      <c r="I72" s="4" t="s">
        <v>1087</v>
      </c>
      <c r="J72" s="7">
        <f ca="1">IFERROR(__xludf.dummyfunction("index(split(I72,char(9)),1,1)"),17)</f>
        <v>17</v>
      </c>
      <c r="K72" s="7">
        <f ca="1">IFERROR(__xludf.dummyfunction("ifna(index(filter('Посещаемость_баллы'!$A:$L,'Посещаемость_баллы'!$B:$B=$B72,'Посещаемость_баллы'!$C:$C=$C72,'Посещаемость_баллы'!$D:$D=$D72),1,12)*10,0)"),0)</f>
        <v>0</v>
      </c>
      <c r="L72" s="7">
        <f>ROUNDDOWN(IFERROR(VALUE(VLOOKUP(H72,'Онлайн-курс1'!B:F,5,FALSE())),IFERROR(VALUE(VLOOKUP(H72,'Онлайн-курс1'!C:F,4,FALSE())),0))/40*20,0)
+ IFERROR(VALUE(SUBSTITUTE(VLOOKUP(H72,'Онлайн-курс2'!B:I,7,FALSE()),".",",")),IFERROR(VALUE(SUBSTITUTE(VLOOKUP(H72,'Онлайн-курс2'!C:I,6,FALSE()),".",",")),0))*2</f>
        <v>0</v>
      </c>
      <c r="M72" s="8" t="s">
        <v>405</v>
      </c>
      <c r="N72" s="9">
        <v>1</v>
      </c>
      <c r="O72" s="4" t="s">
        <v>407</v>
      </c>
      <c r="P72" s="4">
        <v>0</v>
      </c>
      <c r="Q72" s="10" t="str">
        <f ca="1">IFERROR(__xludf.dummyfunction("iferror(index(QUERY(commits!A$2:$K1001, ""select Count(C) where lower(D) = lower('""&amp;G72&amp;""')""),2,1),""-"")"),"-")</f>
        <v>-</v>
      </c>
      <c r="R72" s="4" t="s">
        <v>54</v>
      </c>
      <c r="S72" s="4" t="s">
        <v>47</v>
      </c>
      <c r="T72" s="4">
        <f ca="1">VLOOKUP(A72,Расчёт_оценок!A:C,3,FALSE())</f>
        <v>6</v>
      </c>
      <c r="U72" s="4">
        <f ca="1">IFERROR(VLOOKUP(J72,Проекты!A:P,16,FALSE()),0)</f>
        <v>4</v>
      </c>
      <c r="V72" s="4" t="s">
        <v>54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f t="shared" si="16"/>
        <v>0</v>
      </c>
      <c r="AD72" s="4">
        <v>0.2</v>
      </c>
      <c r="AE72" s="4">
        <v>1</v>
      </c>
      <c r="AF72" s="4">
        <v>1</v>
      </c>
      <c r="AG72" s="4">
        <v>1.5</v>
      </c>
      <c r="AH72" s="4">
        <f ca="1">IFERROR(__xludf.dummyfunction("if(isna(filter(prs!C:U,prs!I:I=G72,prs!G:G&gt;DATE(2024,3,28),prs!G:G&lt;DATE(2024,4,26))),0,countunique(index(filter(prs!C:U,prs!I:I=G72,prs!G:G&gt;DATE(2024,3,28),prs!G:G&lt;DATE(2024,4,26)),,1)))"),0)</f>
        <v>0</v>
      </c>
      <c r="AI72" s="4">
        <f ca="1">IFERROR(__xludf.dummyfunction("if(isna(filter(prs!C:U,prs!I:I=G72,prs!R:R&lt;&gt;""Empty field"",prs!G:G&gt;DATE(2024,3,28),prs!G:G&lt;DATE(2024,4,26))),0,countunique(index(filter(prs!C:U,prs!I:I=G72,prs!R:R&lt;&gt;""Empty field"",prs!G:G&gt;DATE(2024,3,28),prs!G:G&lt;DATE(2024,4,26)),,1)))"),0)</f>
        <v>0</v>
      </c>
      <c r="AJ72" s="4">
        <f t="shared" ca="1" si="17"/>
        <v>0</v>
      </c>
      <c r="AK72" s="4">
        <f t="shared" ca="1" si="18"/>
        <v>1.5</v>
      </c>
      <c r="AL72" s="4">
        <f ca="1">IFERROR(__xludf.dummyfunction("filter('Проекты'!AT:AT,'Проекты'!A:A=J72)"),1.3)</f>
        <v>1.3</v>
      </c>
      <c r="AM72" s="4">
        <f ca="1">IFERROR(__xludf.dummyfunction("ifna(filter(commits_results!H:I,commits_results!B:B=A72,commits_results!A:A=J72),)"),0)</f>
        <v>0</v>
      </c>
      <c r="AN72" s="4">
        <f ca="1">IFERROR(__xludf.dummyfunction("""COMPUTED_VALUE"""),0)</f>
        <v>0</v>
      </c>
      <c r="AO72" s="4">
        <f t="shared" ca="1" si="19"/>
        <v>0</v>
      </c>
      <c r="AP72" s="4">
        <f ca="1">IFERROR(__xludf.dummyfunction("if(isna(filter(prs!C:U,prs!I:I=G72,prs!G:G&gt;DATE(2024,4,25),prs!G:G&lt;DATE(2024,5,23))),0,countunique(index(filter(prs!C:U,prs!I:I=G72,prs!G:G&gt;DATE(2024,4,25),prs!G:G&lt;DATE(2024,5,23)),,1)))"),0)</f>
        <v>0</v>
      </c>
      <c r="AQ72" s="4">
        <f ca="1">IFERROR(__xludf.dummyfunction("if(isna(filter(prs!C:U,prs!I:I=G72,prs!R:R&lt;&gt;""Empty field"",prs!G:G&gt;DATE(2024,4,25),prs!G:G&lt;DATE(2024,5,23))),0,countunique(index(filter(prs!C:U,prs!I:I=G72,prs!R:R&lt;&gt;""Empty field"",prs!G:G&gt;DATE(2024,4,25),prs!G:G&lt;DATE(2024,5,23)),,1)))"),0)</f>
        <v>0</v>
      </c>
      <c r="AR72" s="4">
        <f t="shared" ca="1" si="20"/>
        <v>0</v>
      </c>
      <c r="AS72" s="4">
        <f t="shared" ca="1" si="21"/>
        <v>0</v>
      </c>
      <c r="AT72" s="4">
        <f ca="1">IFERROR(__xludf.dummyfunction("filter('Проекты'!BB:BB,'Проекты'!A:A=J72)"),0.5)</f>
        <v>0.5</v>
      </c>
      <c r="AU72" s="4">
        <f ca="1">IFERROR(__xludf.dummyfunction("filter('Проекты'!BE:BE,'Проекты'!A:A=J72)"),0)</f>
        <v>0</v>
      </c>
      <c r="AV72" s="11">
        <f t="shared" ca="1" si="22"/>
        <v>14</v>
      </c>
      <c r="AW72" s="4" t="str">
        <f t="shared" ca="1" si="23"/>
        <v>Неудовлетворительно</v>
      </c>
    </row>
    <row r="73" spans="1:79" ht="15.75" customHeight="1">
      <c r="A73" s="6" t="s">
        <v>408</v>
      </c>
      <c r="B73" s="6" t="s">
        <v>408</v>
      </c>
      <c r="C73" s="6"/>
      <c r="D73" s="6">
        <v>1381</v>
      </c>
      <c r="E73" s="6" t="s">
        <v>409</v>
      </c>
      <c r="F73" s="6" t="s">
        <v>409</v>
      </c>
      <c r="G73" s="6" t="s">
        <v>410</v>
      </c>
      <c r="H73" s="6" t="s">
        <v>411</v>
      </c>
      <c r="I73" s="4" t="s">
        <v>1088</v>
      </c>
      <c r="J73" s="7">
        <f ca="1">IFERROR(__xludf.dummyfunction("index(split(I73,char(9)),1,1)"),10)</f>
        <v>10</v>
      </c>
      <c r="K73" s="7">
        <f ca="1">IFERROR(__xludf.dummyfunction("ifna(index(filter('Посещаемость_баллы'!$A:$L,'Посещаемость_баллы'!$B:$B=$B73,'Посещаемость_баллы'!$C:$C=$C73,'Посещаемость_баллы'!$D:$D=$D73),1,12)*10,0)"),6)</f>
        <v>6</v>
      </c>
      <c r="L73" s="7">
        <f>ROUNDDOWN(IFERROR(VALUE(VLOOKUP(H73,'Онлайн-курс1'!B:F,5,FALSE())),IFERROR(VALUE(VLOOKUP(H73,'Онлайн-курс1'!C:F,4,FALSE())),0))/40*20,0)
+ IFERROR(VALUE(SUBSTITUTE(VLOOKUP(H73,'Онлайн-курс2'!B:I,7,FALSE()),".",",")),IFERROR(VALUE(SUBSTITUTE(VLOOKUP(H73,'Онлайн-курс2'!C:I,6,FALSE()),".",",")),0))*2</f>
        <v>20</v>
      </c>
      <c r="M73" s="8" t="s">
        <v>410</v>
      </c>
      <c r="N73" s="9">
        <v>1</v>
      </c>
      <c r="O73" s="4" t="s">
        <v>412</v>
      </c>
      <c r="P73" s="4">
        <v>0</v>
      </c>
      <c r="Q73" s="10" t="str">
        <f ca="1">IFERROR(__xludf.dummyfunction("iferror(index(QUERY(commits!A$2:$K1001, ""select Count(C) where lower(D) = lower('""&amp;G73&amp;""')""),2,1),""-"")"),"-")</f>
        <v>-</v>
      </c>
      <c r="R73" s="4" t="s">
        <v>40</v>
      </c>
      <c r="S73" s="4">
        <v>1</v>
      </c>
      <c r="T73" s="4">
        <f ca="1">VLOOKUP(A73,Расчёт_оценок!A:C,3,FALSE())</f>
        <v>6</v>
      </c>
      <c r="U73" s="4">
        <f ca="1">IFERROR(VLOOKUP(J73,Проекты!A:P,16,FALSE()),0)</f>
        <v>4</v>
      </c>
      <c r="V73" s="4" t="s">
        <v>71</v>
      </c>
      <c r="W73" s="4">
        <v>6</v>
      </c>
      <c r="X73" s="4">
        <v>6</v>
      </c>
      <c r="Y73" s="4">
        <v>3</v>
      </c>
      <c r="Z73" s="4">
        <v>4</v>
      </c>
      <c r="AA73" s="4">
        <v>4</v>
      </c>
      <c r="AB73" s="4">
        <v>2</v>
      </c>
      <c r="AC73" s="4">
        <f t="shared" si="16"/>
        <v>6</v>
      </c>
      <c r="AD73" s="4">
        <v>4</v>
      </c>
      <c r="AE73" s="4">
        <v>3</v>
      </c>
      <c r="AF73" s="4">
        <v>3</v>
      </c>
      <c r="AG73" s="4">
        <v>1.5</v>
      </c>
      <c r="AH73" s="4">
        <f ca="1">IFERROR(__xludf.dummyfunction("if(isna(filter(prs!C:U,prs!I:I=G73,prs!G:G&gt;DATE(2024,3,28),prs!G:G&lt;DATE(2024,4,26))),0,countunique(index(filter(prs!C:U,prs!I:I=G73,prs!G:G&gt;DATE(2024,3,28),prs!G:G&lt;DATE(2024,4,26)),,1)))"),4)</f>
        <v>4</v>
      </c>
      <c r="AI73" s="4">
        <f ca="1">IFERROR(__xludf.dummyfunction("if(isna(filter(prs!C:U,prs!I:I=G73,prs!R:R&lt;&gt;""Empty field"",prs!G:G&gt;DATE(2024,3,28),prs!G:G&lt;DATE(2024,4,26))),0,countunique(index(filter(prs!C:U,prs!I:I=G73,prs!R:R&lt;&gt;""Empty field"",prs!G:G&gt;DATE(2024,3,28),prs!G:G&lt;DATE(2024,4,26)),,1)))"),4)</f>
        <v>4</v>
      </c>
      <c r="AJ73" s="4">
        <f t="shared" ca="1" si="17"/>
        <v>3</v>
      </c>
      <c r="AK73" s="4">
        <f t="shared" ca="1" si="18"/>
        <v>4.5</v>
      </c>
      <c r="AL73" s="4">
        <f ca="1">IFERROR(__xludf.dummyfunction("filter('Проекты'!AT:AT,'Проекты'!A:A=J73)"),4)</f>
        <v>4</v>
      </c>
      <c r="AM73" s="4">
        <f ca="1">IFERROR(__xludf.dummyfunction("ifna(filter(commits_results!H:I,commits_results!B:B=A73,commits_results!A:A=J73),)"),6)</f>
        <v>6</v>
      </c>
      <c r="AN73" s="4">
        <f ca="1">IFERROR(__xludf.dummyfunction("""COMPUTED_VALUE"""),6)</f>
        <v>6</v>
      </c>
      <c r="AO73" s="4">
        <f t="shared" ca="1" si="19"/>
        <v>3</v>
      </c>
      <c r="AP73" s="4">
        <f ca="1">IFERROR(__xludf.dummyfunction("if(isna(filter(prs!C:U,prs!I:I=G73,prs!G:G&gt;DATE(2024,4,25),prs!G:G&lt;DATE(2024,5,23))),0,countunique(index(filter(prs!C:U,prs!I:I=G73,prs!G:G&gt;DATE(2024,4,25),prs!G:G&lt;DATE(2024,5,23)),,1)))"),6)</f>
        <v>6</v>
      </c>
      <c r="AQ73" s="4">
        <f ca="1">IFERROR(__xludf.dummyfunction("if(isna(filter(prs!C:U,prs!I:I=G73,prs!R:R&lt;&gt;""Empty field"",prs!G:G&gt;DATE(2024,4,25),prs!G:G&lt;DATE(2024,5,23))),0,countunique(index(filter(prs!C:U,prs!I:I=G73,prs!R:R&lt;&gt;""Empty field"",prs!G:G&gt;DATE(2024,4,25),prs!G:G&lt;DATE(2024,5,23)),,1)))"),6)</f>
        <v>6</v>
      </c>
      <c r="AR73" s="4">
        <f t="shared" ca="1" si="20"/>
        <v>3</v>
      </c>
      <c r="AS73" s="4">
        <f t="shared" ca="1" si="21"/>
        <v>6</v>
      </c>
      <c r="AT73" s="4">
        <f ca="1">IFERROR(__xludf.dummyfunction("filter('Проекты'!BB:BB,'Проекты'!A:A=J73)"),4)</f>
        <v>4</v>
      </c>
      <c r="AU73" s="4">
        <f ca="1">IFERROR(__xludf.dummyfunction("filter('Проекты'!BE:BE,'Проекты'!A:A=J73)"),0)</f>
        <v>0</v>
      </c>
      <c r="AV73" s="11">
        <f t="shared" ca="1" si="22"/>
        <v>65</v>
      </c>
      <c r="AW73" s="4" t="str">
        <f t="shared" ca="1" si="23"/>
        <v>Удовлетворительно</v>
      </c>
    </row>
    <row r="74" spans="1:79" ht="15.75" customHeight="1">
      <c r="A74" s="6" t="s">
        <v>413</v>
      </c>
      <c r="B74" s="6" t="s">
        <v>413</v>
      </c>
      <c r="C74" s="6"/>
      <c r="D74" s="6">
        <v>1381</v>
      </c>
      <c r="E74" s="6" t="s">
        <v>414</v>
      </c>
      <c r="F74" s="6" t="s">
        <v>414</v>
      </c>
      <c r="G74" s="6" t="s">
        <v>415</v>
      </c>
      <c r="H74" s="6" t="s">
        <v>416</v>
      </c>
      <c r="I74" s="4" t="s">
        <v>1089</v>
      </c>
      <c r="J74" s="7">
        <f ca="1">IFERROR(__xludf.dummyfunction("index(split(I74,char(9)),1,1)"),13)</f>
        <v>13</v>
      </c>
      <c r="K74" s="7">
        <f ca="1">IFERROR(__xludf.dummyfunction("ifna(index(filter('Посещаемость_баллы'!$A:$L,'Посещаемость_баллы'!$B:$B=$B74,'Посещаемость_баллы'!$C:$C=$C74,'Посещаемость_баллы'!$D:$D=$D74),1,12)*10,0)"),10)</f>
        <v>10</v>
      </c>
      <c r="L74" s="7">
        <f>ROUNDDOWN(IFERROR(VALUE(VLOOKUP(H74,'Онлайн-курс1'!B:F,5,FALSE())),IFERROR(VALUE(VLOOKUP(H74,'Онлайн-курс1'!C:F,4,FALSE())),0))/40*20,0)
+ IFERROR(VALUE(SUBSTITUTE(VLOOKUP(H74,'Онлайн-курс2'!B:I,7,FALSE()),".",",")),IFERROR(VALUE(SUBSTITUTE(VLOOKUP(H74,'Онлайн-курс2'!C:I,6,FALSE()),".",",")),0))*2</f>
        <v>20</v>
      </c>
      <c r="M74" s="8" t="s">
        <v>415</v>
      </c>
      <c r="N74" s="9">
        <v>0</v>
      </c>
      <c r="O74" s="4" t="s">
        <v>417</v>
      </c>
      <c r="P74" s="4">
        <v>1</v>
      </c>
      <c r="Q74" s="10" t="str">
        <f ca="1">IFERROR(__xludf.dummyfunction("iferror(index(QUERY(commits!A$2:$K1001, ""select Count(C) where lower(D) = lower('""&amp;G74&amp;""')""),2,1),""-"")"),"-")</f>
        <v>-</v>
      </c>
      <c r="R74" s="4" t="s">
        <v>54</v>
      </c>
      <c r="S74" s="4" t="s">
        <v>47</v>
      </c>
      <c r="T74" s="4">
        <f ca="1">VLOOKUP(A74,Расчёт_оценок!A:C,3,FALSE())</f>
        <v>0</v>
      </c>
      <c r="U74" s="4">
        <f ca="1">IFERROR(VLOOKUP(J74,Проекты!A:P,16,FALSE()),0)</f>
        <v>4</v>
      </c>
      <c r="V74" s="4" t="s">
        <v>54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f t="shared" si="16"/>
        <v>0</v>
      </c>
      <c r="AD74" s="4">
        <v>4</v>
      </c>
      <c r="AE74" s="4">
        <v>0</v>
      </c>
      <c r="AF74" s="4">
        <v>0</v>
      </c>
      <c r="AG74" s="4">
        <v>0</v>
      </c>
      <c r="AH74" s="4">
        <f ca="1">IFERROR(__xludf.dummyfunction("if(isna(filter(prs!C:U,prs!I:I=G74,prs!G:G&gt;DATE(2024,3,28),prs!G:G&lt;DATE(2024,4,26))),0,countunique(index(filter(prs!C:U,prs!I:I=G74,prs!G:G&gt;DATE(2024,3,28),prs!G:G&lt;DATE(2024,4,26)),,1)))"),0)</f>
        <v>0</v>
      </c>
      <c r="AI74" s="4">
        <f ca="1">IFERROR(__xludf.dummyfunction("if(isna(filter(prs!C:U,prs!I:I=G74,prs!R:R&lt;&gt;""Empty field"",prs!G:G&gt;DATE(2024,3,28),prs!G:G&lt;DATE(2024,4,26))),0,countunique(index(filter(prs!C:U,prs!I:I=G74,prs!R:R&lt;&gt;""Empty field"",prs!G:G&gt;DATE(2024,3,28),prs!G:G&lt;DATE(2024,4,26)),,1)))"),0)</f>
        <v>0</v>
      </c>
      <c r="AJ74" s="4">
        <f t="shared" ca="1" si="17"/>
        <v>0</v>
      </c>
      <c r="AK74" s="4">
        <f t="shared" ca="1" si="18"/>
        <v>0</v>
      </c>
      <c r="AL74" s="4">
        <f ca="1">IFERROR(__xludf.dummyfunction("filter('Проекты'!AT:AT,'Проекты'!A:A=J74)"),3.5)</f>
        <v>3.5</v>
      </c>
      <c r="AM74" s="4">
        <f ca="1">IFERROR(__xludf.dummyfunction("ifna(filter(commits_results!H:I,commits_results!B:B=A74,commits_results!A:A=J74),)"),17)</f>
        <v>17</v>
      </c>
      <c r="AN74" s="4">
        <f ca="1">IFERROR(__xludf.dummyfunction("""COMPUTED_VALUE"""),17)</f>
        <v>17</v>
      </c>
      <c r="AO74" s="4">
        <f t="shared" ca="1" si="19"/>
        <v>3</v>
      </c>
      <c r="AP74" s="4">
        <f ca="1">IFERROR(__xludf.dummyfunction("if(isna(filter(prs!C:U,prs!I:I=G74,prs!G:G&gt;DATE(2024,4,25),prs!G:G&lt;DATE(2024,5,23))),0,countunique(index(filter(prs!C:U,prs!I:I=G74,prs!G:G&gt;DATE(2024,4,25),prs!G:G&lt;DATE(2024,5,23)),,1)))"),0)</f>
        <v>0</v>
      </c>
      <c r="AQ74" s="4">
        <f ca="1">IFERROR(__xludf.dummyfunction("if(isna(filter(prs!C:U,prs!I:I=G74,prs!R:R&lt;&gt;""Empty field"",prs!G:G&gt;DATE(2024,4,25),prs!G:G&lt;DATE(2024,5,23))),0,countunique(index(filter(prs!C:U,prs!I:I=G74,prs!R:R&lt;&gt;""Empty field"",prs!G:G&gt;DATE(2024,4,25),prs!G:G&lt;DATE(2024,5,23)),,1)))"),0)</f>
        <v>0</v>
      </c>
      <c r="AR74" s="4">
        <f t="shared" ca="1" si="20"/>
        <v>0</v>
      </c>
      <c r="AS74" s="4">
        <f t="shared" ca="1" si="21"/>
        <v>3</v>
      </c>
      <c r="AT74" s="4">
        <f ca="1">IFERROR(__xludf.dummyfunction("filter('Проекты'!BB:BB,'Проекты'!A:A=J74)"),3.2)</f>
        <v>3.2</v>
      </c>
      <c r="AU74" s="4">
        <f ca="1">IFERROR(__xludf.dummyfunction("filter('Проекты'!BE:BE,'Проекты'!A:A=J74)"),0)</f>
        <v>0</v>
      </c>
      <c r="AV74" s="11">
        <f t="shared" ca="1" si="22"/>
        <v>48</v>
      </c>
      <c r="AW74" s="4" t="str">
        <f t="shared" ca="1" si="23"/>
        <v>Неудовлетворительно</v>
      </c>
    </row>
    <row r="75" spans="1:79" ht="15.75" customHeight="1">
      <c r="A75" s="6" t="s">
        <v>418</v>
      </c>
      <c r="B75" s="6" t="s">
        <v>418</v>
      </c>
      <c r="C75" s="6"/>
      <c r="D75" s="6">
        <v>1384</v>
      </c>
      <c r="E75" s="6" t="s">
        <v>419</v>
      </c>
      <c r="F75" s="6" t="s">
        <v>419</v>
      </c>
      <c r="G75" s="6" t="s">
        <v>420</v>
      </c>
      <c r="H75" s="6" t="s">
        <v>421</v>
      </c>
      <c r="I75" s="4" t="s">
        <v>1090</v>
      </c>
      <c r="J75" s="7">
        <f ca="1">IFERROR(__xludf.dummyfunction("index(split(I75,char(9)),1,1)"),13)</f>
        <v>13</v>
      </c>
      <c r="K75" s="7">
        <f ca="1">IFERROR(__xludf.dummyfunction("ifna(index(filter('Посещаемость_баллы'!$A:$L,'Посещаемость_баллы'!$B:$B=$B75,'Посещаемость_баллы'!$C:$C=$C75,'Посещаемость_баллы'!$D:$D=$D75),1,12)*10,0)"),0)</f>
        <v>0</v>
      </c>
      <c r="L75" s="7">
        <f>ROUNDDOWN(IFERROR(VALUE(VLOOKUP(H75,'Онлайн-курс1'!B:F,5,FALSE())),IFERROR(VALUE(VLOOKUP(H75,'Онлайн-курс1'!C:F,4,FALSE())),0))/40*20,0)
+ IFERROR(VALUE(SUBSTITUTE(VLOOKUP(H75,'Онлайн-курс2'!B:I,7,FALSE()),".",",")),IFERROR(VALUE(SUBSTITUTE(VLOOKUP(H75,'Онлайн-курс2'!C:I,6,FALSE()),".",",")),0))*2</f>
        <v>20</v>
      </c>
      <c r="M75" s="4" t="s">
        <v>420</v>
      </c>
      <c r="N75" s="9">
        <v>0</v>
      </c>
      <c r="O75" s="4" t="s">
        <v>422</v>
      </c>
      <c r="P75" s="4">
        <v>1</v>
      </c>
      <c r="Q75" s="10" t="str">
        <f ca="1">IFERROR(__xludf.dummyfunction("iferror(index(QUERY(commits!A$2:$K1001, ""select Count(C) where lower(D) = lower('""&amp;G75&amp;""')""),2,1),""-"")"),"-")</f>
        <v>-</v>
      </c>
      <c r="R75" s="4" t="s">
        <v>54</v>
      </c>
      <c r="S75" s="4" t="s">
        <v>47</v>
      </c>
      <c r="T75" s="4">
        <f ca="1">VLOOKUP(A75,Расчёт_оценок!A:C,3,FALSE())</f>
        <v>0</v>
      </c>
      <c r="U75" s="4">
        <f ca="1">IFERROR(VLOOKUP(J75,Проекты!A:P,16,FALSE()),0)</f>
        <v>4</v>
      </c>
      <c r="V75" s="4" t="s">
        <v>54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f t="shared" si="16"/>
        <v>0</v>
      </c>
      <c r="AD75" s="4">
        <v>4</v>
      </c>
      <c r="AE75" s="4">
        <v>0</v>
      </c>
      <c r="AF75" s="4">
        <v>0</v>
      </c>
      <c r="AG75" s="4">
        <v>0</v>
      </c>
      <c r="AH75" s="4">
        <f ca="1">IFERROR(__xludf.dummyfunction("if(isna(filter(prs!C:U,prs!I:I=G75,prs!G:G&gt;DATE(2024,3,28),prs!G:G&lt;DATE(2024,4,26))),0,countunique(index(filter(prs!C:U,prs!I:I=G75,prs!G:G&gt;DATE(2024,3,28),prs!G:G&lt;DATE(2024,4,26)),,1)))"),0)</f>
        <v>0</v>
      </c>
      <c r="AI75" s="4">
        <f ca="1">IFERROR(__xludf.dummyfunction("if(isna(filter(prs!C:U,prs!I:I=G75,prs!R:R&lt;&gt;""Empty field"",prs!G:G&gt;DATE(2024,3,28),prs!G:G&lt;DATE(2024,4,26))),0,countunique(index(filter(prs!C:U,prs!I:I=G75,prs!R:R&lt;&gt;""Empty field"",prs!G:G&gt;DATE(2024,3,28),prs!G:G&lt;DATE(2024,4,26)),,1)))"),0)</f>
        <v>0</v>
      </c>
      <c r="AJ75" s="4">
        <f t="shared" ca="1" si="17"/>
        <v>0</v>
      </c>
      <c r="AK75" s="4">
        <f t="shared" ca="1" si="18"/>
        <v>0</v>
      </c>
      <c r="AL75" s="4">
        <f ca="1">IFERROR(__xludf.dummyfunction("filter('Проекты'!AT:AT,'Проекты'!A:A=J75)"),3.5)</f>
        <v>3.5</v>
      </c>
      <c r="AM75" s="4">
        <f ca="1">IFERROR(__xludf.dummyfunction("ifna(filter(commits_results!H:I,commits_results!B:B=A75,commits_results!A:A=J75),)"),0)</f>
        <v>0</v>
      </c>
      <c r="AN75" s="4">
        <f ca="1">IFERROR(__xludf.dummyfunction("""COMPUTED_VALUE"""),0)</f>
        <v>0</v>
      </c>
      <c r="AO75" s="4">
        <f t="shared" ca="1" si="19"/>
        <v>0</v>
      </c>
      <c r="AP75" s="4">
        <f ca="1">IFERROR(__xludf.dummyfunction("if(isna(filter(prs!C:U,prs!I:I=G75,prs!G:G&gt;DATE(2024,4,25),prs!G:G&lt;DATE(2024,5,23))),0,countunique(index(filter(prs!C:U,prs!I:I=G75,prs!G:G&gt;DATE(2024,4,25),prs!G:G&lt;DATE(2024,5,23)),,1)))"),0)</f>
        <v>0</v>
      </c>
      <c r="AQ75" s="4">
        <f ca="1">IFERROR(__xludf.dummyfunction("if(isna(filter(prs!C:U,prs!I:I=G75,prs!R:R&lt;&gt;""Empty field"",prs!G:G&gt;DATE(2024,4,25),prs!G:G&lt;DATE(2024,5,23))),0,countunique(index(filter(prs!C:U,prs!I:I=G75,prs!R:R&lt;&gt;""Empty field"",prs!G:G&gt;DATE(2024,4,25),prs!G:G&lt;DATE(2024,5,23)),,1)))"),0)</f>
        <v>0</v>
      </c>
      <c r="AR75" s="4">
        <f t="shared" ca="1" si="20"/>
        <v>0</v>
      </c>
      <c r="AS75" s="4">
        <f t="shared" ca="1" si="21"/>
        <v>0</v>
      </c>
      <c r="AT75" s="4">
        <f ca="1">IFERROR(__xludf.dummyfunction("filter('Проекты'!BB:BB,'Проекты'!A:A=J75)"),3.2)</f>
        <v>3.2</v>
      </c>
      <c r="AU75" s="4">
        <f ca="1">IFERROR(__xludf.dummyfunction("filter('Проекты'!BE:BE,'Проекты'!A:A=J75)"),0)</f>
        <v>0</v>
      </c>
      <c r="AV75" s="11">
        <f t="shared" ca="1" si="22"/>
        <v>35</v>
      </c>
      <c r="AW75" s="4" t="str">
        <f t="shared" ca="1" si="23"/>
        <v>Неудовлетворительно</v>
      </c>
    </row>
    <row r="76" spans="1:79" ht="15.75" customHeight="1">
      <c r="A76" s="15" t="s">
        <v>423</v>
      </c>
      <c r="B76" s="6" t="s">
        <v>423</v>
      </c>
      <c r="C76" s="6"/>
      <c r="D76" s="15">
        <v>1384</v>
      </c>
      <c r="E76" s="15" t="s">
        <v>424</v>
      </c>
      <c r="F76" s="6" t="s">
        <v>424</v>
      </c>
      <c r="G76" s="6" t="s">
        <v>425</v>
      </c>
      <c r="H76" s="6" t="s">
        <v>426</v>
      </c>
      <c r="I76" s="4" t="s">
        <v>1091</v>
      </c>
      <c r="J76" s="7" t="str">
        <f ca="1">IFERROR(__xludf.dummyfunction("index(split(I76,char(9)),1,1)"),"#VALUE!")</f>
        <v>#VALUE!</v>
      </c>
      <c r="K76" s="7">
        <f ca="1">IFERROR(__xludf.dummyfunction("ifna(index(filter('Посещаемость_баллы'!$A:$L,'Посещаемость_баллы'!$B:$B=$B76,'Посещаемость_баллы'!$C:$C=$C76,'Посещаемость_баллы'!$D:$D=$D76),1,12)*10,0)"),0)</f>
        <v>0</v>
      </c>
      <c r="L76" s="7">
        <f>ROUNDDOWN(IFERROR(VALUE(VLOOKUP(H76,'Онлайн-курс1'!B:F,5,FALSE())),IFERROR(VALUE(VLOOKUP(H76,'Онлайн-курс1'!C:F,4,FALSE())),0))/40*20,0)
+ IFERROR(VALUE(SUBSTITUTE(VLOOKUP(H76,'Онлайн-курс2'!B:I,7,FALSE()),".",",")),IFERROR(VALUE(SUBSTITUTE(VLOOKUP(H76,'Онлайн-курс2'!C:I,6,FALSE()),".",",")),0))*2</f>
        <v>20</v>
      </c>
      <c r="M76" s="4" t="s">
        <v>425</v>
      </c>
      <c r="N76" s="17">
        <v>0</v>
      </c>
      <c r="O76" s="4" t="s">
        <v>427</v>
      </c>
      <c r="P76" s="16">
        <v>1</v>
      </c>
      <c r="Q76" s="10" t="str">
        <f ca="1">IFERROR(__xludf.dummyfunction("iferror(index(QUERY(commits!A$2:$K1001, ""select Count(C) where lower(D) = lower('""&amp;G76&amp;""')""),2,1),""-"")"),"-")</f>
        <v>-</v>
      </c>
      <c r="R76" s="4" t="s">
        <v>54</v>
      </c>
      <c r="S76" s="4" t="s">
        <v>47</v>
      </c>
      <c r="T76" s="4">
        <f ca="1">VLOOKUP(A76,Расчёт_оценок!A:C,3,FALSE())</f>
        <v>0</v>
      </c>
      <c r="U76" s="4">
        <f ca="1">IFERROR(VLOOKUP(J76,Проекты!A:P,16,FALSE()),0)</f>
        <v>0</v>
      </c>
      <c r="V76" s="4" t="s">
        <v>54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f t="shared" si="16"/>
        <v>0</v>
      </c>
      <c r="AD76" s="4">
        <v>0</v>
      </c>
      <c r="AE76" s="4"/>
      <c r="AF76" s="4"/>
      <c r="AG76" s="4">
        <v>0</v>
      </c>
      <c r="AH76" s="4">
        <f ca="1">IFERROR(__xludf.dummyfunction("if(isna(filter(prs!C:U,prs!I:I=G76,prs!G:G&gt;DATE(2024,3,28),prs!G:G&lt;DATE(2024,4,26))),0,countunique(index(filter(prs!C:U,prs!I:I=G76,prs!G:G&gt;DATE(2024,3,28),prs!G:G&lt;DATE(2024,4,26)),,1)))"),0)</f>
        <v>0</v>
      </c>
      <c r="AI76" s="4">
        <f ca="1">IFERROR(__xludf.dummyfunction("if(isna(filter(prs!C:U,prs!I:I=G76,prs!R:R&lt;&gt;""Empty field"",prs!G:G&gt;DATE(2024,3,28),prs!G:G&lt;DATE(2024,4,26))),0,countunique(index(filter(prs!C:U,prs!I:I=G76,prs!R:R&lt;&gt;""Empty field"",prs!G:G&gt;DATE(2024,3,28),prs!G:G&lt;DATE(2024,4,26)),,1)))"),0)</f>
        <v>0</v>
      </c>
      <c r="AJ76" s="4">
        <f t="shared" ca="1" si="17"/>
        <v>0</v>
      </c>
      <c r="AK76" s="4">
        <f t="shared" ca="1" si="18"/>
        <v>0</v>
      </c>
      <c r="AL76" s="4">
        <v>0</v>
      </c>
      <c r="AM76" s="4" t="str">
        <f ca="1">IFERROR(__xludf.dummyfunction("ifna(filter(commits_results!H:I,commits_results!B:B=A76,commits_results!A:A=J76),)"),"")</f>
        <v/>
      </c>
      <c r="AN76" s="4"/>
      <c r="AO76" s="4">
        <f t="shared" ca="1" si="19"/>
        <v>0</v>
      </c>
      <c r="AP76" s="4">
        <f ca="1">IFERROR(__xludf.dummyfunction("if(isna(filter(prs!C:U,prs!I:I=G76,prs!G:G&gt;DATE(2024,4,25),prs!G:G&lt;DATE(2024,5,23))),0,countunique(index(filter(prs!C:U,prs!I:I=G76,prs!G:G&gt;DATE(2024,4,25),prs!G:G&lt;DATE(2024,5,23)),,1)))"),0)</f>
        <v>0</v>
      </c>
      <c r="AQ76" s="4">
        <f ca="1">IFERROR(__xludf.dummyfunction("if(isna(filter(prs!C:U,prs!I:I=G76,prs!R:R&lt;&gt;""Empty field"",prs!G:G&gt;DATE(2024,4,25),prs!G:G&lt;DATE(2024,5,23))),0,countunique(index(filter(prs!C:U,prs!I:I=G76,prs!R:R&lt;&gt;""Empty field"",prs!G:G&gt;DATE(2024,4,25),prs!G:G&lt;DATE(2024,5,23)),,1)))"),0)</f>
        <v>0</v>
      </c>
      <c r="AR76" s="4">
        <f t="shared" ca="1" si="20"/>
        <v>0</v>
      </c>
      <c r="AS76" s="4">
        <f t="shared" ca="1" si="21"/>
        <v>0</v>
      </c>
      <c r="AT76" s="4" t="str">
        <f ca="1">IFERROR(__xludf.dummyfunction("filter('Проекты'!BB:BB,'Проекты'!A:A=J76)"),"#N/A")</f>
        <v>#N/A</v>
      </c>
      <c r="AU76" s="4" t="str">
        <f ca="1">IFERROR(__xludf.dummyfunction("filter('Проекты'!BE:BE,'Проекты'!A:A=J76)"),"#N/A")</f>
        <v>#N/A</v>
      </c>
      <c r="AV76" s="11">
        <f t="shared" ca="1" si="22"/>
        <v>20</v>
      </c>
      <c r="AW76" s="4" t="str">
        <f t="shared" ca="1" si="23"/>
        <v>Неудовлетворительно</v>
      </c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</row>
    <row r="77" spans="1:79" ht="15.75" customHeight="1">
      <c r="A77" s="6" t="s">
        <v>428</v>
      </c>
      <c r="B77" s="6" t="s">
        <v>428</v>
      </c>
      <c r="C77" s="6"/>
      <c r="D77" s="6">
        <v>1384</v>
      </c>
      <c r="E77" s="6" t="s">
        <v>429</v>
      </c>
      <c r="F77" s="6" t="s">
        <v>429</v>
      </c>
      <c r="G77" s="6" t="s">
        <v>430</v>
      </c>
      <c r="H77" s="6" t="s">
        <v>145</v>
      </c>
      <c r="I77" s="4" t="s">
        <v>1092</v>
      </c>
      <c r="J77" s="7">
        <f ca="1">IFERROR(__xludf.dummyfunction("index(split(I77,char(9)),1,1)"),19)</f>
        <v>19</v>
      </c>
      <c r="K77" s="7">
        <f ca="1">IFERROR(__xludf.dummyfunction("ifna(index(filter('Посещаемость_баллы'!$A:$L,'Посещаемость_баллы'!$B:$B=$B77,'Посещаемость_баллы'!$C:$C=$C77,'Посещаемость_баллы'!$D:$D=$D77),1,12)*10,0)"),0)</f>
        <v>0</v>
      </c>
      <c r="L77" s="7">
        <f>ROUNDDOWN(IFERROR(VALUE(VLOOKUP(H77,'Онлайн-курс1'!B:F,5,FALSE())),IFERROR(VALUE(VLOOKUP(H77,'Онлайн-курс1'!C:F,4,FALSE())),0))/40*20,0)
+ IFERROR(VALUE(SUBSTITUTE(VLOOKUP(H77,'Онлайн-курс2'!B:I,7,FALSE()),".",",")),IFERROR(VALUE(SUBSTITUTE(VLOOKUP(H77,'Онлайн-курс2'!C:I,6,FALSE()),".",",")),0))*2</f>
        <v>20</v>
      </c>
      <c r="M77" s="8" t="s">
        <v>430</v>
      </c>
      <c r="N77" s="9">
        <v>1</v>
      </c>
      <c r="O77" s="4" t="s">
        <v>431</v>
      </c>
      <c r="P77" s="4">
        <v>0</v>
      </c>
      <c r="Q77" s="10" t="str">
        <f ca="1">IFERROR(__xludf.dummyfunction("iferror(index(QUERY(commits!A$2:$K1001, ""select Count(C) where lower(D) = lower('""&amp;G77&amp;""')""),2,1),""-"")"),"-")</f>
        <v>-</v>
      </c>
      <c r="R77" s="4" t="s">
        <v>40</v>
      </c>
      <c r="S77" s="4">
        <v>1</v>
      </c>
      <c r="T77" s="4">
        <f ca="1">VLOOKUP(A77,Расчёт_оценок!A:C,3,FALSE())</f>
        <v>6</v>
      </c>
      <c r="U77" s="4">
        <f ca="1">IFERROR(VLOOKUP(J77,Проекты!A:P,16,FALSE()),0)</f>
        <v>4</v>
      </c>
      <c r="V77" s="4" t="s">
        <v>357</v>
      </c>
      <c r="W77" s="4">
        <v>8</v>
      </c>
      <c r="X77" s="4">
        <v>8</v>
      </c>
      <c r="Y77" s="4">
        <v>3</v>
      </c>
      <c r="Z77" s="4">
        <v>3</v>
      </c>
      <c r="AA77" s="4">
        <v>3</v>
      </c>
      <c r="AB77" s="4">
        <v>2</v>
      </c>
      <c r="AC77" s="4">
        <f t="shared" si="16"/>
        <v>6</v>
      </c>
      <c r="AD77" s="4">
        <v>4</v>
      </c>
      <c r="AE77" s="4">
        <v>17</v>
      </c>
      <c r="AF77" s="4">
        <v>17</v>
      </c>
      <c r="AG77" s="4">
        <v>3</v>
      </c>
      <c r="AH77" s="4">
        <f ca="1">IFERROR(__xludf.dummyfunction("if(isna(filter(prs!C:U,prs!I:I=G77,prs!G:G&gt;DATE(2024,3,28),prs!G:G&lt;DATE(2024,4,26))),0,countunique(index(filter(prs!C:U,prs!I:I=G77,prs!G:G&gt;DATE(2024,3,28),prs!G:G&lt;DATE(2024,4,26)),,1)))"),4)</f>
        <v>4</v>
      </c>
      <c r="AI77" s="4">
        <f ca="1">IFERROR(__xludf.dummyfunction("if(isna(filter(prs!C:U,prs!I:I=G77,prs!R:R&lt;&gt;""Empty field"",prs!G:G&gt;DATE(2024,3,28),prs!G:G&lt;DATE(2024,4,26))),0,countunique(index(filter(prs!C:U,prs!I:I=G77,prs!R:R&lt;&gt;""Empty field"",prs!G:G&gt;DATE(2024,3,28),prs!G:G&lt;DATE(2024,4,26)),,1)))"),4)</f>
        <v>4</v>
      </c>
      <c r="AJ77" s="4">
        <f t="shared" ca="1" si="17"/>
        <v>3</v>
      </c>
      <c r="AK77" s="4">
        <f t="shared" ca="1" si="18"/>
        <v>6</v>
      </c>
      <c r="AL77" s="4">
        <f ca="1">IFERROR(__xludf.dummyfunction("filter('Проекты'!AT:AT,'Проекты'!A:A=J77)"),4)</f>
        <v>4</v>
      </c>
      <c r="AM77" s="4">
        <f ca="1">IFERROR(__xludf.dummyfunction("ifna(filter(commits_results!H:I,commits_results!B:B=A77,commits_results!A:A=J77),)"),2)</f>
        <v>2</v>
      </c>
      <c r="AN77" s="4">
        <f ca="1">IFERROR(__xludf.dummyfunction("""COMPUTED_VALUE"""),2)</f>
        <v>2</v>
      </c>
      <c r="AO77" s="4">
        <f t="shared" ca="1" si="19"/>
        <v>3</v>
      </c>
      <c r="AP77" s="4">
        <f ca="1">IFERROR(__xludf.dummyfunction("if(isna(filter(prs!C:U,prs!I:I=G77,prs!G:G&gt;DATE(2024,4,25),prs!G:G&lt;DATE(2024,5,23))),0,countunique(index(filter(prs!C:U,prs!I:I=G77,prs!G:G&gt;DATE(2024,4,25),prs!G:G&lt;DATE(2024,5,23)),,1)))"),2)</f>
        <v>2</v>
      </c>
      <c r="AQ77" s="4">
        <f ca="1">IFERROR(__xludf.dummyfunction("if(isna(filter(prs!C:U,prs!I:I=G77,prs!R:R&lt;&gt;""Empty field"",prs!G:G&gt;DATE(2024,4,25),prs!G:G&lt;DATE(2024,5,23))),0,countunique(index(filter(prs!C:U,prs!I:I=G77,prs!R:R&lt;&gt;""Empty field"",prs!G:G&gt;DATE(2024,4,25),prs!G:G&lt;DATE(2024,5,23)),,1)))"),2)</f>
        <v>2</v>
      </c>
      <c r="AR77" s="4">
        <f t="shared" ca="1" si="20"/>
        <v>3</v>
      </c>
      <c r="AS77" s="4">
        <f t="shared" ca="1" si="21"/>
        <v>6</v>
      </c>
      <c r="AT77" s="4">
        <f ca="1">IFERROR(__xludf.dummyfunction("filter('Проекты'!BB:BB,'Проекты'!A:A=J77)"),4)</f>
        <v>4</v>
      </c>
      <c r="AU77" s="4">
        <f ca="1">IFERROR(__xludf.dummyfunction("filter('Проекты'!BE:BE,'Проекты'!A:A=J77)"),0)</f>
        <v>0</v>
      </c>
      <c r="AV77" s="11">
        <f t="shared" ca="1" si="22"/>
        <v>60</v>
      </c>
      <c r="AW77" s="4" t="str">
        <f t="shared" ca="1" si="23"/>
        <v>Удовлетворительно</v>
      </c>
    </row>
    <row r="78" spans="1:79" ht="15.75" customHeight="1">
      <c r="A78" s="6" t="s">
        <v>432</v>
      </c>
      <c r="B78" s="6" t="s">
        <v>432</v>
      </c>
      <c r="C78" s="6"/>
      <c r="D78" s="6">
        <v>1384</v>
      </c>
      <c r="E78" s="6" t="s">
        <v>433</v>
      </c>
      <c r="F78" s="6" t="s">
        <v>433</v>
      </c>
      <c r="G78" s="6" t="s">
        <v>434</v>
      </c>
      <c r="H78" s="6" t="s">
        <v>421</v>
      </c>
      <c r="I78" s="4" t="s">
        <v>1093</v>
      </c>
      <c r="J78" s="7">
        <f ca="1">IFERROR(__xludf.dummyfunction("index(split(I78,char(9)),1,1)"),19)</f>
        <v>19</v>
      </c>
      <c r="K78" s="7">
        <f ca="1">IFERROR(__xludf.dummyfunction("ifna(index(filter('Посещаемость_баллы'!$A:$L,'Посещаемость_баллы'!$B:$B=$B78,'Посещаемость_баллы'!$C:$C=$C78,'Посещаемость_баллы'!$D:$D=$D78),1,12)*10,0)"),6)</f>
        <v>6</v>
      </c>
      <c r="L78" s="7">
        <f>ROUNDDOWN(IFERROR(VALUE(VLOOKUP(H78,'Онлайн-курс1'!B:F,5,FALSE())),IFERROR(VALUE(VLOOKUP(H78,'Онлайн-курс1'!C:F,4,FALSE())),0))/40*20,0)
+ IFERROR(VALUE(SUBSTITUTE(VLOOKUP(H78,'Онлайн-курс2'!B:I,7,FALSE()),".",",")),IFERROR(VALUE(SUBSTITUTE(VLOOKUP(H78,'Онлайн-курс2'!C:I,6,FALSE()),".",",")),0))*2</f>
        <v>20</v>
      </c>
      <c r="M78" s="8" t="s">
        <v>434</v>
      </c>
      <c r="N78" s="9">
        <v>1</v>
      </c>
      <c r="O78" s="4" t="s">
        <v>435</v>
      </c>
      <c r="P78" s="4">
        <v>0</v>
      </c>
      <c r="Q78" s="10" t="str">
        <f ca="1">IFERROR(__xludf.dummyfunction("iferror(index(QUERY(commits!A$2:$K1001, ""select Count(C) where lower(D) = lower('""&amp;G78&amp;""')""),2,1),""-"")"),"-")</f>
        <v>-</v>
      </c>
      <c r="R78" s="4" t="s">
        <v>40</v>
      </c>
      <c r="S78" s="4">
        <v>1</v>
      </c>
      <c r="T78" s="4">
        <f ca="1">VLOOKUP(A78,Расчёт_оценок!A:C,3,FALSE())</f>
        <v>6</v>
      </c>
      <c r="U78" s="4">
        <f ca="1">IFERROR(VLOOKUP(J78,Проекты!A:P,16,FALSE()),0)</f>
        <v>4</v>
      </c>
      <c r="V78" s="4" t="s">
        <v>131</v>
      </c>
      <c r="W78" s="4">
        <v>13</v>
      </c>
      <c r="X78" s="4">
        <v>13</v>
      </c>
      <c r="Y78" s="4">
        <v>3</v>
      </c>
      <c r="Z78" s="4">
        <v>2</v>
      </c>
      <c r="AA78" s="4">
        <v>2</v>
      </c>
      <c r="AB78" s="4">
        <v>2</v>
      </c>
      <c r="AC78" s="4">
        <f t="shared" si="16"/>
        <v>6</v>
      </c>
      <c r="AD78" s="4">
        <v>4</v>
      </c>
      <c r="AE78" s="4">
        <v>17</v>
      </c>
      <c r="AF78" s="4">
        <v>17</v>
      </c>
      <c r="AG78" s="4">
        <v>3</v>
      </c>
      <c r="AH78" s="4">
        <f ca="1">IFERROR(__xludf.dummyfunction("if(isna(filter(prs!C:U,prs!I:I=G78,prs!G:G&gt;DATE(2024,3,28),prs!G:G&lt;DATE(2024,4,26))),0,countunique(index(filter(prs!C:U,prs!I:I=G78,prs!G:G&gt;DATE(2024,3,28),prs!G:G&lt;DATE(2024,4,26)),,1)))"),4)</f>
        <v>4</v>
      </c>
      <c r="AI78" s="4">
        <f ca="1">IFERROR(__xludf.dummyfunction("if(isna(filter(prs!C:U,prs!I:I=G78,prs!R:R&lt;&gt;""Empty field"",prs!G:G&gt;DATE(2024,3,28),prs!G:G&lt;DATE(2024,4,26))),0,countunique(index(filter(prs!C:U,prs!I:I=G78,prs!R:R&lt;&gt;""Empty field"",prs!G:G&gt;DATE(2024,3,28),prs!G:G&lt;DATE(2024,4,26)),,1)))"),4)</f>
        <v>4</v>
      </c>
      <c r="AJ78" s="4">
        <f t="shared" ca="1" si="17"/>
        <v>3</v>
      </c>
      <c r="AK78" s="4">
        <f t="shared" ca="1" si="18"/>
        <v>6</v>
      </c>
      <c r="AL78" s="4">
        <f ca="1">IFERROR(__xludf.dummyfunction("filter('Проекты'!AT:AT,'Проекты'!A:A=J78)"),4)</f>
        <v>4</v>
      </c>
      <c r="AM78" s="4">
        <f ca="1">IFERROR(__xludf.dummyfunction("ifna(filter(commits_results!H:I,commits_results!B:B=A78,commits_results!A:A=J78),)"),9)</f>
        <v>9</v>
      </c>
      <c r="AN78" s="4">
        <f ca="1">IFERROR(__xludf.dummyfunction("""COMPUTED_VALUE"""),9)</f>
        <v>9</v>
      </c>
      <c r="AO78" s="4">
        <f t="shared" ca="1" si="19"/>
        <v>3</v>
      </c>
      <c r="AP78" s="4">
        <f ca="1">IFERROR(__xludf.dummyfunction("if(isna(filter(prs!C:U,prs!I:I=G78,prs!G:G&gt;DATE(2024,4,25),prs!G:G&lt;DATE(2024,5,23))),0,countunique(index(filter(prs!C:U,prs!I:I=G78,prs!G:G&gt;DATE(2024,4,25),prs!G:G&lt;DATE(2024,5,23)),,1)))"),2)</f>
        <v>2</v>
      </c>
      <c r="AQ78" s="4">
        <f ca="1">IFERROR(__xludf.dummyfunction("if(isna(filter(prs!C:U,prs!I:I=G78,prs!R:R&lt;&gt;""Empty field"",prs!G:G&gt;DATE(2024,4,25),prs!G:G&lt;DATE(2024,5,23))),0,countunique(index(filter(prs!C:U,prs!I:I=G78,prs!R:R&lt;&gt;""Empty field"",prs!G:G&gt;DATE(2024,4,25),prs!G:G&lt;DATE(2024,5,23)),,1)))"),2)</f>
        <v>2</v>
      </c>
      <c r="AR78" s="4">
        <f t="shared" ca="1" si="20"/>
        <v>3</v>
      </c>
      <c r="AS78" s="4">
        <f t="shared" ca="1" si="21"/>
        <v>6</v>
      </c>
      <c r="AT78" s="4">
        <f ca="1">IFERROR(__xludf.dummyfunction("filter('Проекты'!BB:BB,'Проекты'!A:A=J78)"),4)</f>
        <v>4</v>
      </c>
      <c r="AU78" s="4">
        <f ca="1">IFERROR(__xludf.dummyfunction("filter('Проекты'!BE:BE,'Проекты'!A:A=J78)"),0)</f>
        <v>0</v>
      </c>
      <c r="AV78" s="11">
        <f t="shared" ca="1" si="22"/>
        <v>66</v>
      </c>
      <c r="AW78" s="4" t="str">
        <f t="shared" ca="1" si="23"/>
        <v>Удовлетворительно</v>
      </c>
      <c r="AY78" s="12"/>
    </row>
    <row r="79" spans="1:79" ht="15.75" customHeight="1">
      <c r="A79" s="6" t="s">
        <v>436</v>
      </c>
      <c r="B79" s="6" t="s">
        <v>436</v>
      </c>
      <c r="C79" s="6"/>
      <c r="D79" s="6">
        <v>1384</v>
      </c>
      <c r="E79" s="6" t="s">
        <v>437</v>
      </c>
      <c r="F79" s="6" t="s">
        <v>437</v>
      </c>
      <c r="G79" s="6" t="s">
        <v>438</v>
      </c>
      <c r="H79" s="6" t="s">
        <v>439</v>
      </c>
      <c r="I79" s="4" t="s">
        <v>1094</v>
      </c>
      <c r="J79" s="7">
        <f ca="1">IFERROR(__xludf.dummyfunction("index(split(I79,char(9)),1,1)"),7)</f>
        <v>7</v>
      </c>
      <c r="K79" s="7">
        <f ca="1">IFERROR(__xludf.dummyfunction("ifna(index(filter('Посещаемость_баллы'!$A:$L,'Посещаемость_баллы'!$B:$B=$B79,'Посещаемость_баллы'!$C:$C=$C79,'Посещаемость_баллы'!$D:$D=$D79),1,12)*10,0)"),0)</f>
        <v>0</v>
      </c>
      <c r="L79" s="7">
        <f>ROUNDDOWN(IFERROR(VALUE(VLOOKUP(H79,'Онлайн-курс1'!B:F,5,FALSE())),IFERROR(VALUE(VLOOKUP(H79,'Онлайн-курс1'!C:F,4,FALSE())),0))/40*20,0)
+ IFERROR(VALUE(SUBSTITUTE(VLOOKUP(H79,'Онлайн-курс2'!B:I,7,FALSE()),".",",")),IFERROR(VALUE(SUBSTITUTE(VLOOKUP(H79,'Онлайн-курс2'!C:I,6,FALSE()),".",",")),0))*2</f>
        <v>20</v>
      </c>
      <c r="M79" s="8" t="s">
        <v>438</v>
      </c>
      <c r="N79" s="9">
        <v>1</v>
      </c>
      <c r="O79" s="4" t="s">
        <v>440</v>
      </c>
      <c r="P79" s="4">
        <v>0</v>
      </c>
      <c r="Q79" s="10" t="str">
        <f ca="1">IFERROR(__xludf.dummyfunction("iferror(index(QUERY(commits!A$2:$K1001, ""select Count(C) where lower(D) = lower('""&amp;G79&amp;""')""),2,1),""-"")"),"-")</f>
        <v>-</v>
      </c>
      <c r="R79" s="4" t="s">
        <v>441</v>
      </c>
      <c r="S79" s="4">
        <v>4</v>
      </c>
      <c r="T79" s="4">
        <f ca="1">VLOOKUP(A79,Расчёт_оценок!A:C,3,FALSE())</f>
        <v>6</v>
      </c>
      <c r="U79" s="4">
        <f ca="1">IFERROR(VLOOKUP(J79,Проекты!A:P,16,FALSE()),0)</f>
        <v>4</v>
      </c>
      <c r="V79" s="4" t="s">
        <v>54</v>
      </c>
      <c r="W79" s="4">
        <v>30</v>
      </c>
      <c r="X79" s="4">
        <v>71</v>
      </c>
      <c r="Y79" s="4">
        <v>3</v>
      </c>
      <c r="Z79" s="4">
        <v>6</v>
      </c>
      <c r="AA79" s="4">
        <v>2</v>
      </c>
      <c r="AB79" s="4">
        <v>0.67</v>
      </c>
      <c r="AC79" s="4">
        <f t="shared" si="16"/>
        <v>3.67</v>
      </c>
      <c r="AD79" s="4">
        <v>3.8</v>
      </c>
      <c r="AE79" s="4">
        <v>16</v>
      </c>
      <c r="AF79" s="4">
        <v>35</v>
      </c>
      <c r="AG79" s="4">
        <v>3</v>
      </c>
      <c r="AH79" s="4">
        <f ca="1">IFERROR(__xludf.dummyfunction("if(isna(filter(prs!C:U,prs!I:I=G79,prs!G:G&gt;DATE(2024,3,28),prs!G:G&lt;DATE(2024,4,26))),0,countunique(index(filter(prs!C:U,prs!I:I=G79,prs!G:G&gt;DATE(2024,3,28),prs!G:G&lt;DATE(2024,4,26)),,1)))"),6)</f>
        <v>6</v>
      </c>
      <c r="AI79" s="4">
        <f ca="1">IFERROR(__xludf.dummyfunction("if(isna(filter(prs!C:U,prs!I:I=G79,prs!R:R&lt;&gt;""Empty field"",prs!G:G&gt;DATE(2024,3,28),prs!G:G&lt;DATE(2024,4,26))),0,countunique(index(filter(prs!C:U,prs!I:I=G79,prs!R:R&lt;&gt;""Empty field"",prs!G:G&gt;DATE(2024,3,28),prs!G:G&lt;DATE(2024,4,26)),,1)))"),5)</f>
        <v>5</v>
      </c>
      <c r="AJ79" s="4">
        <f t="shared" ca="1" si="17"/>
        <v>3</v>
      </c>
      <c r="AK79" s="4">
        <f t="shared" ca="1" si="18"/>
        <v>6</v>
      </c>
      <c r="AL79" s="4">
        <f ca="1">IFERROR(__xludf.dummyfunction("filter('Проекты'!AT:AT,'Проекты'!A:A=J79)"),4)</f>
        <v>4</v>
      </c>
      <c r="AM79" s="4">
        <f ca="1">IFERROR(__xludf.dummyfunction("ifna(filter(commits_results!H:I,commits_results!B:B=A79,commits_results!A:A=J79),)"),19)</f>
        <v>19</v>
      </c>
      <c r="AN79" s="4">
        <f ca="1">IFERROR(__xludf.dummyfunction("""COMPUTED_VALUE"""),32)</f>
        <v>32</v>
      </c>
      <c r="AO79" s="4">
        <f t="shared" ca="1" si="19"/>
        <v>3</v>
      </c>
      <c r="AP79" s="4">
        <f ca="1">IFERROR(__xludf.dummyfunction("if(isna(filter(prs!C:U,prs!I:I=G79,prs!G:G&gt;DATE(2024,4,25),prs!G:G&lt;DATE(2024,5,23))),0,countunique(index(filter(prs!C:U,prs!I:I=G79,prs!G:G&gt;DATE(2024,4,25),prs!G:G&lt;DATE(2024,5,23)),,1)))"),6)</f>
        <v>6</v>
      </c>
      <c r="AQ79" s="4">
        <f ca="1">IFERROR(__xludf.dummyfunction("if(isna(filter(prs!C:U,prs!I:I=G79,prs!R:R&lt;&gt;""Empty field"",prs!G:G&gt;DATE(2024,4,25),prs!G:G&lt;DATE(2024,5,23))),0,countunique(index(filter(prs!C:U,prs!I:I=G79,prs!R:R&lt;&gt;""Empty field"",prs!G:G&gt;DATE(2024,4,25),prs!G:G&lt;DATE(2024,5,23)),,1)))"),4)</f>
        <v>4</v>
      </c>
      <c r="AR79" s="4">
        <f t="shared" ca="1" si="20"/>
        <v>3</v>
      </c>
      <c r="AS79" s="4">
        <f t="shared" ca="1" si="21"/>
        <v>6</v>
      </c>
      <c r="AT79" s="4">
        <f ca="1">IFERROR(__xludf.dummyfunction("filter('Проекты'!BB:BB,'Проекты'!A:A=J79)"),4)</f>
        <v>4</v>
      </c>
      <c r="AU79" s="4">
        <f ca="1">IFERROR(__xludf.dummyfunction("filter('Проекты'!BE:BE,'Проекты'!A:A=J79)"),0)</f>
        <v>0</v>
      </c>
      <c r="AV79" s="11">
        <f t="shared" ca="1" si="22"/>
        <v>58</v>
      </c>
      <c r="AW79" s="4" t="str">
        <f t="shared" ca="1" si="23"/>
        <v>Неудовлетворительно</v>
      </c>
    </row>
    <row r="80" spans="1:79" ht="15.75" customHeight="1">
      <c r="A80" s="6" t="s">
        <v>442</v>
      </c>
      <c r="B80" s="6" t="s">
        <v>442</v>
      </c>
      <c r="C80" s="6"/>
      <c r="D80" s="6">
        <v>1384</v>
      </c>
      <c r="E80" s="6" t="s">
        <v>443</v>
      </c>
      <c r="F80" s="6" t="s">
        <v>443</v>
      </c>
      <c r="G80" s="6" t="s">
        <v>444</v>
      </c>
      <c r="H80" s="6" t="s">
        <v>445</v>
      </c>
      <c r="I80" s="4" t="s">
        <v>1095</v>
      </c>
      <c r="J80" s="7">
        <f ca="1">IFERROR(__xludf.dummyfunction("index(split(I80,char(9)),1,1)"),12)</f>
        <v>12</v>
      </c>
      <c r="K80" s="7">
        <f ca="1">IFERROR(__xludf.dummyfunction("ifna(index(filter('Посещаемость_баллы'!$A:$L,'Посещаемость_баллы'!$B:$B=$B80,'Посещаемость_баллы'!$C:$C=$C80,'Посещаемость_баллы'!$D:$D=$D80),1,12)*10,0)"),0)</f>
        <v>0</v>
      </c>
      <c r="L80" s="7">
        <f>ROUNDDOWN(IFERROR(VALUE(VLOOKUP(H80,'Онлайн-курс1'!B:F,5,FALSE())),IFERROR(VALUE(VLOOKUP(H80,'Онлайн-курс1'!C:F,4,FALSE())),0))/40*20,0)
+ IFERROR(VALUE(SUBSTITUTE(VLOOKUP(H80,'Онлайн-курс2'!B:I,7,FALSE()),".",",")),IFERROR(VALUE(SUBSTITUTE(VLOOKUP(H80,'Онлайн-курс2'!C:I,6,FALSE()),".",",")),0))*2</f>
        <v>20</v>
      </c>
      <c r="M80" s="8" t="s">
        <v>444</v>
      </c>
      <c r="N80" s="9">
        <v>1</v>
      </c>
      <c r="O80" s="4" t="s">
        <v>446</v>
      </c>
      <c r="P80" s="4">
        <v>0</v>
      </c>
      <c r="Q80" s="10" t="str">
        <f ca="1">IFERROR(__xludf.dummyfunction("iferror(index(QUERY(commits!A$2:$K1001, ""select Count(C) where lower(D) = lower('""&amp;G80&amp;""')""),2,1),""-"")"),"-")</f>
        <v>-</v>
      </c>
      <c r="R80" s="4" t="s">
        <v>54</v>
      </c>
      <c r="S80" s="4" t="s">
        <v>47</v>
      </c>
      <c r="T80" s="4">
        <f ca="1">VLOOKUP(A80,Расчёт_оценок!A:C,3,FALSE())</f>
        <v>6</v>
      </c>
      <c r="U80" s="4">
        <f ca="1">IFERROR(VLOOKUP(J80,Проекты!A:P,16,FALSE()),0)</f>
        <v>4</v>
      </c>
      <c r="V80" s="4" t="s">
        <v>131</v>
      </c>
      <c r="W80" s="4">
        <v>0</v>
      </c>
      <c r="X80" s="4">
        <v>4</v>
      </c>
      <c r="Y80" s="4">
        <v>0</v>
      </c>
      <c r="Z80" s="4">
        <v>1</v>
      </c>
      <c r="AA80" s="4">
        <v>1</v>
      </c>
      <c r="AB80" s="4">
        <v>1</v>
      </c>
      <c r="AC80" s="4">
        <f t="shared" si="16"/>
        <v>2</v>
      </c>
      <c r="AD80" s="4">
        <v>3.8</v>
      </c>
      <c r="AE80" s="4">
        <v>13</v>
      </c>
      <c r="AF80" s="4">
        <v>14</v>
      </c>
      <c r="AG80" s="4">
        <v>3</v>
      </c>
      <c r="AH80" s="4">
        <f ca="1">IFERROR(__xludf.dummyfunction("if(isna(filter(prs!C:U,prs!I:I=G80,prs!G:G&gt;DATE(2024,3,28),prs!G:G&lt;DATE(2024,4,26))),0,countunique(index(filter(prs!C:U,prs!I:I=G80,prs!G:G&gt;DATE(2024,3,28),prs!G:G&lt;DATE(2024,4,26)),,1)))"),10)</f>
        <v>10</v>
      </c>
      <c r="AI80" s="4">
        <f ca="1">IFERROR(__xludf.dummyfunction("if(isna(filter(prs!C:U,prs!I:I=G80,prs!R:R&lt;&gt;""Empty field"",prs!G:G&gt;DATE(2024,3,28),prs!G:G&lt;DATE(2024,4,26))),0,countunique(index(filter(prs!C:U,prs!I:I=G80,prs!R:R&lt;&gt;""Empty field"",prs!G:G&gt;DATE(2024,3,28),prs!G:G&lt;DATE(2024,4,26)),,1)))"),6)</f>
        <v>6</v>
      </c>
      <c r="AJ80" s="4">
        <f t="shared" ca="1" si="17"/>
        <v>3</v>
      </c>
      <c r="AK80" s="4">
        <f t="shared" ca="1" si="18"/>
        <v>6</v>
      </c>
      <c r="AL80" s="4">
        <f ca="1">IFERROR(__xludf.dummyfunction("filter('Проекты'!AT:AT,'Проекты'!A:A=J80)"),3.3)</f>
        <v>3.3</v>
      </c>
      <c r="AM80" s="4">
        <f ca="1">IFERROR(__xludf.dummyfunction("ifna(filter(commits_results!H:I,commits_results!B:B=A80,commits_results!A:A=J80),)"),9)</f>
        <v>9</v>
      </c>
      <c r="AN80" s="4">
        <f ca="1">IFERROR(__xludf.dummyfunction("""COMPUTED_VALUE"""),10)</f>
        <v>10</v>
      </c>
      <c r="AO80" s="4">
        <f t="shared" ca="1" si="19"/>
        <v>3</v>
      </c>
      <c r="AP80" s="4">
        <f ca="1">IFERROR(__xludf.dummyfunction("if(isna(filter(prs!C:U,prs!I:I=G80,prs!G:G&gt;DATE(2024,4,25),prs!G:G&lt;DATE(2024,5,23))),0,countunique(index(filter(prs!C:U,prs!I:I=G80,prs!G:G&gt;DATE(2024,4,25),prs!G:G&lt;DATE(2024,5,23)),,1)))"),9)</f>
        <v>9</v>
      </c>
      <c r="AQ80" s="4">
        <f ca="1">IFERROR(__xludf.dummyfunction("if(isna(filter(prs!C:U,prs!I:I=G80,prs!R:R&lt;&gt;""Empty field"",prs!G:G&gt;DATE(2024,4,25),prs!G:G&lt;DATE(2024,5,23))),0,countunique(index(filter(prs!C:U,prs!I:I=G80,prs!R:R&lt;&gt;""Empty field"",prs!G:G&gt;DATE(2024,4,25),prs!G:G&lt;DATE(2024,5,23)),,1)))"),5)</f>
        <v>5</v>
      </c>
      <c r="AR80" s="4">
        <f t="shared" ca="1" si="20"/>
        <v>3</v>
      </c>
      <c r="AS80" s="4">
        <f t="shared" ca="1" si="21"/>
        <v>6</v>
      </c>
      <c r="AT80" s="4">
        <f ca="1">IFERROR(__xludf.dummyfunction("filter('Проекты'!BB:BB,'Проекты'!A:A=J80)"),1.1)</f>
        <v>1.1000000000000001</v>
      </c>
      <c r="AU80" s="4">
        <f ca="1">IFERROR(__xludf.dummyfunction("filter('Проекты'!BE:BE,'Проекты'!A:A=J80)"),0)</f>
        <v>0</v>
      </c>
      <c r="AV80" s="11">
        <f t="shared" ca="1" si="22"/>
        <v>53</v>
      </c>
      <c r="AW80" s="4" t="str">
        <f t="shared" ca="1" si="23"/>
        <v>Неудовлетворительно</v>
      </c>
    </row>
    <row r="81" spans="1:49" ht="15.75" customHeight="1">
      <c r="A81" s="6" t="s">
        <v>447</v>
      </c>
      <c r="B81" s="6" t="s">
        <v>447</v>
      </c>
      <c r="C81" s="6"/>
      <c r="D81" s="6">
        <v>1384</v>
      </c>
      <c r="E81" s="6" t="s">
        <v>448</v>
      </c>
      <c r="F81" s="6" t="s">
        <v>448</v>
      </c>
      <c r="G81" s="6" t="s">
        <v>449</v>
      </c>
      <c r="H81" s="6" t="s">
        <v>450</v>
      </c>
      <c r="I81" s="4" t="s">
        <v>1096</v>
      </c>
      <c r="J81" s="7">
        <f ca="1">IFERROR(__xludf.dummyfunction("index(split(I81,char(9)),1,1)"),11)</f>
        <v>11</v>
      </c>
      <c r="K81" s="7">
        <f ca="1">IFERROR(__xludf.dummyfunction("ifna(index(filter('Посещаемость_баллы'!$A:$L,'Посещаемость_баллы'!$B:$B=$B81,'Посещаемость_баллы'!$C:$C=$C81,'Посещаемость_баллы'!$D:$D=$D81),1,12)*10,0)"),10)</f>
        <v>10</v>
      </c>
      <c r="L81" s="7">
        <f>ROUNDDOWN(IFERROR(VALUE(VLOOKUP(H81,'Онлайн-курс1'!B:F,5,FALSE())),IFERROR(VALUE(VLOOKUP(H81,'Онлайн-курс1'!C:F,4,FALSE())),0))/40*20,0)
+ IFERROR(VALUE(SUBSTITUTE(VLOOKUP(H81,'Онлайн-курс2'!B:I,7,FALSE()),".",",")),IFERROR(VALUE(SUBSTITUTE(VLOOKUP(H81,'Онлайн-курс2'!C:I,6,FALSE()),".",",")),0))*2</f>
        <v>20</v>
      </c>
      <c r="M81" s="8" t="s">
        <v>449</v>
      </c>
      <c r="N81" s="9">
        <v>1</v>
      </c>
      <c r="O81" s="4" t="s">
        <v>451</v>
      </c>
      <c r="P81" s="4">
        <v>0</v>
      </c>
      <c r="Q81" s="10" t="str">
        <f ca="1">IFERROR(__xludf.dummyfunction("iferror(index(QUERY(commits!A$2:$K1001, ""select Count(C) where lower(D) = lower('""&amp;G81&amp;""')""),2,1),""-"")"),"-")</f>
        <v>-</v>
      </c>
      <c r="R81" s="4" t="s">
        <v>54</v>
      </c>
      <c r="S81" s="4" t="s">
        <v>47</v>
      </c>
      <c r="T81" s="4">
        <f ca="1">VLOOKUP(A81,Расчёт_оценок!A:C,3,FALSE())</f>
        <v>6</v>
      </c>
      <c r="U81" s="4">
        <f ca="1">IFERROR(VLOOKUP(J81,Проекты!A:P,16,FALSE()),0)</f>
        <v>3</v>
      </c>
      <c r="V81" s="4" t="s">
        <v>71</v>
      </c>
      <c r="W81" s="4">
        <v>9</v>
      </c>
      <c r="X81" s="4">
        <v>9</v>
      </c>
      <c r="Y81" s="4">
        <v>3</v>
      </c>
      <c r="Z81" s="4">
        <v>3</v>
      </c>
      <c r="AA81" s="4">
        <v>3</v>
      </c>
      <c r="AB81" s="4">
        <v>2</v>
      </c>
      <c r="AC81" s="4">
        <f t="shared" si="16"/>
        <v>6</v>
      </c>
      <c r="AD81" s="4">
        <v>2.9</v>
      </c>
      <c r="AE81" s="4">
        <v>8</v>
      </c>
      <c r="AF81" s="4">
        <v>8</v>
      </c>
      <c r="AG81" s="4">
        <v>3</v>
      </c>
      <c r="AH81" s="4">
        <f ca="1">IFERROR(__xludf.dummyfunction("if(isna(filter(prs!C:U,prs!I:I=G81,prs!G:G&gt;DATE(2024,3,28),prs!G:G&lt;DATE(2024,4,26))),0,countunique(index(filter(prs!C:U,prs!I:I=G81,prs!G:G&gt;DATE(2024,3,28),prs!G:G&lt;DATE(2024,4,26)),,1)))"),2)</f>
        <v>2</v>
      </c>
      <c r="AI81" s="4">
        <f ca="1">IFERROR(__xludf.dummyfunction("if(isna(filter(prs!C:U,prs!I:I=G81,prs!R:R&lt;&gt;""Empty field"",prs!G:G&gt;DATE(2024,3,28),prs!G:G&lt;DATE(2024,4,26))),0,countunique(index(filter(prs!C:U,prs!I:I=G81,prs!R:R&lt;&gt;""Empty field"",prs!G:G&gt;DATE(2024,3,28),prs!G:G&lt;DATE(2024,4,26)),,1)))"),2)</f>
        <v>2</v>
      </c>
      <c r="AJ81" s="4">
        <f t="shared" ca="1" si="17"/>
        <v>3</v>
      </c>
      <c r="AK81" s="4">
        <f t="shared" ca="1" si="18"/>
        <v>6</v>
      </c>
      <c r="AL81" s="4">
        <f ca="1">IFERROR(__xludf.dummyfunction("filter('Проекты'!AT:AT,'Проекты'!A:A=J81)"),4)</f>
        <v>4</v>
      </c>
      <c r="AM81" s="4">
        <f ca="1">IFERROR(__xludf.dummyfunction("ifna(filter(commits_results!H:I,commits_results!B:B=A81,commits_results!A:A=J81),)"),7)</f>
        <v>7</v>
      </c>
      <c r="AN81" s="4">
        <f ca="1">IFERROR(__xludf.dummyfunction("""COMPUTED_VALUE"""),21)</f>
        <v>21</v>
      </c>
      <c r="AO81" s="4">
        <f t="shared" ca="1" si="19"/>
        <v>3</v>
      </c>
      <c r="AP81" s="4">
        <f ca="1">IFERROR(__xludf.dummyfunction("if(isna(filter(prs!C:U,prs!I:I=G81,prs!G:G&gt;DATE(2024,4,25),prs!G:G&lt;DATE(2024,5,23))),0,countunique(index(filter(prs!C:U,prs!I:I=G81,prs!G:G&gt;DATE(2024,4,25),prs!G:G&lt;DATE(2024,5,23)),,1)))"),1)</f>
        <v>1</v>
      </c>
      <c r="AQ81" s="4">
        <f ca="1">IFERROR(__xludf.dummyfunction("if(isna(filter(prs!C:U,prs!I:I=G81,prs!R:R&lt;&gt;""Empty field"",prs!G:G&gt;DATE(2024,4,25),prs!G:G&lt;DATE(2024,5,23))),0,countunique(index(filter(prs!C:U,prs!I:I=G81,prs!R:R&lt;&gt;""Empty field"",prs!G:G&gt;DATE(2024,4,25),prs!G:G&lt;DATE(2024,5,23)),,1)))"),0)</f>
        <v>0</v>
      </c>
      <c r="AR81" s="4">
        <f t="shared" ca="1" si="20"/>
        <v>0</v>
      </c>
      <c r="AS81" s="4">
        <f t="shared" ca="1" si="21"/>
        <v>3</v>
      </c>
      <c r="AT81" s="4">
        <f ca="1">IFERROR(__xludf.dummyfunction("filter('Проекты'!BB:BB,'Проекты'!A:A=J81)"),3.7)</f>
        <v>3.7</v>
      </c>
      <c r="AU81" s="4">
        <f ca="1">IFERROR(__xludf.dummyfunction("filter('Проекты'!BE:BE,'Проекты'!A:A=J81)"),0)</f>
        <v>0</v>
      </c>
      <c r="AV81" s="11">
        <f t="shared" ca="1" si="22"/>
        <v>65</v>
      </c>
      <c r="AW81" s="4" t="str">
        <f t="shared" ca="1" si="23"/>
        <v>Удовлетворительно</v>
      </c>
    </row>
    <row r="82" spans="1:49" ht="15.75" customHeight="1">
      <c r="A82" s="6" t="s">
        <v>452</v>
      </c>
      <c r="B82" s="6" t="s">
        <v>452</v>
      </c>
      <c r="C82" s="6"/>
      <c r="D82" s="6">
        <v>1384</v>
      </c>
      <c r="E82" s="6" t="s">
        <v>453</v>
      </c>
      <c r="F82" s="6" t="s">
        <v>453</v>
      </c>
      <c r="G82" s="6" t="s">
        <v>454</v>
      </c>
      <c r="H82" s="6" t="s">
        <v>455</v>
      </c>
      <c r="I82" s="4" t="s">
        <v>1097</v>
      </c>
      <c r="J82" s="7">
        <f ca="1">IFERROR(__xludf.dummyfunction("index(split(I82,char(9)),1,1)"),1)</f>
        <v>1</v>
      </c>
      <c r="K82" s="7">
        <f ca="1">IFERROR(__xludf.dummyfunction("ifna(index(filter('Посещаемость_баллы'!$A:$L,'Посещаемость_баллы'!$B:$B=$B82,'Посещаемость_баллы'!$C:$C=$C82,'Посещаемость_баллы'!$D:$D=$D82),1,12)*10,0)"),8)</f>
        <v>8</v>
      </c>
      <c r="L82" s="7">
        <f>ROUNDDOWN(IFERROR(VALUE(VLOOKUP(H82,'Онлайн-курс1'!B:F,5,FALSE())),IFERROR(VALUE(VLOOKUP(H82,'Онлайн-курс1'!C:F,4,FALSE())),0))/40*20,0)
+ IFERROR(VALUE(SUBSTITUTE(VLOOKUP(H82,'Онлайн-курс2'!B:I,7,FALSE()),".",",")),IFERROR(VALUE(SUBSTITUTE(VLOOKUP(H82,'Онлайн-курс2'!C:I,6,FALSE()),".",",")),0))*2</f>
        <v>20</v>
      </c>
      <c r="M82" s="8" t="s">
        <v>454</v>
      </c>
      <c r="N82" s="9">
        <v>1</v>
      </c>
      <c r="O82" s="4" t="s">
        <v>456</v>
      </c>
      <c r="P82" s="4">
        <v>0</v>
      </c>
      <c r="Q82" s="10" t="str">
        <f ca="1">IFERROR(__xludf.dummyfunction("iferror(index(QUERY(commits!A$2:$K1001, ""select Count(C) where lower(D) = lower('""&amp;G82&amp;""')""),2,1),""-"")"),"-")</f>
        <v>-</v>
      </c>
      <c r="R82" s="4" t="s">
        <v>46</v>
      </c>
      <c r="S82" s="4" t="s">
        <v>47</v>
      </c>
      <c r="T82" s="4">
        <f ca="1">VLOOKUP(A82,Расчёт_оценок!A:C,3,FALSE())</f>
        <v>6</v>
      </c>
      <c r="U82" s="4">
        <f ca="1">IFERROR(VLOOKUP(J82,Проекты!A:P,16,FALSE()),0)</f>
        <v>4</v>
      </c>
      <c r="V82" s="4" t="s">
        <v>40</v>
      </c>
      <c r="W82" s="4">
        <v>6</v>
      </c>
      <c r="X82" s="4">
        <v>6</v>
      </c>
      <c r="Y82" s="4">
        <v>3</v>
      </c>
      <c r="Z82" s="4">
        <v>2</v>
      </c>
      <c r="AA82" s="4">
        <v>1</v>
      </c>
      <c r="AB82" s="4">
        <v>0.5</v>
      </c>
      <c r="AC82" s="4">
        <f t="shared" si="16"/>
        <v>4.5</v>
      </c>
      <c r="AD82" s="4">
        <v>4</v>
      </c>
      <c r="AE82" s="4">
        <v>1</v>
      </c>
      <c r="AF82" s="4">
        <v>3</v>
      </c>
      <c r="AG82" s="4">
        <v>0.5</v>
      </c>
      <c r="AH82" s="4">
        <f ca="1">IFERROR(__xludf.dummyfunction("if(isna(filter(prs!C:U,prs!I:I=G82,prs!G:G&gt;DATE(2024,3,28),prs!G:G&lt;DATE(2024,4,26))),0,countunique(index(filter(prs!C:U,prs!I:I=G82,prs!G:G&gt;DATE(2024,3,28),prs!G:G&lt;DATE(2024,4,26)),,1)))"),4)</f>
        <v>4</v>
      </c>
      <c r="AI82" s="4">
        <f ca="1">IFERROR(__xludf.dummyfunction("if(isna(filter(prs!C:U,prs!I:I=G82,prs!R:R&lt;&gt;""Empty field"",prs!G:G&gt;DATE(2024,3,28),prs!G:G&lt;DATE(2024,4,26))),0,countunique(index(filter(prs!C:U,prs!I:I=G82,prs!R:R&lt;&gt;""Empty field"",prs!G:G&gt;DATE(2024,3,28),prs!G:G&lt;DATE(2024,4,26)),,1)))"),4)</f>
        <v>4</v>
      </c>
      <c r="AJ82" s="4">
        <f t="shared" ca="1" si="17"/>
        <v>3</v>
      </c>
      <c r="AK82" s="4">
        <f t="shared" ca="1" si="18"/>
        <v>3.5</v>
      </c>
      <c r="AL82" s="4">
        <f ca="1">IFERROR(__xludf.dummyfunction("filter('Проекты'!AT:AT,'Проекты'!A:A=J82)"),4)</f>
        <v>4</v>
      </c>
      <c r="AM82" s="4">
        <f ca="1">IFERROR(__xludf.dummyfunction("ifna(filter(commits_results!H:I,commits_results!B:B=A82,commits_results!A:A=J82),)"),0)</f>
        <v>0</v>
      </c>
      <c r="AN82" s="4">
        <f ca="1">IFERROR(__xludf.dummyfunction("""COMPUTED_VALUE"""),0)</f>
        <v>0</v>
      </c>
      <c r="AO82" s="4">
        <f t="shared" ca="1" si="19"/>
        <v>0</v>
      </c>
      <c r="AP82" s="4">
        <f ca="1">IFERROR(__xludf.dummyfunction("if(isna(filter(prs!C:U,prs!I:I=G82,prs!G:G&gt;DATE(2024,4,25),prs!G:G&lt;DATE(2024,5,23))),0,countunique(index(filter(prs!C:U,prs!I:I=G82,prs!G:G&gt;DATE(2024,4,25),prs!G:G&lt;DATE(2024,5,23)),,1)))"),0)</f>
        <v>0</v>
      </c>
      <c r="AQ82" s="4">
        <f ca="1">IFERROR(__xludf.dummyfunction("if(isna(filter(prs!C:U,prs!I:I=G82,prs!R:R&lt;&gt;""Empty field"",prs!G:G&gt;DATE(2024,4,25),prs!G:G&lt;DATE(2024,5,23))),0,countunique(index(filter(prs!C:U,prs!I:I=G82,prs!R:R&lt;&gt;""Empty field"",prs!G:G&gt;DATE(2024,4,25),prs!G:G&lt;DATE(2024,5,23)),,1)))"),0)</f>
        <v>0</v>
      </c>
      <c r="AR82" s="4">
        <f t="shared" ca="1" si="20"/>
        <v>0</v>
      </c>
      <c r="AS82" s="4">
        <f t="shared" ca="1" si="21"/>
        <v>0</v>
      </c>
      <c r="AT82" s="4">
        <f ca="1">IFERROR(__xludf.dummyfunction("filter('Проекты'!BB:BB,'Проекты'!A:A=J82)"),2.9)</f>
        <v>2.9</v>
      </c>
      <c r="AU82" s="4">
        <f ca="1">IFERROR(__xludf.dummyfunction("filter('Проекты'!BE:BE,'Проекты'!A:A=J82)"),0)</f>
        <v>0</v>
      </c>
      <c r="AV82" s="11">
        <f t="shared" ca="1" si="22"/>
        <v>57</v>
      </c>
      <c r="AW82" s="4" t="str">
        <f t="shared" ca="1" si="23"/>
        <v>Неудовлетворительно</v>
      </c>
    </row>
    <row r="83" spans="1:49" ht="15.75" customHeight="1">
      <c r="A83" s="6" t="s">
        <v>457</v>
      </c>
      <c r="B83" s="6" t="s">
        <v>457</v>
      </c>
      <c r="C83" s="6"/>
      <c r="D83" s="6">
        <v>1384</v>
      </c>
      <c r="E83" s="6" t="s">
        <v>458</v>
      </c>
      <c r="F83" s="6" t="s">
        <v>458</v>
      </c>
      <c r="G83" s="6" t="s">
        <v>459</v>
      </c>
      <c r="H83" s="6" t="s">
        <v>460</v>
      </c>
      <c r="I83" s="4" t="s">
        <v>1098</v>
      </c>
      <c r="J83" s="7">
        <f ca="1">IFERROR(__xludf.dummyfunction("index(split(I83,char(9)),1,1)"),18)</f>
        <v>18</v>
      </c>
      <c r="K83" s="7">
        <f ca="1">IFERROR(__xludf.dummyfunction("ifna(index(filter('Посещаемость_баллы'!$A:$L,'Посещаемость_баллы'!$B:$B=$B83,'Посещаемость_баллы'!$C:$C=$C83,'Посещаемость_баллы'!$D:$D=$D83),1,12)*10,0)"),10)</f>
        <v>10</v>
      </c>
      <c r="L83" s="7">
        <f>ROUNDDOWN(IFERROR(VALUE(VLOOKUP(H83,'Онлайн-курс1'!B:F,5,FALSE())),IFERROR(VALUE(VLOOKUP(H83,'Онлайн-курс1'!C:F,4,FALSE())),0))/40*20,0)
+ IFERROR(VALUE(SUBSTITUTE(VLOOKUP(H83,'Онлайн-курс2'!B:I,7,FALSE()),".",",")),IFERROR(VALUE(SUBSTITUTE(VLOOKUP(H83,'Онлайн-курс2'!C:I,6,FALSE()),".",",")),0))*2</f>
        <v>0</v>
      </c>
      <c r="M83" s="8" t="s">
        <v>459</v>
      </c>
      <c r="N83" s="9">
        <v>1</v>
      </c>
      <c r="O83" s="4" t="s">
        <v>461</v>
      </c>
      <c r="P83" s="4">
        <v>0</v>
      </c>
      <c r="Q83" s="10" t="str">
        <f ca="1">IFERROR(__xludf.dummyfunction("iferror(index(QUERY(commits!A$2:$K1001, ""select Count(C) where lower(D) = lower('""&amp;G83&amp;""')""),2,1),""-"")"),"-")</f>
        <v>-</v>
      </c>
      <c r="R83" s="4" t="s">
        <v>54</v>
      </c>
      <c r="S83" s="4" t="s">
        <v>47</v>
      </c>
      <c r="T83" s="4">
        <f ca="1">VLOOKUP(A83,Расчёт_оценок!A:C,3,FALSE())</f>
        <v>6</v>
      </c>
      <c r="U83" s="4">
        <f ca="1">IFERROR(VLOOKUP(J83,Проекты!A:P,16,FALSE()),0)</f>
        <v>4</v>
      </c>
      <c r="V83" s="4" t="s">
        <v>462</v>
      </c>
      <c r="W83" s="4">
        <v>14</v>
      </c>
      <c r="X83" s="4">
        <v>14</v>
      </c>
      <c r="Y83" s="4">
        <v>3</v>
      </c>
      <c r="Z83" s="4">
        <v>3</v>
      </c>
      <c r="AA83" s="4">
        <v>2</v>
      </c>
      <c r="AB83" s="4">
        <v>1.33</v>
      </c>
      <c r="AC83" s="4">
        <f t="shared" si="16"/>
        <v>5.33</v>
      </c>
      <c r="AD83" s="4">
        <v>3.8</v>
      </c>
      <c r="AE83" s="4">
        <v>7</v>
      </c>
      <c r="AF83" s="4">
        <v>7</v>
      </c>
      <c r="AG83" s="4">
        <v>3</v>
      </c>
      <c r="AH83" s="4">
        <f ca="1">IFERROR(__xludf.dummyfunction("if(isna(filter(prs!C:U,prs!I:I=G83,prs!G:G&gt;DATE(2024,3,28),prs!G:G&lt;DATE(2024,4,26))),0,countunique(index(filter(prs!C:U,prs!I:I=G83,prs!G:G&gt;DATE(2024,3,28),prs!G:G&lt;DATE(2024,4,26)),,1)))"),8)</f>
        <v>8</v>
      </c>
      <c r="AI83" s="4">
        <f ca="1">IFERROR(__xludf.dummyfunction("if(isna(filter(prs!C:U,prs!I:I=G83,prs!R:R&lt;&gt;""Empty field"",prs!G:G&gt;DATE(2024,3,28),prs!G:G&lt;DATE(2024,4,26))),0,countunique(index(filter(prs!C:U,prs!I:I=G83,prs!R:R&lt;&gt;""Empty field"",prs!G:G&gt;DATE(2024,3,28),prs!G:G&lt;DATE(2024,4,26)),,1)))"),8)</f>
        <v>8</v>
      </c>
      <c r="AJ83" s="4">
        <f t="shared" ca="1" si="17"/>
        <v>3</v>
      </c>
      <c r="AK83" s="4">
        <f t="shared" ca="1" si="18"/>
        <v>6</v>
      </c>
      <c r="AL83" s="4">
        <f ca="1">IFERROR(__xludf.dummyfunction("filter('Проекты'!AT:AT,'Проекты'!A:A=J83)"),3.5)</f>
        <v>3.5</v>
      </c>
      <c r="AM83" s="4">
        <f ca="1">IFERROR(__xludf.dummyfunction("ifna(filter(commits_results!H:I,commits_results!B:B=A83,commits_results!A:A=J83),)"),1)</f>
        <v>1</v>
      </c>
      <c r="AN83" s="4">
        <f ca="1">IFERROR(__xludf.dummyfunction("""COMPUTED_VALUE"""),1)</f>
        <v>1</v>
      </c>
      <c r="AO83" s="4">
        <f t="shared" ca="1" si="19"/>
        <v>3</v>
      </c>
      <c r="AP83" s="4">
        <f ca="1">IFERROR(__xludf.dummyfunction("if(isna(filter(prs!C:U,prs!I:I=G83,prs!G:G&gt;DATE(2024,4,25),prs!G:G&lt;DATE(2024,5,23))),0,countunique(index(filter(prs!C:U,prs!I:I=G83,prs!G:G&gt;DATE(2024,4,25),prs!G:G&lt;DATE(2024,5,23)),,1)))"),0)</f>
        <v>0</v>
      </c>
      <c r="AQ83" s="4">
        <f ca="1">IFERROR(__xludf.dummyfunction("if(isna(filter(prs!C:U,prs!I:I=G83,prs!R:R&lt;&gt;""Empty field"",prs!G:G&gt;DATE(2024,4,25),prs!G:G&lt;DATE(2024,5,23))),0,countunique(index(filter(prs!C:U,prs!I:I=G83,prs!R:R&lt;&gt;""Empty field"",prs!G:G&gt;DATE(2024,4,25),prs!G:G&lt;DATE(2024,5,23)),,1)))"),0)</f>
        <v>0</v>
      </c>
      <c r="AR83" s="4">
        <f t="shared" ca="1" si="20"/>
        <v>0</v>
      </c>
      <c r="AS83" s="4">
        <f t="shared" ca="1" si="21"/>
        <v>3</v>
      </c>
      <c r="AT83" s="4">
        <f ca="1">IFERROR(__xludf.dummyfunction("filter('Проекты'!BB:BB,'Проекты'!A:A=J83)"),4)</f>
        <v>4</v>
      </c>
      <c r="AU83" s="4">
        <f ca="1">IFERROR(__xludf.dummyfunction("filter('Проекты'!BE:BE,'Проекты'!A:A=J83)"),0)</f>
        <v>0</v>
      </c>
      <c r="AV83" s="11">
        <f t="shared" ca="1" si="22"/>
        <v>46</v>
      </c>
      <c r="AW83" s="4" t="str">
        <f t="shared" ca="1" si="23"/>
        <v>Неудовлетворительно</v>
      </c>
    </row>
    <row r="84" spans="1:49" ht="15.75" customHeight="1">
      <c r="A84" s="6" t="s">
        <v>463</v>
      </c>
      <c r="B84" s="6" t="s">
        <v>463</v>
      </c>
      <c r="C84" s="6"/>
      <c r="D84" s="6">
        <v>1384</v>
      </c>
      <c r="E84" s="6" t="s">
        <v>464</v>
      </c>
      <c r="F84" s="6" t="s">
        <v>464</v>
      </c>
      <c r="G84" s="6" t="s">
        <v>465</v>
      </c>
      <c r="H84" s="6" t="s">
        <v>466</v>
      </c>
      <c r="I84" s="4" t="s">
        <v>1099</v>
      </c>
      <c r="J84" s="7">
        <f ca="1">IFERROR(__xludf.dummyfunction("index(split(I84,char(9)),1,1)"),11)</f>
        <v>11</v>
      </c>
      <c r="K84" s="7">
        <f ca="1">IFERROR(__xludf.dummyfunction("ifna(index(filter('Посещаемость_баллы'!$A:$L,'Посещаемость_баллы'!$B:$B=$B84,'Посещаемость_баллы'!$C:$C=$C84,'Посещаемость_баллы'!$D:$D=$D84),1,12)*10,0)"),10)</f>
        <v>10</v>
      </c>
      <c r="L84" s="7">
        <f>ROUNDDOWN(IFERROR(VALUE(VLOOKUP(H84,'Онлайн-курс1'!B:F,5,FALSE())),IFERROR(VALUE(VLOOKUP(H84,'Онлайн-курс1'!C:F,4,FALSE())),0))/40*20,0)
+ IFERROR(VALUE(SUBSTITUTE(VLOOKUP(H84,'Онлайн-курс2'!B:I,7,FALSE()),".",",")),IFERROR(VALUE(SUBSTITUTE(VLOOKUP(H84,'Онлайн-курс2'!C:I,6,FALSE()),".",",")),0))*2</f>
        <v>0</v>
      </c>
      <c r="M84" s="8" t="s">
        <v>465</v>
      </c>
      <c r="N84" s="9">
        <v>1</v>
      </c>
      <c r="O84" s="4" t="s">
        <v>467</v>
      </c>
      <c r="P84" s="4">
        <v>0</v>
      </c>
      <c r="Q84" s="10" t="str">
        <f ca="1">IFERROR(__xludf.dummyfunction("iferror(index(QUERY(commits!A$2:$K1001, ""select Count(C) where lower(D) = lower('""&amp;G84&amp;""')""),2,1),""-"")"),"-")</f>
        <v>-</v>
      </c>
      <c r="R84" s="4" t="s">
        <v>40</v>
      </c>
      <c r="S84" s="4">
        <v>1</v>
      </c>
      <c r="T84" s="4">
        <f ca="1">VLOOKUP(A84,Расчёт_оценок!A:C,3,FALSE())</f>
        <v>6</v>
      </c>
      <c r="U84" s="4">
        <f ca="1">IFERROR(VLOOKUP(J84,Проекты!A:P,16,FALSE()),0)</f>
        <v>3</v>
      </c>
      <c r="V84" s="4" t="s">
        <v>357</v>
      </c>
      <c r="W84" s="4">
        <v>5</v>
      </c>
      <c r="X84" s="4">
        <v>5</v>
      </c>
      <c r="Y84" s="4">
        <v>3</v>
      </c>
      <c r="Z84" s="4">
        <v>4</v>
      </c>
      <c r="AA84" s="4">
        <v>2</v>
      </c>
      <c r="AB84" s="4">
        <v>1</v>
      </c>
      <c r="AC84" s="4">
        <f t="shared" si="16"/>
        <v>5</v>
      </c>
      <c r="AD84" s="4">
        <v>2.9</v>
      </c>
      <c r="AE84" s="4">
        <v>6</v>
      </c>
      <c r="AF84" s="4">
        <v>6</v>
      </c>
      <c r="AG84" s="4">
        <v>3</v>
      </c>
      <c r="AH84" s="4">
        <f ca="1">IFERROR(__xludf.dummyfunction("if(isna(filter(prs!C:U,prs!I:I=G84,prs!G:G&gt;DATE(2024,3,28),prs!G:G&lt;DATE(2024,4,26))),0,countunique(index(filter(prs!C:U,prs!I:I=G84,prs!G:G&gt;DATE(2024,3,28),prs!G:G&lt;DATE(2024,4,26)),,1)))"),2)</f>
        <v>2</v>
      </c>
      <c r="AI84" s="4">
        <f ca="1">IFERROR(__xludf.dummyfunction("if(isna(filter(prs!C:U,prs!I:I=G84,prs!R:R&lt;&gt;""Empty field"",prs!G:G&gt;DATE(2024,3,28),prs!G:G&lt;DATE(2024,4,26))),0,countunique(index(filter(prs!C:U,prs!I:I=G84,prs!R:R&lt;&gt;""Empty field"",prs!G:G&gt;DATE(2024,3,28),prs!G:G&lt;DATE(2024,4,26)),,1)))"),2)</f>
        <v>2</v>
      </c>
      <c r="AJ84" s="4">
        <f t="shared" ca="1" si="17"/>
        <v>3</v>
      </c>
      <c r="AK84" s="4">
        <f t="shared" ca="1" si="18"/>
        <v>6</v>
      </c>
      <c r="AL84" s="4">
        <f ca="1">IFERROR(__xludf.dummyfunction("filter('Проекты'!AT:AT,'Проекты'!A:A=J84)"),4)</f>
        <v>4</v>
      </c>
      <c r="AM84" s="4">
        <f ca="1">IFERROR(__xludf.dummyfunction("ifna(filter(commits_results!H:I,commits_results!B:B=A84,commits_results!A:A=J84),)"),13)</f>
        <v>13</v>
      </c>
      <c r="AN84" s="4">
        <f ca="1">IFERROR(__xludf.dummyfunction("""COMPUTED_VALUE"""),13)</f>
        <v>13</v>
      </c>
      <c r="AO84" s="4">
        <f t="shared" ca="1" si="19"/>
        <v>3</v>
      </c>
      <c r="AP84" s="4">
        <f ca="1">IFERROR(__xludf.dummyfunction("if(isna(filter(prs!C:U,prs!I:I=G84,prs!G:G&gt;DATE(2024,4,25),prs!G:G&lt;DATE(2024,5,23))),0,countunique(index(filter(prs!C:U,prs!I:I=G84,prs!G:G&gt;DATE(2024,4,25),prs!G:G&lt;DATE(2024,5,23)),,1)))"),1)</f>
        <v>1</v>
      </c>
      <c r="AQ84" s="4">
        <f ca="1">IFERROR(__xludf.dummyfunction("if(isna(filter(prs!C:U,prs!I:I=G84,prs!R:R&lt;&gt;""Empty field"",prs!G:G&gt;DATE(2024,4,25),prs!G:G&lt;DATE(2024,5,23))),0,countunique(index(filter(prs!C:U,prs!I:I=G84,prs!R:R&lt;&gt;""Empty field"",prs!G:G&gt;DATE(2024,4,25),prs!G:G&lt;DATE(2024,5,23)),,1)))"),1)</f>
        <v>1</v>
      </c>
      <c r="AR84" s="4">
        <f t="shared" ca="1" si="20"/>
        <v>3</v>
      </c>
      <c r="AS84" s="4">
        <f t="shared" ca="1" si="21"/>
        <v>6</v>
      </c>
      <c r="AT84" s="4">
        <f ca="1">IFERROR(__xludf.dummyfunction("filter('Проекты'!BB:BB,'Проекты'!A:A=J84)"),3.7)</f>
        <v>3.7</v>
      </c>
      <c r="AU84" s="4">
        <f ca="1">IFERROR(__xludf.dummyfunction("filter('Проекты'!BE:BE,'Проекты'!A:A=J84)"),0)</f>
        <v>0</v>
      </c>
      <c r="AV84" s="11">
        <f t="shared" ca="1" si="22"/>
        <v>47</v>
      </c>
      <c r="AW84" s="4" t="str">
        <f t="shared" ca="1" si="23"/>
        <v>Неудовлетворительно</v>
      </c>
    </row>
    <row r="85" spans="1:49" ht="15.75" customHeight="1">
      <c r="A85" s="6" t="s">
        <v>468</v>
      </c>
      <c r="B85" s="6" t="s">
        <v>468</v>
      </c>
      <c r="C85" s="6"/>
      <c r="D85" s="6">
        <v>1384</v>
      </c>
      <c r="E85" s="6" t="s">
        <v>469</v>
      </c>
      <c r="F85" s="6" t="s">
        <v>469</v>
      </c>
      <c r="G85" s="6" t="s">
        <v>470</v>
      </c>
      <c r="H85" s="6" t="s">
        <v>471</v>
      </c>
      <c r="I85" s="4" t="s">
        <v>1100</v>
      </c>
      <c r="J85" s="7">
        <f ca="1">IFERROR(__xludf.dummyfunction("index(split(I85,char(9)),1,1)"),10)</f>
        <v>10</v>
      </c>
      <c r="K85" s="7">
        <f ca="1">IFERROR(__xludf.dummyfunction("ifna(index(filter('Посещаемость_баллы'!$A:$L,'Посещаемость_баллы'!$B:$B=$B85,'Посещаемость_баллы'!$C:$C=$C85,'Посещаемость_баллы'!$D:$D=$D85),1,12)*10,0)"),8)</f>
        <v>8</v>
      </c>
      <c r="L85" s="7">
        <f>ROUNDDOWN(IFERROR(VALUE(VLOOKUP(H85,'Онлайн-курс1'!B:F,5,FALSE())),IFERROR(VALUE(VLOOKUP(H85,'Онлайн-курс1'!C:F,4,FALSE())),0))/40*20,0)
+ IFERROR(VALUE(SUBSTITUTE(VLOOKUP(H85,'Онлайн-курс2'!B:I,7,FALSE()),".",",")),IFERROR(VALUE(SUBSTITUTE(VLOOKUP(H85,'Онлайн-курс2'!C:I,6,FALSE()),".",",")),0))*2</f>
        <v>20</v>
      </c>
      <c r="M85" s="8" t="s">
        <v>470</v>
      </c>
      <c r="N85" s="9">
        <v>1</v>
      </c>
      <c r="O85" s="4" t="s">
        <v>472</v>
      </c>
      <c r="P85" s="4">
        <v>0</v>
      </c>
      <c r="Q85" s="10" t="str">
        <f ca="1">IFERROR(__xludf.dummyfunction("iferror(index(QUERY(commits!A$2:$K1001, ""select Count(C) where lower(D) = lower('""&amp;G85&amp;""')""),2,1),""-"")"),"-")</f>
        <v>-</v>
      </c>
      <c r="R85" s="4" t="s">
        <v>131</v>
      </c>
      <c r="S85" s="4">
        <v>1</v>
      </c>
      <c r="T85" s="4">
        <f ca="1">VLOOKUP(A85,Расчёт_оценок!A:C,3,FALSE())</f>
        <v>6</v>
      </c>
      <c r="U85" s="4">
        <f ca="1">IFERROR(VLOOKUP(J85,Проекты!A:P,16,FALSE()),0)</f>
        <v>4</v>
      </c>
      <c r="V85" s="4" t="s">
        <v>331</v>
      </c>
      <c r="W85" s="4">
        <v>11</v>
      </c>
      <c r="X85" s="4">
        <v>16</v>
      </c>
      <c r="Y85" s="4">
        <v>3</v>
      </c>
      <c r="Z85" s="4">
        <v>7</v>
      </c>
      <c r="AA85" s="4">
        <v>5</v>
      </c>
      <c r="AB85" s="4">
        <v>2</v>
      </c>
      <c r="AC85" s="4">
        <f t="shared" si="16"/>
        <v>6</v>
      </c>
      <c r="AD85" s="4">
        <v>4</v>
      </c>
      <c r="AE85" s="4">
        <v>8</v>
      </c>
      <c r="AF85" s="4">
        <v>9</v>
      </c>
      <c r="AG85" s="4">
        <v>2.67</v>
      </c>
      <c r="AH85" s="4">
        <f ca="1">IFERROR(__xludf.dummyfunction("if(isna(filter(prs!C:U,prs!I:I=G85,prs!G:G&gt;DATE(2024,3,28),prs!G:G&lt;DATE(2024,4,26))),0,countunique(index(filter(prs!C:U,prs!I:I=G85,prs!G:G&gt;DATE(2024,3,28),prs!G:G&lt;DATE(2024,4,26)),,1)))"),2)</f>
        <v>2</v>
      </c>
      <c r="AI85" s="4">
        <f ca="1">IFERROR(__xludf.dummyfunction("if(isna(filter(prs!C:U,prs!I:I=G85,prs!R:R&lt;&gt;""Empty field"",prs!G:G&gt;DATE(2024,3,28),prs!G:G&lt;DATE(2024,4,26))),0,countunique(index(filter(prs!C:U,prs!I:I=G85,prs!R:R&lt;&gt;""Empty field"",prs!G:G&gt;DATE(2024,3,28),prs!G:G&lt;DATE(2024,4,26)),,1)))"),2)</f>
        <v>2</v>
      </c>
      <c r="AJ85" s="4">
        <f t="shared" ca="1" si="17"/>
        <v>3</v>
      </c>
      <c r="AK85" s="4">
        <f t="shared" ca="1" si="18"/>
        <v>5.67</v>
      </c>
      <c r="AL85" s="4">
        <f ca="1">IFERROR(__xludf.dummyfunction("filter('Проекты'!AT:AT,'Проекты'!A:A=J85)"),4)</f>
        <v>4</v>
      </c>
      <c r="AM85" s="4">
        <f ca="1">IFERROR(__xludf.dummyfunction("ifna(filter(commits_results!H:I,commits_results!B:B=A85,commits_results!A:A=J85),)"),16)</f>
        <v>16</v>
      </c>
      <c r="AN85" s="4">
        <f ca="1">IFERROR(__xludf.dummyfunction("""COMPUTED_VALUE"""),21)</f>
        <v>21</v>
      </c>
      <c r="AO85" s="4">
        <f t="shared" ca="1" si="19"/>
        <v>3</v>
      </c>
      <c r="AP85" s="4">
        <f ca="1">IFERROR(__xludf.dummyfunction("if(isna(filter(prs!C:U,prs!I:I=G85,prs!G:G&gt;DATE(2024,4,25),prs!G:G&lt;DATE(2024,5,23))),0,countunique(index(filter(prs!C:U,prs!I:I=G85,prs!G:G&gt;DATE(2024,4,25),prs!G:G&lt;DATE(2024,5,23)),,1)))"),9)</f>
        <v>9</v>
      </c>
      <c r="AQ85" s="4">
        <f ca="1">IFERROR(__xludf.dummyfunction("if(isna(filter(prs!C:U,prs!I:I=G85,prs!R:R&lt;&gt;""Empty field"",prs!G:G&gt;DATE(2024,4,25),prs!G:G&lt;DATE(2024,5,23))),0,countunique(index(filter(prs!C:U,prs!I:I=G85,prs!R:R&lt;&gt;""Empty field"",prs!G:G&gt;DATE(2024,4,25),prs!G:G&lt;DATE(2024,5,23)),,1)))"),7)</f>
        <v>7</v>
      </c>
      <c r="AR85" s="4">
        <f t="shared" ca="1" si="20"/>
        <v>3</v>
      </c>
      <c r="AS85" s="4">
        <f t="shared" ca="1" si="21"/>
        <v>6</v>
      </c>
      <c r="AT85" s="4">
        <f ca="1">IFERROR(__xludf.dummyfunction("filter('Проекты'!BB:BB,'Проекты'!A:A=J85)"),4)</f>
        <v>4</v>
      </c>
      <c r="AU85" s="4">
        <f ca="1">IFERROR(__xludf.dummyfunction("filter('Проекты'!BE:BE,'Проекты'!A:A=J85)"),0)</f>
        <v>0</v>
      </c>
      <c r="AV85" s="11">
        <f t="shared" ca="1" si="22"/>
        <v>68</v>
      </c>
      <c r="AW85" s="4" t="str">
        <f t="shared" ca="1" si="23"/>
        <v>Удовлетворительно</v>
      </c>
    </row>
    <row r="86" spans="1:49" ht="15.75" customHeight="1">
      <c r="A86" s="6" t="s">
        <v>473</v>
      </c>
      <c r="B86" s="6" t="s">
        <v>473</v>
      </c>
      <c r="C86" s="6"/>
      <c r="D86" s="6">
        <v>1384</v>
      </c>
      <c r="E86" s="6" t="s">
        <v>474</v>
      </c>
      <c r="F86" s="6" t="s">
        <v>474</v>
      </c>
      <c r="G86" s="6" t="s">
        <v>475</v>
      </c>
      <c r="H86" s="6" t="s">
        <v>476</v>
      </c>
      <c r="I86" s="4" t="s">
        <v>1101</v>
      </c>
      <c r="J86" s="7">
        <f ca="1">IFERROR(__xludf.dummyfunction("index(split(I86,char(9)),1,1)"),18)</f>
        <v>18</v>
      </c>
      <c r="K86" s="7">
        <f ca="1">IFERROR(__xludf.dummyfunction("ifna(index(filter('Посещаемость_баллы'!$A:$L,'Посещаемость_баллы'!$B:$B=$B86,'Посещаемость_баллы'!$C:$C=$C86,'Посещаемость_баллы'!$D:$D=$D86),1,12)*10,0)"),10)</f>
        <v>10</v>
      </c>
      <c r="L86" s="7">
        <f>ROUNDDOWN(IFERROR(VALUE(VLOOKUP(H86,'Онлайн-курс1'!B:F,5,FALSE())),IFERROR(VALUE(VLOOKUP(H86,'Онлайн-курс1'!C:F,4,FALSE())),0))/40*20,0)
+ IFERROR(VALUE(SUBSTITUTE(VLOOKUP(H86,'Онлайн-курс2'!B:I,7,FALSE()),".",",")),IFERROR(VALUE(SUBSTITUTE(VLOOKUP(H86,'Онлайн-курс2'!C:I,6,FALSE()),".",",")),0))*2</f>
        <v>20</v>
      </c>
      <c r="M86" s="8" t="s">
        <v>475</v>
      </c>
      <c r="N86" s="9">
        <v>1</v>
      </c>
      <c r="O86" s="4" t="s">
        <v>477</v>
      </c>
      <c r="P86" s="4">
        <v>0</v>
      </c>
      <c r="Q86" s="10" t="str">
        <f ca="1">IFERROR(__xludf.dummyfunction("iferror(index(QUERY(commits!A$2:$K1001, ""select Count(C) where lower(D) = lower('""&amp;G86&amp;""')""),2,1),""-"")"),"-")</f>
        <v>-</v>
      </c>
      <c r="R86" s="4" t="s">
        <v>46</v>
      </c>
      <c r="S86" s="4" t="s">
        <v>47</v>
      </c>
      <c r="T86" s="4">
        <f ca="1">VLOOKUP(A86,Расчёт_оценок!A:C,3,FALSE())</f>
        <v>6</v>
      </c>
      <c r="U86" s="4">
        <f ca="1">IFERROR(VLOOKUP(J86,Проекты!A:P,16,FALSE()),0)</f>
        <v>4</v>
      </c>
      <c r="V86" s="4" t="s">
        <v>478</v>
      </c>
      <c r="W86" s="4">
        <v>7</v>
      </c>
      <c r="X86" s="4">
        <v>7</v>
      </c>
      <c r="Y86" s="4">
        <v>3</v>
      </c>
      <c r="Z86" s="4">
        <v>4</v>
      </c>
      <c r="AA86" s="4">
        <v>4</v>
      </c>
      <c r="AB86" s="4">
        <v>2</v>
      </c>
      <c r="AC86" s="4">
        <f t="shared" si="16"/>
        <v>6</v>
      </c>
      <c r="AD86" s="4">
        <v>3.8</v>
      </c>
      <c r="AE86" s="4">
        <v>14</v>
      </c>
      <c r="AF86" s="4">
        <v>14</v>
      </c>
      <c r="AG86" s="4">
        <v>3</v>
      </c>
      <c r="AH86" s="4">
        <f ca="1">IFERROR(__xludf.dummyfunction("if(isna(filter(prs!C:U,prs!I:I=G86,prs!G:G&gt;DATE(2024,3,28),prs!G:G&lt;DATE(2024,4,26))),0,countunique(index(filter(prs!C:U,prs!I:I=G86,prs!G:G&gt;DATE(2024,3,28),prs!G:G&lt;DATE(2024,4,26)),,1)))"),6)</f>
        <v>6</v>
      </c>
      <c r="AI86" s="4">
        <f ca="1">IFERROR(__xludf.dummyfunction("if(isna(filter(prs!C:U,prs!I:I=G86,prs!R:R&lt;&gt;""Empty field"",prs!G:G&gt;DATE(2024,3,28),prs!G:G&lt;DATE(2024,4,26))),0,countunique(index(filter(prs!C:U,prs!I:I=G86,prs!R:R&lt;&gt;""Empty field"",prs!G:G&gt;DATE(2024,3,28),prs!G:G&lt;DATE(2024,4,26)),,1)))"),6)</f>
        <v>6</v>
      </c>
      <c r="AJ86" s="4">
        <f t="shared" ca="1" si="17"/>
        <v>3</v>
      </c>
      <c r="AK86" s="4">
        <f t="shared" ca="1" si="18"/>
        <v>6</v>
      </c>
      <c r="AL86" s="4">
        <f ca="1">IFERROR(__xludf.dummyfunction("filter('Проекты'!AT:AT,'Проекты'!A:A=J86)"),3.5)</f>
        <v>3.5</v>
      </c>
      <c r="AM86" s="4">
        <f ca="1">IFERROR(__xludf.dummyfunction("ifna(filter(commits_results!H:I,commits_results!B:B=A86,commits_results!A:A=J86),)"),19)</f>
        <v>19</v>
      </c>
      <c r="AN86" s="4">
        <f ca="1">IFERROR(__xludf.dummyfunction("""COMPUTED_VALUE"""),19)</f>
        <v>19</v>
      </c>
      <c r="AO86" s="4">
        <f t="shared" ca="1" si="19"/>
        <v>3</v>
      </c>
      <c r="AP86" s="4">
        <f ca="1">IFERROR(__xludf.dummyfunction("if(isna(filter(prs!C:U,prs!I:I=G86,prs!G:G&gt;DATE(2024,4,25),prs!G:G&lt;DATE(2024,5,23))),0,countunique(index(filter(prs!C:U,prs!I:I=G86,prs!G:G&gt;DATE(2024,4,25),prs!G:G&lt;DATE(2024,5,23)),,1)))"),1)</f>
        <v>1</v>
      </c>
      <c r="AQ86" s="4">
        <f ca="1">IFERROR(__xludf.dummyfunction("if(isna(filter(prs!C:U,prs!I:I=G86,prs!R:R&lt;&gt;""Empty field"",prs!G:G&gt;DATE(2024,4,25),prs!G:G&lt;DATE(2024,5,23))),0,countunique(index(filter(prs!C:U,prs!I:I=G86,prs!R:R&lt;&gt;""Empty field"",prs!G:G&gt;DATE(2024,4,25),prs!G:G&lt;DATE(2024,5,23)),,1)))"),1)</f>
        <v>1</v>
      </c>
      <c r="AR86" s="4">
        <f t="shared" ca="1" si="20"/>
        <v>3</v>
      </c>
      <c r="AS86" s="4">
        <f t="shared" ca="1" si="21"/>
        <v>6</v>
      </c>
      <c r="AT86" s="4">
        <f ca="1">IFERROR(__xludf.dummyfunction("filter('Проекты'!BB:BB,'Проекты'!A:A=J86)"),4)</f>
        <v>4</v>
      </c>
      <c r="AU86" s="4">
        <f ca="1">IFERROR(__xludf.dummyfunction("filter('Проекты'!BE:BE,'Проекты'!A:A=J86)"),0)</f>
        <v>0</v>
      </c>
      <c r="AV86" s="11">
        <f t="shared" ca="1" si="22"/>
        <v>70</v>
      </c>
      <c r="AW86" s="4" t="str">
        <f t="shared" ca="1" si="23"/>
        <v>Удовлетворительно</v>
      </c>
    </row>
    <row r="87" spans="1:49" ht="15.75" customHeight="1">
      <c r="A87" s="6" t="s">
        <v>479</v>
      </c>
      <c r="B87" s="6" t="s">
        <v>479</v>
      </c>
      <c r="C87" s="6"/>
      <c r="D87" s="6">
        <v>1384</v>
      </c>
      <c r="E87" s="6" t="s">
        <v>480</v>
      </c>
      <c r="F87" s="6" t="s">
        <v>480</v>
      </c>
      <c r="G87" s="6" t="s">
        <v>481</v>
      </c>
      <c r="H87" s="6" t="s">
        <v>482</v>
      </c>
      <c r="I87" s="4" t="s">
        <v>1102</v>
      </c>
      <c r="J87" s="7">
        <f ca="1">IFERROR(__xludf.dummyfunction("index(split(I87,char(9)),1,1)"),11)</f>
        <v>11</v>
      </c>
      <c r="K87" s="7">
        <f ca="1">IFERROR(__xludf.dummyfunction("ifna(index(filter('Посещаемость_баллы'!$A:$L,'Посещаемость_баллы'!$B:$B=$B87,'Посещаемость_баллы'!$C:$C=$C87,'Посещаемость_баллы'!$D:$D=$D87),1,12)*10,0)"),6)</f>
        <v>6</v>
      </c>
      <c r="L87" s="7">
        <f>ROUNDDOWN(IFERROR(VALUE(VLOOKUP(H87,'Онлайн-курс1'!B:F,5,FALSE())),IFERROR(VALUE(VLOOKUP(H87,'Онлайн-курс1'!C:F,4,FALSE())),0))/40*20,0)
+ IFERROR(VALUE(SUBSTITUTE(VLOOKUP(H87,'Онлайн-курс2'!B:I,7,FALSE()),".",",")),IFERROR(VALUE(SUBSTITUTE(VLOOKUP(H87,'Онлайн-курс2'!C:I,6,FALSE()),".",",")),0))*2</f>
        <v>20</v>
      </c>
      <c r="M87" s="8" t="s">
        <v>481</v>
      </c>
      <c r="N87" s="9">
        <v>1</v>
      </c>
      <c r="O87" s="4" t="s">
        <v>483</v>
      </c>
      <c r="P87" s="4">
        <v>0</v>
      </c>
      <c r="Q87" s="10" t="str">
        <f ca="1">IFERROR(__xludf.dummyfunction("iferror(index(QUERY(commits!A$2:$K1001, ""select Count(C) where lower(D) = lower('""&amp;G87&amp;""')""),2,1),""-"")"),"-")</f>
        <v>-</v>
      </c>
      <c r="R87" s="4" t="s">
        <v>40</v>
      </c>
      <c r="S87" s="4">
        <v>1</v>
      </c>
      <c r="T87" s="4">
        <f ca="1">VLOOKUP(A87,Расчёт_оценок!A:C,3,FALSE())</f>
        <v>6</v>
      </c>
      <c r="U87" s="4">
        <f ca="1">IFERROR(VLOOKUP(J87,Проекты!A:P,16,FALSE()),0)</f>
        <v>3</v>
      </c>
      <c r="V87" s="4" t="s">
        <v>40</v>
      </c>
      <c r="W87" s="4">
        <v>16</v>
      </c>
      <c r="X87" s="4">
        <v>16</v>
      </c>
      <c r="Y87" s="4">
        <v>3</v>
      </c>
      <c r="Z87" s="4">
        <v>2</v>
      </c>
      <c r="AA87" s="4">
        <v>2</v>
      </c>
      <c r="AB87" s="4">
        <v>2</v>
      </c>
      <c r="AC87" s="4">
        <f t="shared" si="16"/>
        <v>6</v>
      </c>
      <c r="AD87" s="4">
        <v>2.9</v>
      </c>
      <c r="AE87" s="4">
        <v>6</v>
      </c>
      <c r="AF87" s="4">
        <v>6</v>
      </c>
      <c r="AG87" s="4">
        <v>3</v>
      </c>
      <c r="AH87" s="4">
        <f ca="1">IFERROR(__xludf.dummyfunction("if(isna(filter(prs!C:U,prs!I:I=G87,prs!G:G&gt;DATE(2024,3,28),prs!G:G&lt;DATE(2024,4,26))),0,countunique(index(filter(prs!C:U,prs!I:I=G87,prs!G:G&gt;DATE(2024,3,28),prs!G:G&lt;DATE(2024,4,26)),,1)))"),4)</f>
        <v>4</v>
      </c>
      <c r="AI87" s="4">
        <f ca="1">IFERROR(__xludf.dummyfunction("if(isna(filter(prs!C:U,prs!I:I=G87,prs!R:R&lt;&gt;""Empty field"",prs!G:G&gt;DATE(2024,3,28),prs!G:G&lt;DATE(2024,4,26))),0,countunique(index(filter(prs!C:U,prs!I:I=G87,prs!R:R&lt;&gt;""Empty field"",prs!G:G&gt;DATE(2024,3,28),prs!G:G&lt;DATE(2024,4,26)),,1)))"),4)</f>
        <v>4</v>
      </c>
      <c r="AJ87" s="4">
        <f t="shared" ca="1" si="17"/>
        <v>3</v>
      </c>
      <c r="AK87" s="4">
        <f t="shared" ca="1" si="18"/>
        <v>6</v>
      </c>
      <c r="AL87" s="4">
        <f ca="1">IFERROR(__xludf.dummyfunction("filter('Проекты'!AT:AT,'Проекты'!A:A=J87)"),4)</f>
        <v>4</v>
      </c>
      <c r="AM87" s="4">
        <f ca="1">IFERROR(__xludf.dummyfunction("ifna(filter(commits_results!H:I,commits_results!B:B=A87,commits_results!A:A=J87),)"),8)</f>
        <v>8</v>
      </c>
      <c r="AN87" s="4">
        <f ca="1">IFERROR(__xludf.dummyfunction("""COMPUTED_VALUE"""),8)</f>
        <v>8</v>
      </c>
      <c r="AO87" s="4">
        <f t="shared" ca="1" si="19"/>
        <v>3</v>
      </c>
      <c r="AP87" s="4">
        <f ca="1">IFERROR(__xludf.dummyfunction("if(isna(filter(prs!C:U,prs!I:I=G87,prs!G:G&gt;DATE(2024,4,25),prs!G:G&lt;DATE(2024,5,23))),0,countunique(index(filter(prs!C:U,prs!I:I=G87,prs!G:G&gt;DATE(2024,4,25),prs!G:G&lt;DATE(2024,5,23)),,1)))"),1)</f>
        <v>1</v>
      </c>
      <c r="AQ87" s="4">
        <f ca="1">IFERROR(__xludf.dummyfunction("if(isna(filter(prs!C:U,prs!I:I=G87,prs!R:R&lt;&gt;""Empty field"",prs!G:G&gt;DATE(2024,4,25),prs!G:G&lt;DATE(2024,5,23))),0,countunique(index(filter(prs!C:U,prs!I:I=G87,prs!R:R&lt;&gt;""Empty field"",prs!G:G&gt;DATE(2024,4,25),prs!G:G&lt;DATE(2024,5,23)),,1)))"),1)</f>
        <v>1</v>
      </c>
      <c r="AR87" s="4">
        <f t="shared" ca="1" si="20"/>
        <v>3</v>
      </c>
      <c r="AS87" s="4">
        <f t="shared" ca="1" si="21"/>
        <v>6</v>
      </c>
      <c r="AT87" s="4">
        <f ca="1">IFERROR(__xludf.dummyfunction("filter('Проекты'!BB:BB,'Проекты'!A:A=J87)"),3.7)</f>
        <v>3.7</v>
      </c>
      <c r="AU87" s="4">
        <f ca="1">IFERROR(__xludf.dummyfunction("filter('Проекты'!BE:BE,'Проекты'!A:A=J87)"),0)</f>
        <v>0</v>
      </c>
      <c r="AV87" s="11">
        <f t="shared" ca="1" si="22"/>
        <v>64</v>
      </c>
      <c r="AW87" s="4" t="str">
        <f t="shared" ca="1" si="23"/>
        <v>Удовлетворительно</v>
      </c>
    </row>
    <row r="88" spans="1:49" ht="15.75" customHeight="1">
      <c r="A88" s="6" t="s">
        <v>484</v>
      </c>
      <c r="B88" s="6" t="s">
        <v>484</v>
      </c>
      <c r="C88" s="6"/>
      <c r="D88" s="6">
        <v>1384</v>
      </c>
      <c r="E88" s="6" t="s">
        <v>485</v>
      </c>
      <c r="F88" s="6" t="s">
        <v>485</v>
      </c>
      <c r="G88" s="6" t="s">
        <v>486</v>
      </c>
      <c r="H88" s="6" t="s">
        <v>487</v>
      </c>
      <c r="I88" s="4" t="s">
        <v>1103</v>
      </c>
      <c r="J88" s="7">
        <f ca="1">IFERROR(__xludf.dummyfunction("index(split(I88,char(9)),1,1)"),18)</f>
        <v>18</v>
      </c>
      <c r="K88" s="7">
        <f ca="1">IFERROR(__xludf.dummyfunction("ifna(index(filter('Посещаемость_баллы'!$A:$L,'Посещаемость_баллы'!$B:$B=$B88,'Посещаемость_баллы'!$C:$C=$C88,'Посещаемость_баллы'!$D:$D=$D88),1,12)*10,0)"),10)</f>
        <v>10</v>
      </c>
      <c r="L88" s="7">
        <f>ROUNDDOWN(IFERROR(VALUE(VLOOKUP(H88,'Онлайн-курс1'!B:F,5,FALSE())),IFERROR(VALUE(VLOOKUP(H88,'Онлайн-курс1'!C:F,4,FALSE())),0))/40*20,0)
+ IFERROR(VALUE(SUBSTITUTE(VLOOKUP(H88,'Онлайн-курс2'!B:I,7,FALSE()),".",",")),IFERROR(VALUE(SUBSTITUTE(VLOOKUP(H88,'Онлайн-курс2'!C:I,6,FALSE()),".",",")),0))*2</f>
        <v>20</v>
      </c>
      <c r="M88" s="8" t="s">
        <v>486</v>
      </c>
      <c r="N88" s="9">
        <v>1</v>
      </c>
      <c r="O88" s="4" t="s">
        <v>488</v>
      </c>
      <c r="P88" s="4">
        <v>0</v>
      </c>
      <c r="Q88" s="10" t="str">
        <f ca="1">IFERROR(__xludf.dummyfunction("iferror(index(QUERY(commits!A$2:$K1001, ""select Count(C) where lower(D) = lower('""&amp;G88&amp;""')""),2,1),""-"")"),"-")</f>
        <v>-</v>
      </c>
      <c r="R88" s="4" t="s">
        <v>54</v>
      </c>
      <c r="S88" s="4" t="s">
        <v>47</v>
      </c>
      <c r="T88" s="4">
        <f ca="1">VLOOKUP(A88,Расчёт_оценок!A:C,3,FALSE())</f>
        <v>6</v>
      </c>
      <c r="U88" s="4">
        <f ca="1">IFERROR(VLOOKUP(J88,Проекты!A:P,16,FALSE()),0)</f>
        <v>4</v>
      </c>
      <c r="V88" s="4" t="s">
        <v>489</v>
      </c>
      <c r="W88" s="4">
        <v>8</v>
      </c>
      <c r="X88" s="4">
        <v>8</v>
      </c>
      <c r="Y88" s="4">
        <v>3</v>
      </c>
      <c r="Z88" s="4">
        <v>4</v>
      </c>
      <c r="AA88" s="4">
        <v>3</v>
      </c>
      <c r="AB88" s="4">
        <v>1.5</v>
      </c>
      <c r="AC88" s="4">
        <f t="shared" si="16"/>
        <v>5.5</v>
      </c>
      <c r="AD88" s="4">
        <v>3.8</v>
      </c>
      <c r="AE88" s="4">
        <v>9</v>
      </c>
      <c r="AF88" s="4">
        <v>9</v>
      </c>
      <c r="AG88" s="4">
        <v>3</v>
      </c>
      <c r="AH88" s="4">
        <f ca="1">IFERROR(__xludf.dummyfunction("if(isna(filter(prs!C:U,prs!I:I=G88,prs!G:G&gt;DATE(2024,3,28),prs!G:G&lt;DATE(2024,4,26))),0,countunique(index(filter(prs!C:U,prs!I:I=G88,prs!G:G&gt;DATE(2024,3,28),prs!G:G&lt;DATE(2024,4,26)),,1)))"),6)</f>
        <v>6</v>
      </c>
      <c r="AI88" s="4">
        <f ca="1">IFERROR(__xludf.dummyfunction("if(isna(filter(prs!C:U,prs!I:I=G88,prs!R:R&lt;&gt;""Empty field"",prs!G:G&gt;DATE(2024,3,28),prs!G:G&lt;DATE(2024,4,26))),0,countunique(index(filter(prs!C:U,prs!I:I=G88,prs!R:R&lt;&gt;""Empty field"",prs!G:G&gt;DATE(2024,3,28),prs!G:G&lt;DATE(2024,4,26)),,1)))"),6)</f>
        <v>6</v>
      </c>
      <c r="AJ88" s="4">
        <f t="shared" ca="1" si="17"/>
        <v>3</v>
      </c>
      <c r="AK88" s="4">
        <f t="shared" ca="1" si="18"/>
        <v>6</v>
      </c>
      <c r="AL88" s="4">
        <f ca="1">IFERROR(__xludf.dummyfunction("filter('Проекты'!AT:AT,'Проекты'!A:A=J88)"),3.5)</f>
        <v>3.5</v>
      </c>
      <c r="AM88" s="4">
        <f ca="1">IFERROR(__xludf.dummyfunction("ifna(filter(commits_results!H:I,commits_results!B:B=A88,commits_results!A:A=J88),)"),14)</f>
        <v>14</v>
      </c>
      <c r="AN88" s="4">
        <f ca="1">IFERROR(__xludf.dummyfunction("""COMPUTED_VALUE"""),14)</f>
        <v>14</v>
      </c>
      <c r="AO88" s="4">
        <f t="shared" ca="1" si="19"/>
        <v>3</v>
      </c>
      <c r="AP88" s="4">
        <f ca="1">IFERROR(__xludf.dummyfunction("if(isna(filter(prs!C:U,prs!I:I=G88,prs!G:G&gt;DATE(2024,4,25),prs!G:G&lt;DATE(2024,5,23))),0,countunique(index(filter(prs!C:U,prs!I:I=G88,prs!G:G&gt;DATE(2024,4,25),prs!G:G&lt;DATE(2024,5,23)),,1)))"),2)</f>
        <v>2</v>
      </c>
      <c r="AQ88" s="4">
        <f ca="1">IFERROR(__xludf.dummyfunction("if(isna(filter(prs!C:U,prs!I:I=G88,prs!R:R&lt;&gt;""Empty field"",prs!G:G&gt;DATE(2024,4,25),prs!G:G&lt;DATE(2024,5,23))),0,countunique(index(filter(prs!C:U,prs!I:I=G88,prs!R:R&lt;&gt;""Empty field"",prs!G:G&gt;DATE(2024,4,25),prs!G:G&lt;DATE(2024,5,23)),,1)))"),2)</f>
        <v>2</v>
      </c>
      <c r="AR88" s="4">
        <f t="shared" ca="1" si="20"/>
        <v>3</v>
      </c>
      <c r="AS88" s="4">
        <f t="shared" ca="1" si="21"/>
        <v>6</v>
      </c>
      <c r="AT88" s="4">
        <f ca="1">IFERROR(__xludf.dummyfunction("filter('Проекты'!BB:BB,'Проекты'!A:A=J88)"),4)</f>
        <v>4</v>
      </c>
      <c r="AU88" s="4">
        <f ca="1">IFERROR(__xludf.dummyfunction("filter('Проекты'!BE:BE,'Проекты'!A:A=J88)"),0)</f>
        <v>0</v>
      </c>
      <c r="AV88" s="11">
        <f t="shared" ca="1" si="22"/>
        <v>69</v>
      </c>
      <c r="AW88" s="4" t="str">
        <f t="shared" ca="1" si="23"/>
        <v>Удовлетворительно</v>
      </c>
    </row>
    <row r="89" spans="1:49" ht="15.75" customHeight="1">
      <c r="A89" s="6" t="s">
        <v>490</v>
      </c>
      <c r="B89" s="6" t="s">
        <v>490</v>
      </c>
      <c r="C89" s="6"/>
      <c r="D89" s="6">
        <v>1384</v>
      </c>
      <c r="E89" s="6" t="s">
        <v>491</v>
      </c>
      <c r="F89" s="6" t="s">
        <v>491</v>
      </c>
      <c r="G89" s="6" t="s">
        <v>492</v>
      </c>
      <c r="H89" s="6" t="s">
        <v>396</v>
      </c>
      <c r="I89" s="4" t="s">
        <v>1104</v>
      </c>
      <c r="J89" s="7">
        <f ca="1">IFERROR(__xludf.dummyfunction("index(split(I89,char(9)),1,1)"),6)</f>
        <v>6</v>
      </c>
      <c r="K89" s="7">
        <f ca="1">IFERROR(__xludf.dummyfunction("ifna(index(filter('Посещаемость_баллы'!$A:$L,'Посещаемость_баллы'!$B:$B=$B89,'Посещаемость_баллы'!$C:$C=$C89,'Посещаемость_баллы'!$D:$D=$D89),1,12)*10,0)"),10)</f>
        <v>10</v>
      </c>
      <c r="L89" s="7">
        <f>ROUNDDOWN(IFERROR(VALUE(VLOOKUP(H89,'Онлайн-курс1'!B:F,5,FALSE())),IFERROR(VALUE(VLOOKUP(H89,'Онлайн-курс1'!C:F,4,FALSE())),0))/40*20,0)
+ IFERROR(VALUE(SUBSTITUTE(VLOOKUP(H89,'Онлайн-курс2'!B:I,7,FALSE()),".",",")),IFERROR(VALUE(SUBSTITUTE(VLOOKUP(H89,'Онлайн-курс2'!C:I,6,FALSE()),".",",")),0))*2</f>
        <v>20</v>
      </c>
      <c r="M89" s="8" t="s">
        <v>492</v>
      </c>
      <c r="N89" s="9">
        <v>1</v>
      </c>
      <c r="O89" s="4" t="s">
        <v>493</v>
      </c>
      <c r="P89" s="4">
        <v>0</v>
      </c>
      <c r="Q89" s="10" t="str">
        <f ca="1">IFERROR(__xludf.dummyfunction("iferror(index(QUERY(commits!A$2:$K1001, ""select Count(C) where lower(D) = lower('""&amp;G89&amp;""')""),2,1),""-"")"),"-")</f>
        <v>-</v>
      </c>
      <c r="R89" s="4" t="s">
        <v>103</v>
      </c>
      <c r="S89" s="4">
        <v>5</v>
      </c>
      <c r="T89" s="4">
        <f ca="1">VLOOKUP(A89,Расчёт_оценок!A:C,3,FALSE())</f>
        <v>6</v>
      </c>
      <c r="U89" s="4">
        <f ca="1">IFERROR(VLOOKUP(J89,Проекты!A:P,16,FALSE()),0)</f>
        <v>4</v>
      </c>
      <c r="V89" s="4" t="s">
        <v>71</v>
      </c>
      <c r="W89" s="4">
        <v>40</v>
      </c>
      <c r="X89" s="4">
        <v>40</v>
      </c>
      <c r="Y89" s="4">
        <v>3</v>
      </c>
      <c r="Z89" s="4">
        <v>4</v>
      </c>
      <c r="AA89" s="4">
        <v>4</v>
      </c>
      <c r="AB89" s="4">
        <v>2</v>
      </c>
      <c r="AC89" s="4">
        <f t="shared" si="16"/>
        <v>6</v>
      </c>
      <c r="AD89" s="4">
        <v>3.2</v>
      </c>
      <c r="AE89" s="4">
        <v>22</v>
      </c>
      <c r="AF89" s="4">
        <v>22</v>
      </c>
      <c r="AG89" s="4">
        <v>3</v>
      </c>
      <c r="AH89" s="4">
        <f ca="1">IFERROR(__xludf.dummyfunction("if(isna(filter(prs!C:U,prs!I:I=G89,prs!G:G&gt;DATE(2024,3,28),prs!G:G&lt;DATE(2024,4,26))),0,countunique(index(filter(prs!C:U,prs!I:I=G89,prs!G:G&gt;DATE(2024,3,28),prs!G:G&lt;DATE(2024,4,26)),,1)))"),4)</f>
        <v>4</v>
      </c>
      <c r="AI89" s="4">
        <f ca="1">IFERROR(__xludf.dummyfunction("if(isna(filter(prs!C:U,prs!I:I=G89,prs!R:R&lt;&gt;""Empty field"",prs!G:G&gt;DATE(2024,3,28),prs!G:G&lt;DATE(2024,4,26))),0,countunique(index(filter(prs!C:U,prs!I:I=G89,prs!R:R&lt;&gt;""Empty field"",prs!G:G&gt;DATE(2024,3,28),prs!G:G&lt;DATE(2024,4,26)),,1)))"),4)</f>
        <v>4</v>
      </c>
      <c r="AJ89" s="4">
        <f t="shared" ca="1" si="17"/>
        <v>3</v>
      </c>
      <c r="AK89" s="4">
        <f t="shared" ca="1" si="18"/>
        <v>6</v>
      </c>
      <c r="AL89" s="4">
        <f ca="1">IFERROR(__xludf.dummyfunction("filter('Проекты'!AT:AT,'Проекты'!A:A=J89)"),3.7)</f>
        <v>3.7</v>
      </c>
      <c r="AM89" s="4">
        <f ca="1">IFERROR(__xludf.dummyfunction("ifna(filter(commits_results!H:I,commits_results!B:B=A89,commits_results!A:A=J89),)"),17)</f>
        <v>17</v>
      </c>
      <c r="AN89" s="4">
        <f ca="1">IFERROR(__xludf.dummyfunction("""COMPUTED_VALUE"""),17)</f>
        <v>17</v>
      </c>
      <c r="AO89" s="4">
        <f t="shared" ca="1" si="19"/>
        <v>3</v>
      </c>
      <c r="AP89" s="4">
        <f ca="1">IFERROR(__xludf.dummyfunction("if(isna(filter(prs!C:U,prs!I:I=G89,prs!G:G&gt;DATE(2024,4,25),prs!G:G&lt;DATE(2024,5,23))),0,countunique(index(filter(prs!C:U,prs!I:I=G89,prs!G:G&gt;DATE(2024,4,25),prs!G:G&lt;DATE(2024,5,23)),,1)))"),4)</f>
        <v>4</v>
      </c>
      <c r="AQ89" s="4">
        <f ca="1">IFERROR(__xludf.dummyfunction("if(isna(filter(prs!C:U,prs!I:I=G89,prs!R:R&lt;&gt;""Empty field"",prs!G:G&gt;DATE(2024,4,25),prs!G:G&lt;DATE(2024,5,23))),0,countunique(index(filter(prs!C:U,prs!I:I=G89,prs!R:R&lt;&gt;""Empty field"",prs!G:G&gt;DATE(2024,4,25),prs!G:G&lt;DATE(2024,5,23)),,1)))"),4)</f>
        <v>4</v>
      </c>
      <c r="AR89" s="4">
        <f t="shared" ca="1" si="20"/>
        <v>3</v>
      </c>
      <c r="AS89" s="4">
        <f t="shared" ca="1" si="21"/>
        <v>6</v>
      </c>
      <c r="AT89" s="4">
        <f ca="1">IFERROR(__xludf.dummyfunction("filter('Проекты'!BB:BB,'Проекты'!A:A=J89)"),3)</f>
        <v>3</v>
      </c>
      <c r="AU89" s="4">
        <f ca="1">IFERROR(__xludf.dummyfunction("filter('Проекты'!BE:BE,'Проекты'!A:A=J89)"),10)</f>
        <v>10</v>
      </c>
      <c r="AV89" s="11">
        <f t="shared" ca="1" si="22"/>
        <v>78</v>
      </c>
      <c r="AW89" s="4" t="str">
        <f t="shared" ca="1" si="23"/>
        <v>Хорошо</v>
      </c>
    </row>
    <row r="90" spans="1:49" ht="15.75" customHeight="1">
      <c r="A90" s="6" t="s">
        <v>494</v>
      </c>
      <c r="B90" s="6" t="s">
        <v>494</v>
      </c>
      <c r="C90" s="6"/>
      <c r="D90" s="6">
        <v>1384</v>
      </c>
      <c r="E90" s="6" t="s">
        <v>495</v>
      </c>
      <c r="F90" s="6" t="s">
        <v>495</v>
      </c>
      <c r="G90" s="6" t="s">
        <v>496</v>
      </c>
      <c r="H90" s="6" t="s">
        <v>497</v>
      </c>
      <c r="I90" s="4" t="s">
        <v>1105</v>
      </c>
      <c r="J90" s="7">
        <f ca="1">IFERROR(__xludf.dummyfunction("index(split(I90,char(9)),1,1)"),6)</f>
        <v>6</v>
      </c>
      <c r="K90" s="7">
        <f ca="1">IFERROR(__xludf.dummyfunction("ifna(index(filter('Посещаемость_баллы'!$A:$L,'Посещаемость_баллы'!$B:$B=$B90,'Посещаемость_баллы'!$C:$C=$C90,'Посещаемость_баллы'!$D:$D=$D90),1,12)*10,0)"),8)</f>
        <v>8</v>
      </c>
      <c r="L90" s="7">
        <f>ROUNDDOWN(IFERROR(VALUE(VLOOKUP(H90,'Онлайн-курс1'!B:F,5,FALSE())),IFERROR(VALUE(VLOOKUP(H90,'Онлайн-курс1'!C:F,4,FALSE())),0))/40*20,0)
+ IFERROR(VALUE(SUBSTITUTE(VLOOKUP(H90,'Онлайн-курс2'!B:I,7,FALSE()),".",",")),IFERROR(VALUE(SUBSTITUTE(VLOOKUP(H90,'Онлайн-курс2'!C:I,6,FALSE()),".",",")),0))*2</f>
        <v>20</v>
      </c>
      <c r="M90" s="8" t="s">
        <v>496</v>
      </c>
      <c r="N90" s="9">
        <v>1</v>
      </c>
      <c r="O90" s="4" t="s">
        <v>498</v>
      </c>
      <c r="P90" s="4">
        <v>0</v>
      </c>
      <c r="Q90" s="10" t="str">
        <f ca="1">IFERROR(__xludf.dummyfunction("iferror(index(QUERY(commits!A$2:$K1001, ""select Count(C) where lower(D) = lower('""&amp;G90&amp;""')""),2,1),""-"")"),"-")</f>
        <v>-</v>
      </c>
      <c r="R90" s="4" t="s">
        <v>124</v>
      </c>
      <c r="S90" s="4">
        <v>1</v>
      </c>
      <c r="T90" s="4">
        <f ca="1">VLOOKUP(A90,Расчёт_оценок!A:C,3,FALSE())</f>
        <v>6</v>
      </c>
      <c r="U90" s="4">
        <f ca="1">IFERROR(VLOOKUP(J90,Проекты!A:P,16,FALSE()),0)</f>
        <v>4</v>
      </c>
      <c r="V90" s="4" t="s">
        <v>103</v>
      </c>
      <c r="W90" s="4">
        <v>12</v>
      </c>
      <c r="X90" s="4">
        <v>13</v>
      </c>
      <c r="Y90" s="4">
        <v>3</v>
      </c>
      <c r="Z90" s="4">
        <v>2</v>
      </c>
      <c r="AA90" s="4">
        <v>2</v>
      </c>
      <c r="AB90" s="4">
        <v>2</v>
      </c>
      <c r="AC90" s="4">
        <f t="shared" si="16"/>
        <v>6</v>
      </c>
      <c r="AD90" s="4">
        <v>3.2</v>
      </c>
      <c r="AE90" s="4">
        <v>3</v>
      </c>
      <c r="AF90" s="4">
        <v>3</v>
      </c>
      <c r="AG90" s="4">
        <v>1.5</v>
      </c>
      <c r="AH90" s="4">
        <f ca="1">IFERROR(__xludf.dummyfunction("if(isna(filter(prs!C:U,prs!I:I=G90,prs!G:G&gt;DATE(2024,3,28),prs!G:G&lt;DATE(2024,4,26))),0,countunique(index(filter(prs!C:U,prs!I:I=G90,prs!G:G&gt;DATE(2024,3,28),prs!G:G&lt;DATE(2024,4,26)),,1)))"),2)</f>
        <v>2</v>
      </c>
      <c r="AI90" s="4">
        <f ca="1">IFERROR(__xludf.dummyfunction("if(isna(filter(prs!C:U,prs!I:I=G90,prs!R:R&lt;&gt;""Empty field"",prs!G:G&gt;DATE(2024,3,28),prs!G:G&lt;DATE(2024,4,26))),0,countunique(index(filter(prs!C:U,prs!I:I=G90,prs!R:R&lt;&gt;""Empty field"",prs!G:G&gt;DATE(2024,3,28),prs!G:G&lt;DATE(2024,4,26)),,1)))"),2)</f>
        <v>2</v>
      </c>
      <c r="AJ90" s="4">
        <f t="shared" ca="1" si="17"/>
        <v>3</v>
      </c>
      <c r="AK90" s="4">
        <f t="shared" ca="1" si="18"/>
        <v>4.5</v>
      </c>
      <c r="AL90" s="4">
        <f ca="1">IFERROR(__xludf.dummyfunction("filter('Проекты'!AT:AT,'Проекты'!A:A=J90)"),3.7)</f>
        <v>3.7</v>
      </c>
      <c r="AM90" s="4">
        <f ca="1">IFERROR(__xludf.dummyfunction("ifna(filter(commits_results!H:I,commits_results!B:B=A90,commits_results!A:A=J90),)"),0)</f>
        <v>0</v>
      </c>
      <c r="AN90" s="4">
        <f ca="1">IFERROR(__xludf.dummyfunction("""COMPUTED_VALUE"""),0)</f>
        <v>0</v>
      </c>
      <c r="AO90" s="4">
        <f t="shared" ca="1" si="19"/>
        <v>0</v>
      </c>
      <c r="AP90" s="4">
        <f ca="1">IFERROR(__xludf.dummyfunction("if(isna(filter(prs!C:U,prs!I:I=G90,prs!G:G&gt;DATE(2024,4,25),prs!G:G&lt;DATE(2024,5,23))),0,countunique(index(filter(prs!C:U,prs!I:I=G90,prs!G:G&gt;DATE(2024,4,25),prs!G:G&lt;DATE(2024,5,23)),,1)))"),0)</f>
        <v>0</v>
      </c>
      <c r="AQ90" s="4">
        <f ca="1">IFERROR(__xludf.dummyfunction("if(isna(filter(prs!C:U,prs!I:I=G90,prs!R:R&lt;&gt;""Empty field"",prs!G:G&gt;DATE(2024,4,25),prs!G:G&lt;DATE(2024,5,23))),0,countunique(index(filter(prs!C:U,prs!I:I=G90,prs!R:R&lt;&gt;""Empty field"",prs!G:G&gt;DATE(2024,4,25),prs!G:G&lt;DATE(2024,5,23)),,1)))"),0)</f>
        <v>0</v>
      </c>
      <c r="AR90" s="4">
        <f t="shared" ca="1" si="20"/>
        <v>0</v>
      </c>
      <c r="AS90" s="4">
        <f t="shared" ca="1" si="21"/>
        <v>0</v>
      </c>
      <c r="AT90" s="4">
        <f ca="1">IFERROR(__xludf.dummyfunction("filter('Проекты'!BB:BB,'Проекты'!A:A=J90)"),3)</f>
        <v>3</v>
      </c>
      <c r="AU90" s="4">
        <f ca="1">IFERROR(__xludf.dummyfunction("filter('Проекты'!BE:BE,'Проекты'!A:A=J90)"),10)</f>
        <v>10</v>
      </c>
      <c r="AV90" s="11">
        <f t="shared" ca="1" si="22"/>
        <v>69</v>
      </c>
      <c r="AW90" s="4" t="str">
        <f t="shared" ca="1" si="23"/>
        <v>Удовлетворительно</v>
      </c>
    </row>
    <row r="91" spans="1:49" ht="15.75" customHeight="1">
      <c r="A91" s="6" t="s">
        <v>499</v>
      </c>
      <c r="B91" s="6" t="s">
        <v>499</v>
      </c>
      <c r="C91" s="6"/>
      <c r="D91" s="6">
        <v>1384</v>
      </c>
      <c r="E91" s="6" t="s">
        <v>500</v>
      </c>
      <c r="F91" s="6" t="s">
        <v>500</v>
      </c>
      <c r="G91" s="6" t="s">
        <v>501</v>
      </c>
      <c r="H91" s="6" t="s">
        <v>502</v>
      </c>
      <c r="I91" s="4" t="s">
        <v>1106</v>
      </c>
      <c r="J91" s="7">
        <f ca="1">IFERROR(__xludf.dummyfunction("index(split(I91,char(9)),1,1)"),19)</f>
        <v>19</v>
      </c>
      <c r="K91" s="7">
        <f ca="1">IFERROR(__xludf.dummyfunction("ifna(index(filter('Посещаемость_баллы'!$A:$L,'Посещаемость_баллы'!$B:$B=$B91,'Посещаемость_баллы'!$C:$C=$C91,'Посещаемость_баллы'!$D:$D=$D91),1,12)*10,0)"),10)</f>
        <v>10</v>
      </c>
      <c r="L91" s="7">
        <f>ROUNDDOWN(IFERROR(VALUE(VLOOKUP(H91,'Онлайн-курс1'!B:F,5,FALSE())),IFERROR(VALUE(VLOOKUP(H91,'Онлайн-курс1'!C:F,4,FALSE())),0))/40*20,0)
+ IFERROR(VALUE(SUBSTITUTE(VLOOKUP(H91,'Онлайн-курс2'!B:I,7,FALSE()),".",",")),IFERROR(VALUE(SUBSTITUTE(VLOOKUP(H91,'Онлайн-курс2'!C:I,6,FALSE()),".",",")),0))*2</f>
        <v>20</v>
      </c>
      <c r="M91" s="8" t="s">
        <v>501</v>
      </c>
      <c r="N91" s="9">
        <v>1</v>
      </c>
      <c r="O91" s="4" t="s">
        <v>503</v>
      </c>
      <c r="P91" s="4">
        <v>0</v>
      </c>
      <c r="Q91" s="10" t="str">
        <f ca="1">IFERROR(__xludf.dummyfunction("iferror(index(QUERY(commits!A$2:$K1001, ""select Count(C) where lower(D) = lower('""&amp;G91&amp;""')""),2,1),""-"")"),"-")</f>
        <v>-</v>
      </c>
      <c r="R91" s="4" t="s">
        <v>504</v>
      </c>
      <c r="S91" s="4">
        <v>4</v>
      </c>
      <c r="T91" s="4">
        <f ca="1">VLOOKUP(A91,Расчёт_оценок!A:C,3,FALSE())</f>
        <v>6</v>
      </c>
      <c r="U91" s="4">
        <f ca="1">IFERROR(VLOOKUP(J91,Проекты!A:P,16,FALSE()),0)</f>
        <v>4</v>
      </c>
      <c r="V91" s="4" t="s">
        <v>54</v>
      </c>
      <c r="W91" s="4">
        <v>6</v>
      </c>
      <c r="X91" s="4">
        <v>6</v>
      </c>
      <c r="Y91" s="4">
        <v>3</v>
      </c>
      <c r="Z91" s="4">
        <v>2</v>
      </c>
      <c r="AA91" s="4">
        <v>2</v>
      </c>
      <c r="AB91" s="4">
        <v>2</v>
      </c>
      <c r="AC91" s="4">
        <f t="shared" si="16"/>
        <v>5</v>
      </c>
      <c r="AD91" s="4">
        <v>4</v>
      </c>
      <c r="AE91" s="4">
        <v>16</v>
      </c>
      <c r="AF91" s="4">
        <v>16</v>
      </c>
      <c r="AG91" s="4">
        <v>3</v>
      </c>
      <c r="AH91" s="4">
        <f ca="1">IFERROR(__xludf.dummyfunction("if(isna(filter(prs!C:U,prs!I:I=G91,prs!G:G&gt;DATE(2024,3,28),prs!G:G&lt;DATE(2024,4,26))),0,countunique(index(filter(prs!C:U,prs!I:I=G91,prs!G:G&gt;DATE(2024,3,28),prs!G:G&lt;DATE(2024,4,26)),,1)))"),6)</f>
        <v>6</v>
      </c>
      <c r="AI91" s="4">
        <f ca="1">IFERROR(__xludf.dummyfunction("if(isna(filter(prs!C:U,prs!I:I=G91,prs!R:R&lt;&gt;""Empty field"",prs!G:G&gt;DATE(2024,3,28),prs!G:G&lt;DATE(2024,4,26))),0,countunique(index(filter(prs!C:U,prs!I:I=G91,prs!R:R&lt;&gt;""Empty field"",prs!G:G&gt;DATE(2024,3,28),prs!G:G&lt;DATE(2024,4,26)),,1)))"),6)</f>
        <v>6</v>
      </c>
      <c r="AJ91" s="4">
        <f t="shared" ca="1" si="17"/>
        <v>3</v>
      </c>
      <c r="AK91" s="4">
        <f t="shared" ca="1" si="18"/>
        <v>6</v>
      </c>
      <c r="AL91" s="4">
        <f ca="1">IFERROR(__xludf.dummyfunction("filter('Проекты'!AT:AT,'Проекты'!A:A=J91)"),4)</f>
        <v>4</v>
      </c>
      <c r="AM91" s="4">
        <f ca="1">IFERROR(__xludf.dummyfunction("ifna(filter(commits_results!H:I,commits_results!B:B=A91,commits_results!A:A=J91),)"),5)</f>
        <v>5</v>
      </c>
      <c r="AN91" s="4">
        <f ca="1">IFERROR(__xludf.dummyfunction("""COMPUTED_VALUE"""),5)</f>
        <v>5</v>
      </c>
      <c r="AO91" s="4">
        <f t="shared" ca="1" si="19"/>
        <v>3</v>
      </c>
      <c r="AP91" s="4">
        <f ca="1">IFERROR(__xludf.dummyfunction("if(isna(filter(prs!C:U,prs!I:I=G91,prs!G:G&gt;DATE(2024,4,25),prs!G:G&lt;DATE(2024,5,23))),0,countunique(index(filter(prs!C:U,prs!I:I=G91,prs!G:G&gt;DATE(2024,4,25),prs!G:G&lt;DATE(2024,5,23)),,1)))"),0)</f>
        <v>0</v>
      </c>
      <c r="AQ91" s="4">
        <f ca="1">IFERROR(__xludf.dummyfunction("if(isna(filter(prs!C:U,prs!I:I=G91,prs!R:R&lt;&gt;""Empty field"",prs!G:G&gt;DATE(2024,4,25),prs!G:G&lt;DATE(2024,5,23))),0,countunique(index(filter(prs!C:U,prs!I:I=G91,prs!R:R&lt;&gt;""Empty field"",prs!G:G&gt;DATE(2024,4,25),prs!G:G&lt;DATE(2024,5,23)),,1)))"),0)</f>
        <v>0</v>
      </c>
      <c r="AR91" s="4">
        <f t="shared" ca="1" si="20"/>
        <v>0</v>
      </c>
      <c r="AS91" s="4">
        <f t="shared" ca="1" si="21"/>
        <v>3</v>
      </c>
      <c r="AT91" s="4">
        <f ca="1">IFERROR(__xludf.dummyfunction("filter('Проекты'!BB:BB,'Проекты'!A:A=J91)"),4)</f>
        <v>4</v>
      </c>
      <c r="AU91" s="4">
        <f ca="1">IFERROR(__xludf.dummyfunction("filter('Проекты'!BE:BE,'Проекты'!A:A=J91)"),0)</f>
        <v>0</v>
      </c>
      <c r="AV91" s="11">
        <f t="shared" ca="1" si="22"/>
        <v>66</v>
      </c>
      <c r="AW91" s="4" t="str">
        <f t="shared" ca="1" si="23"/>
        <v>Удовлетворительно</v>
      </c>
    </row>
    <row r="92" spans="1:49" ht="15.75" customHeight="1">
      <c r="A92" s="6" t="s">
        <v>505</v>
      </c>
      <c r="B92" s="6" t="s">
        <v>505</v>
      </c>
      <c r="C92" s="6"/>
      <c r="D92" s="6">
        <v>1384</v>
      </c>
      <c r="E92" s="6" t="s">
        <v>506</v>
      </c>
      <c r="F92" s="6" t="s">
        <v>506</v>
      </c>
      <c r="G92" s="6" t="s">
        <v>507</v>
      </c>
      <c r="H92" s="6" t="s">
        <v>508</v>
      </c>
      <c r="I92" s="4" t="s">
        <v>1107</v>
      </c>
      <c r="J92" s="7">
        <f ca="1">IFERROR(__xludf.dummyfunction("index(split(I92,char(9)),1,1)"),6)</f>
        <v>6</v>
      </c>
      <c r="K92" s="7">
        <f ca="1">IFERROR(__xludf.dummyfunction("ifna(index(filter('Посещаемость_баллы'!$A:$L,'Посещаемость_баллы'!$B:$B=$B92,'Посещаемость_баллы'!$C:$C=$C92,'Посещаемость_баллы'!$D:$D=$D92),1,12)*10,0)"),6)</f>
        <v>6</v>
      </c>
      <c r="L92" s="7">
        <f>ROUNDDOWN(IFERROR(VALUE(VLOOKUP(H92,'Онлайн-курс1'!B:F,5,FALSE())),IFERROR(VALUE(VLOOKUP(H92,'Онлайн-курс1'!C:F,4,FALSE())),0))/40*20,0)
+ IFERROR(VALUE(SUBSTITUTE(VLOOKUP(H92,'Онлайн-курс2'!B:I,7,FALSE()),".",",")),IFERROR(VALUE(SUBSTITUTE(VLOOKUP(H92,'Онлайн-курс2'!C:I,6,FALSE()),".",",")),0))*2</f>
        <v>20</v>
      </c>
      <c r="M92" s="8" t="s">
        <v>507</v>
      </c>
      <c r="N92" s="9">
        <v>1</v>
      </c>
      <c r="O92" s="4" t="s">
        <v>509</v>
      </c>
      <c r="P92" s="4">
        <v>0</v>
      </c>
      <c r="Q92" s="10" t="str">
        <f ca="1">IFERROR(__xludf.dummyfunction("iferror(index(QUERY(commits!A$2:$K1001, ""select Count(C) where lower(D) = lower('""&amp;G92&amp;""')""),2,1),""-"")"),"-")</f>
        <v>-</v>
      </c>
      <c r="R92" s="4" t="s">
        <v>40</v>
      </c>
      <c r="S92" s="4">
        <v>1</v>
      </c>
      <c r="T92" s="4">
        <f ca="1">VLOOKUP(A92,Расчёт_оценок!A:C,3,FALSE())</f>
        <v>6</v>
      </c>
      <c r="U92" s="4">
        <f ca="1">IFERROR(VLOOKUP(J92,Проекты!A:P,16,FALSE()),0)</f>
        <v>4</v>
      </c>
      <c r="V92" s="4" t="s">
        <v>40</v>
      </c>
      <c r="W92" s="4">
        <v>12</v>
      </c>
      <c r="X92" s="4">
        <v>12</v>
      </c>
      <c r="Y92" s="4">
        <v>3</v>
      </c>
      <c r="Z92" s="4">
        <v>2</v>
      </c>
      <c r="AA92" s="4">
        <v>2</v>
      </c>
      <c r="AB92" s="4">
        <v>2</v>
      </c>
      <c r="AC92" s="4">
        <f t="shared" si="16"/>
        <v>6</v>
      </c>
      <c r="AD92" s="4">
        <v>3.2</v>
      </c>
      <c r="AE92" s="4">
        <v>0</v>
      </c>
      <c r="AF92" s="4">
        <v>0</v>
      </c>
      <c r="AG92" s="4">
        <v>0</v>
      </c>
      <c r="AH92" s="4">
        <f ca="1">IFERROR(__xludf.dummyfunction("if(isna(filter(prs!C:U,prs!I:I=G92,prs!G:G&gt;DATE(2024,3,28),prs!G:G&lt;DATE(2024,4,26))),0,countunique(index(filter(prs!C:U,prs!I:I=G92,prs!G:G&gt;DATE(2024,3,28),prs!G:G&lt;DATE(2024,4,26)),,1)))"),2)</f>
        <v>2</v>
      </c>
      <c r="AI92" s="4">
        <f ca="1">IFERROR(__xludf.dummyfunction("if(isna(filter(prs!C:U,prs!I:I=G92,prs!R:R&lt;&gt;""Empty field"",prs!G:G&gt;DATE(2024,3,28),prs!G:G&lt;DATE(2024,4,26))),0,countunique(index(filter(prs!C:U,prs!I:I=G92,prs!R:R&lt;&gt;""Empty field"",prs!G:G&gt;DATE(2024,3,28),prs!G:G&lt;DATE(2024,4,26)),,1)))"),2)</f>
        <v>2</v>
      </c>
      <c r="AJ92" s="4">
        <f t="shared" ca="1" si="17"/>
        <v>3</v>
      </c>
      <c r="AK92" s="4">
        <f t="shared" ca="1" si="18"/>
        <v>3</v>
      </c>
      <c r="AL92" s="4">
        <f ca="1">IFERROR(__xludf.dummyfunction("filter('Проекты'!AT:AT,'Проекты'!A:A=J92)"),3.7)</f>
        <v>3.7</v>
      </c>
      <c r="AM92" s="4">
        <f ca="1">IFERROR(__xludf.dummyfunction("ifna(filter(commits_results!H:I,commits_results!B:B=A92,commits_results!A:A=J92),)"),0)</f>
        <v>0</v>
      </c>
      <c r="AN92" s="4">
        <f ca="1">IFERROR(__xludf.dummyfunction("""COMPUTED_VALUE"""),0)</f>
        <v>0</v>
      </c>
      <c r="AO92" s="4">
        <f t="shared" ca="1" si="19"/>
        <v>0</v>
      </c>
      <c r="AP92" s="4">
        <f ca="1">IFERROR(__xludf.dummyfunction("if(isna(filter(prs!C:U,prs!I:I=G92,prs!G:G&gt;DATE(2024,4,25),prs!G:G&lt;DATE(2024,5,23))),0,countunique(index(filter(prs!C:U,prs!I:I=G92,prs!G:G&gt;DATE(2024,4,25),prs!G:G&lt;DATE(2024,5,23)),,1)))"),2)</f>
        <v>2</v>
      </c>
      <c r="AQ92" s="4">
        <f ca="1">IFERROR(__xludf.dummyfunction("if(isna(filter(prs!C:U,prs!I:I=G92,prs!R:R&lt;&gt;""Empty field"",prs!G:G&gt;DATE(2024,4,25),prs!G:G&lt;DATE(2024,5,23))),0,countunique(index(filter(prs!C:U,prs!I:I=G92,prs!R:R&lt;&gt;""Empty field"",prs!G:G&gt;DATE(2024,4,25),prs!G:G&lt;DATE(2024,5,23)),,1)))"),2)</f>
        <v>2</v>
      </c>
      <c r="AR92" s="4">
        <f t="shared" ca="1" si="20"/>
        <v>3</v>
      </c>
      <c r="AS92" s="4">
        <f t="shared" ca="1" si="21"/>
        <v>3</v>
      </c>
      <c r="AT92" s="4">
        <f ca="1">IFERROR(__xludf.dummyfunction("filter('Проекты'!BB:BB,'Проекты'!A:A=J92)"),3)</f>
        <v>3</v>
      </c>
      <c r="AU92" s="4">
        <f ca="1">IFERROR(__xludf.dummyfunction("filter('Проекты'!BE:BE,'Проекты'!A:A=J92)"),10)</f>
        <v>10</v>
      </c>
      <c r="AV92" s="11">
        <f t="shared" ca="1" si="22"/>
        <v>68</v>
      </c>
      <c r="AW92" s="4" t="str">
        <f t="shared" ca="1" si="23"/>
        <v>Удовлетворительно</v>
      </c>
    </row>
    <row r="93" spans="1:49" ht="15.75" customHeight="1">
      <c r="A93" s="6" t="s">
        <v>510</v>
      </c>
      <c r="B93" s="6" t="s">
        <v>510</v>
      </c>
      <c r="C93" s="6"/>
      <c r="D93" s="6">
        <v>1384</v>
      </c>
      <c r="E93" s="6" t="s">
        <v>511</v>
      </c>
      <c r="F93" s="6" t="s">
        <v>511</v>
      </c>
      <c r="G93" s="6" t="s">
        <v>512</v>
      </c>
      <c r="H93" s="6" t="s">
        <v>513</v>
      </c>
      <c r="I93" s="4" t="s">
        <v>1108</v>
      </c>
      <c r="J93" s="7">
        <f ca="1">IFERROR(__xludf.dummyfunction("index(split(I93,char(9)),1,1)"),18)</f>
        <v>18</v>
      </c>
      <c r="K93" s="7">
        <f ca="1">IFERROR(__xludf.dummyfunction("ifna(index(filter('Посещаемость_баллы'!$A:$L,'Посещаемость_баллы'!$B:$B=$B93,'Посещаемость_баллы'!$C:$C=$C93,'Посещаемость_баллы'!$D:$D=$D93),1,12)*10,0)"),8)</f>
        <v>8</v>
      </c>
      <c r="L93" s="7">
        <f>ROUNDDOWN(IFERROR(VALUE(VLOOKUP(H93,'Онлайн-курс1'!B:F,5,FALSE())),IFERROR(VALUE(VLOOKUP(H93,'Онлайн-курс1'!C:F,4,FALSE())),0))/40*20,0)
+ IFERROR(VALUE(SUBSTITUTE(VLOOKUP(H93,'Онлайн-курс2'!B:I,7,FALSE()),".",",")),IFERROR(VALUE(SUBSTITUTE(VLOOKUP(H93,'Онлайн-курс2'!C:I,6,FALSE()),".",",")),0))*2</f>
        <v>20</v>
      </c>
      <c r="M93" s="8" t="s">
        <v>512</v>
      </c>
      <c r="N93" s="9">
        <v>1</v>
      </c>
      <c r="O93" s="4" t="s">
        <v>514</v>
      </c>
      <c r="P93" s="4">
        <v>0</v>
      </c>
      <c r="Q93" s="10" t="str">
        <f ca="1">IFERROR(__xludf.dummyfunction("iferror(index(QUERY(commits!A$2:$K1001, ""select Count(C) where lower(D) = lower('""&amp;G93&amp;""')""),2,1),""-"")"),"-")</f>
        <v>-</v>
      </c>
      <c r="R93" s="4" t="s">
        <v>46</v>
      </c>
      <c r="S93" s="4" t="s">
        <v>47</v>
      </c>
      <c r="T93" s="4">
        <f ca="1">VLOOKUP(A93,Расчёт_оценок!A:C,3,FALSE())</f>
        <v>6</v>
      </c>
      <c r="U93" s="4">
        <f ca="1">IFERROR(VLOOKUP(J93,Проекты!A:P,16,FALSE()),0)</f>
        <v>4</v>
      </c>
      <c r="V93" s="4" t="s">
        <v>232</v>
      </c>
      <c r="W93" s="4">
        <v>19</v>
      </c>
      <c r="X93" s="4">
        <v>19</v>
      </c>
      <c r="Y93" s="4">
        <v>3</v>
      </c>
      <c r="Z93" s="4">
        <v>2</v>
      </c>
      <c r="AA93" s="4">
        <v>2</v>
      </c>
      <c r="AB93" s="4">
        <v>2</v>
      </c>
      <c r="AC93" s="4">
        <f t="shared" si="16"/>
        <v>6</v>
      </c>
      <c r="AD93" s="4">
        <v>3.8</v>
      </c>
      <c r="AE93" s="4">
        <v>10</v>
      </c>
      <c r="AF93" s="4">
        <v>10</v>
      </c>
      <c r="AG93" s="4">
        <v>3</v>
      </c>
      <c r="AH93" s="4">
        <f ca="1">IFERROR(__xludf.dummyfunction("if(isna(filter(prs!C:U,prs!I:I=G93,prs!G:G&gt;DATE(2024,3,28),prs!G:G&lt;DATE(2024,4,26))),0,countunique(index(filter(prs!C:U,prs!I:I=G93,prs!G:G&gt;DATE(2024,3,28),prs!G:G&lt;DATE(2024,4,26)),,1)))"),4)</f>
        <v>4</v>
      </c>
      <c r="AI93" s="4">
        <f ca="1">IFERROR(__xludf.dummyfunction("if(isna(filter(prs!C:U,prs!I:I=G93,prs!R:R&lt;&gt;""Empty field"",prs!G:G&gt;DATE(2024,3,28),prs!G:G&lt;DATE(2024,4,26))),0,countunique(index(filter(prs!C:U,prs!I:I=G93,prs!R:R&lt;&gt;""Empty field"",prs!G:G&gt;DATE(2024,3,28),prs!G:G&lt;DATE(2024,4,26)),,1)))"),4)</f>
        <v>4</v>
      </c>
      <c r="AJ93" s="4">
        <f t="shared" ca="1" si="17"/>
        <v>3</v>
      </c>
      <c r="AK93" s="4">
        <f t="shared" ca="1" si="18"/>
        <v>6</v>
      </c>
      <c r="AL93" s="4">
        <f ca="1">IFERROR(__xludf.dummyfunction("filter('Проекты'!AT:AT,'Проекты'!A:A=J93)"),3.5)</f>
        <v>3.5</v>
      </c>
      <c r="AM93" s="4">
        <f ca="1">IFERROR(__xludf.dummyfunction("ifna(filter(commits_results!H:I,commits_results!B:B=A93,commits_results!A:A=J93),)"),5)</f>
        <v>5</v>
      </c>
      <c r="AN93" s="4">
        <f ca="1">IFERROR(__xludf.dummyfunction("""COMPUTED_VALUE"""),5)</f>
        <v>5</v>
      </c>
      <c r="AO93" s="4">
        <f t="shared" ca="1" si="19"/>
        <v>3</v>
      </c>
      <c r="AP93" s="4">
        <f ca="1">IFERROR(__xludf.dummyfunction("if(isna(filter(prs!C:U,prs!I:I=G93,prs!G:G&gt;DATE(2024,4,25),prs!G:G&lt;DATE(2024,5,23))),0,countunique(index(filter(prs!C:U,prs!I:I=G93,prs!G:G&gt;DATE(2024,4,25),prs!G:G&lt;DATE(2024,5,23)),,1)))"),4)</f>
        <v>4</v>
      </c>
      <c r="AQ93" s="4">
        <f ca="1">IFERROR(__xludf.dummyfunction("if(isna(filter(prs!C:U,prs!I:I=G93,prs!R:R&lt;&gt;""Empty field"",prs!G:G&gt;DATE(2024,4,25),prs!G:G&lt;DATE(2024,5,23))),0,countunique(index(filter(prs!C:U,prs!I:I=G93,prs!R:R&lt;&gt;""Empty field"",prs!G:G&gt;DATE(2024,4,25),prs!G:G&lt;DATE(2024,5,23)),,1)))"),4)</f>
        <v>4</v>
      </c>
      <c r="AR93" s="4">
        <f t="shared" ca="1" si="20"/>
        <v>3</v>
      </c>
      <c r="AS93" s="4">
        <f t="shared" ca="1" si="21"/>
        <v>6</v>
      </c>
      <c r="AT93" s="4">
        <f ca="1">IFERROR(__xludf.dummyfunction("filter('Проекты'!BB:BB,'Проекты'!A:A=J93)"),4)</f>
        <v>4</v>
      </c>
      <c r="AU93" s="4">
        <f ca="1">IFERROR(__xludf.dummyfunction("filter('Проекты'!BE:BE,'Проекты'!A:A=J93)"),0)</f>
        <v>0</v>
      </c>
      <c r="AV93" s="11">
        <f t="shared" ca="1" si="22"/>
        <v>68</v>
      </c>
      <c r="AW93" s="4" t="str">
        <f t="shared" ca="1" si="23"/>
        <v>Удовлетворительно</v>
      </c>
    </row>
    <row r="94" spans="1:49" ht="15.75" customHeight="1">
      <c r="A94" s="6" t="s">
        <v>515</v>
      </c>
      <c r="B94" s="6" t="s">
        <v>515</v>
      </c>
      <c r="C94" s="6"/>
      <c r="D94" s="6">
        <v>1384</v>
      </c>
      <c r="E94" s="6" t="s">
        <v>516</v>
      </c>
      <c r="F94" s="6" t="s">
        <v>516</v>
      </c>
      <c r="G94" s="6" t="s">
        <v>517</v>
      </c>
      <c r="H94" s="6" t="s">
        <v>518</v>
      </c>
      <c r="I94" s="4" t="s">
        <v>1109</v>
      </c>
      <c r="J94" s="7">
        <f ca="1">IFERROR(__xludf.dummyfunction("index(split(I94,char(9)),1,1)"),19)</f>
        <v>19</v>
      </c>
      <c r="K94" s="7">
        <f ca="1">IFERROR(__xludf.dummyfunction("ifna(index(filter('Посещаемость_баллы'!$A:$L,'Посещаемость_баллы'!$B:$B=$B94,'Посещаемость_баллы'!$C:$C=$C94,'Посещаемость_баллы'!$D:$D=$D94),1,12)*10,0)"),0)</f>
        <v>0</v>
      </c>
      <c r="L94" s="7">
        <f>ROUNDDOWN(IFERROR(VALUE(VLOOKUP(H94,'Онлайн-курс1'!B:F,5,FALSE())),IFERROR(VALUE(VLOOKUP(H94,'Онлайн-курс1'!C:F,4,FALSE())),0))/40*20,0)
+ IFERROR(VALUE(SUBSTITUTE(VLOOKUP(H94,'Онлайн-курс2'!B:I,7,FALSE()),".",",")),IFERROR(VALUE(SUBSTITUTE(VLOOKUP(H94,'Онлайн-курс2'!C:I,6,FALSE()),".",",")),0))*2</f>
        <v>20</v>
      </c>
      <c r="M94" s="8" t="s">
        <v>517</v>
      </c>
      <c r="N94" s="9">
        <v>0</v>
      </c>
      <c r="O94" s="4" t="s">
        <v>519</v>
      </c>
      <c r="P94" s="4">
        <v>0</v>
      </c>
      <c r="Q94" s="10" t="str">
        <f ca="1">IFERROR(__xludf.dummyfunction("iferror(index(QUERY(commits!A$2:$K1001, ""select Count(C) where lower(D) = lower('""&amp;G94&amp;""')""),2,1),""-"")"),"-")</f>
        <v>-</v>
      </c>
      <c r="R94" s="4" t="s">
        <v>103</v>
      </c>
      <c r="S94" s="4">
        <v>4</v>
      </c>
      <c r="T94" s="4">
        <f ca="1">VLOOKUP(A94,Расчёт_оценок!A:C,3,FALSE())</f>
        <v>6</v>
      </c>
      <c r="U94" s="4">
        <f ca="1">IFERROR(VLOOKUP(J94,Проекты!A:P,16,FALSE()),0)</f>
        <v>4</v>
      </c>
      <c r="V94" s="4" t="s">
        <v>504</v>
      </c>
      <c r="W94" s="4">
        <v>6</v>
      </c>
      <c r="X94" s="4">
        <v>6</v>
      </c>
      <c r="Y94" s="4">
        <v>3</v>
      </c>
      <c r="Z94" s="4">
        <v>3</v>
      </c>
      <c r="AA94" s="4">
        <v>3</v>
      </c>
      <c r="AB94" s="4">
        <v>2</v>
      </c>
      <c r="AC94" s="4">
        <f t="shared" si="16"/>
        <v>6</v>
      </c>
      <c r="AD94" s="4">
        <v>4</v>
      </c>
      <c r="AE94" s="4">
        <v>3</v>
      </c>
      <c r="AF94" s="4">
        <v>3</v>
      </c>
      <c r="AG94" s="4">
        <v>1.5</v>
      </c>
      <c r="AH94" s="4">
        <f ca="1">IFERROR(__xludf.dummyfunction("if(isna(filter(prs!C:U,prs!I:I=G94,prs!G:G&gt;DATE(2024,3,28),prs!G:G&lt;DATE(2024,4,26))),0,countunique(index(filter(prs!C:U,prs!I:I=G94,prs!G:G&gt;DATE(2024,3,28),prs!G:G&lt;DATE(2024,4,26)),,1)))"),6)</f>
        <v>6</v>
      </c>
      <c r="AI94" s="4">
        <f ca="1">IFERROR(__xludf.dummyfunction("if(isna(filter(prs!C:U,prs!I:I=G94,prs!R:R&lt;&gt;""Empty field"",prs!G:G&gt;DATE(2024,3,28),prs!G:G&lt;DATE(2024,4,26))),0,countunique(index(filter(prs!C:U,prs!I:I=G94,prs!R:R&lt;&gt;""Empty field"",prs!G:G&gt;DATE(2024,3,28),prs!G:G&lt;DATE(2024,4,26)),,1)))"),6)</f>
        <v>6</v>
      </c>
      <c r="AJ94" s="4">
        <f t="shared" ca="1" si="17"/>
        <v>3</v>
      </c>
      <c r="AK94" s="4">
        <f t="shared" ca="1" si="18"/>
        <v>4.5</v>
      </c>
      <c r="AL94" s="4">
        <f ca="1">IFERROR(__xludf.dummyfunction("filter('Проекты'!AT:AT,'Проекты'!A:A=J94)"),4)</f>
        <v>4</v>
      </c>
      <c r="AM94" s="4">
        <f ca="1">IFERROR(__xludf.dummyfunction("ifna(filter(commits_results!H:I,commits_results!B:B=A94,commits_results!A:A=J94),)"),4)</f>
        <v>4</v>
      </c>
      <c r="AN94" s="4">
        <f ca="1">IFERROR(__xludf.dummyfunction("""COMPUTED_VALUE"""),4)</f>
        <v>4</v>
      </c>
      <c r="AO94" s="4">
        <f t="shared" ca="1" si="19"/>
        <v>3</v>
      </c>
      <c r="AP94" s="4">
        <f ca="1">IFERROR(__xludf.dummyfunction("if(isna(filter(prs!C:U,prs!I:I=G94,prs!G:G&gt;DATE(2024,4,25),prs!G:G&lt;DATE(2024,5,23))),0,countunique(index(filter(prs!C:U,prs!I:I=G94,prs!G:G&gt;DATE(2024,4,25),prs!G:G&lt;DATE(2024,5,23)),,1)))"),2)</f>
        <v>2</v>
      </c>
      <c r="AQ94" s="4">
        <f ca="1">IFERROR(__xludf.dummyfunction("if(isna(filter(prs!C:U,prs!I:I=G94,prs!R:R&lt;&gt;""Empty field"",prs!G:G&gt;DATE(2024,4,25),prs!G:G&lt;DATE(2024,5,23))),0,countunique(index(filter(prs!C:U,prs!I:I=G94,prs!R:R&lt;&gt;""Empty field"",prs!G:G&gt;DATE(2024,4,25),prs!G:G&lt;DATE(2024,5,23)),,1)))"),2)</f>
        <v>2</v>
      </c>
      <c r="AR94" s="4">
        <f t="shared" ca="1" si="20"/>
        <v>3</v>
      </c>
      <c r="AS94" s="4">
        <f t="shared" ca="1" si="21"/>
        <v>6</v>
      </c>
      <c r="AT94" s="4">
        <f ca="1">IFERROR(__xludf.dummyfunction("filter('Проекты'!BB:BB,'Проекты'!A:A=J94)"),4)</f>
        <v>4</v>
      </c>
      <c r="AU94" s="4">
        <f ca="1">IFERROR(__xludf.dummyfunction("filter('Проекты'!BE:BE,'Проекты'!A:A=J94)"),0)</f>
        <v>0</v>
      </c>
      <c r="AV94" s="11">
        <f t="shared" ca="1" si="22"/>
        <v>59</v>
      </c>
      <c r="AW94" s="4" t="str">
        <f t="shared" ca="1" si="23"/>
        <v>Неудовлетворительно</v>
      </c>
    </row>
    <row r="95" spans="1:49" ht="15.75" customHeight="1">
      <c r="A95" s="6" t="s">
        <v>520</v>
      </c>
      <c r="B95" s="6" t="s">
        <v>520</v>
      </c>
      <c r="C95" s="6"/>
      <c r="D95" s="6">
        <v>1384</v>
      </c>
      <c r="E95" s="6" t="s">
        <v>521</v>
      </c>
      <c r="F95" s="6" t="s">
        <v>521</v>
      </c>
      <c r="G95" s="6" t="s">
        <v>522</v>
      </c>
      <c r="H95" s="6" t="s">
        <v>426</v>
      </c>
      <c r="I95" s="4" t="s">
        <v>1110</v>
      </c>
      <c r="J95" s="7">
        <f ca="1">IFERROR(__xludf.dummyfunction("index(split(I95,char(9)),1,1)"),11)</f>
        <v>11</v>
      </c>
      <c r="K95" s="7">
        <f ca="1">IFERROR(__xludf.dummyfunction("ifna(index(filter('Посещаемость_баллы'!$A:$L,'Посещаемость_баллы'!$B:$B=$B95,'Посещаемость_баллы'!$C:$C=$C95,'Посещаемость_баллы'!$D:$D=$D95),1,12)*10,0)"),8)</f>
        <v>8</v>
      </c>
      <c r="L95" s="7">
        <f>ROUNDDOWN(IFERROR(VALUE(VLOOKUP(H95,'Онлайн-курс1'!B:F,5,FALSE())),IFERROR(VALUE(VLOOKUP(H95,'Онлайн-курс1'!C:F,4,FALSE())),0))/40*20,0)
+ IFERROR(VALUE(SUBSTITUTE(VLOOKUP(H95,'Онлайн-курс2'!B:I,7,FALSE()),".",",")),IFERROR(VALUE(SUBSTITUTE(VLOOKUP(H95,'Онлайн-курс2'!C:I,6,FALSE()),".",",")),0))*2</f>
        <v>20</v>
      </c>
      <c r="M95" s="8" t="s">
        <v>522</v>
      </c>
      <c r="N95" s="9">
        <v>1</v>
      </c>
      <c r="O95" s="4" t="s">
        <v>523</v>
      </c>
      <c r="P95" s="4">
        <v>0</v>
      </c>
      <c r="Q95" s="10" t="str">
        <f ca="1">IFERROR(__xludf.dummyfunction("iferror(index(QUERY(commits!A$2:$K1001, ""select Count(C) where lower(D) = lower('""&amp;G95&amp;""')""),2,1),""-"")"),"-")</f>
        <v>-</v>
      </c>
      <c r="R95" s="4" t="s">
        <v>54</v>
      </c>
      <c r="S95" s="4" t="s">
        <v>47</v>
      </c>
      <c r="T95" s="4">
        <f ca="1">VLOOKUP(A95,Расчёт_оценок!A:C,3,FALSE())</f>
        <v>6</v>
      </c>
      <c r="U95" s="4">
        <f ca="1">IFERROR(VLOOKUP(J95,Проекты!A:P,16,FALSE()),0)</f>
        <v>3</v>
      </c>
      <c r="V95" s="4" t="s">
        <v>103</v>
      </c>
      <c r="W95" s="4">
        <v>4</v>
      </c>
      <c r="X95" s="4">
        <v>4</v>
      </c>
      <c r="Y95" s="4">
        <v>1.5</v>
      </c>
      <c r="Z95" s="4">
        <v>2</v>
      </c>
      <c r="AA95" s="4">
        <v>1</v>
      </c>
      <c r="AB95" s="4">
        <v>0.5</v>
      </c>
      <c r="AC95" s="4">
        <f t="shared" si="16"/>
        <v>3</v>
      </c>
      <c r="AD95" s="4">
        <v>2.9</v>
      </c>
      <c r="AE95" s="4">
        <v>2</v>
      </c>
      <c r="AF95" s="4">
        <v>2</v>
      </c>
      <c r="AG95" s="4">
        <v>1.5</v>
      </c>
      <c r="AH95" s="4">
        <f ca="1">IFERROR(__xludf.dummyfunction("if(isna(filter(prs!C:U,prs!I:I=G95,prs!G:G&gt;DATE(2024,3,28),prs!G:G&lt;DATE(2024,4,26))),0,countunique(index(filter(prs!C:U,prs!I:I=G95,prs!G:G&gt;DATE(2024,3,28),prs!G:G&lt;DATE(2024,4,26)),,1)))"),2)</f>
        <v>2</v>
      </c>
      <c r="AI95" s="4">
        <f ca="1">IFERROR(__xludf.dummyfunction("if(isna(filter(prs!C:U,prs!I:I=G95,prs!R:R&lt;&gt;""Empty field"",prs!G:G&gt;DATE(2024,3,28),prs!G:G&lt;DATE(2024,4,26))),0,countunique(index(filter(prs!C:U,prs!I:I=G95,prs!R:R&lt;&gt;""Empty field"",prs!G:G&gt;DATE(2024,3,28),prs!G:G&lt;DATE(2024,4,26)),,1)))"),2)</f>
        <v>2</v>
      </c>
      <c r="AJ95" s="4">
        <f t="shared" ca="1" si="17"/>
        <v>3</v>
      </c>
      <c r="AK95" s="4">
        <f t="shared" ca="1" si="18"/>
        <v>4.5</v>
      </c>
      <c r="AL95" s="4">
        <f ca="1">IFERROR(__xludf.dummyfunction("filter('Проекты'!AT:AT,'Проекты'!A:A=J95)"),4)</f>
        <v>4</v>
      </c>
      <c r="AM95" s="4">
        <f ca="1">IFERROR(__xludf.dummyfunction("ifna(filter(commits_results!H:I,commits_results!B:B=A95,commits_results!A:A=J95),)"),3)</f>
        <v>3</v>
      </c>
      <c r="AN95" s="4">
        <f ca="1">IFERROR(__xludf.dummyfunction("""COMPUTED_VALUE"""),3)</f>
        <v>3</v>
      </c>
      <c r="AO95" s="4">
        <f t="shared" ca="1" si="19"/>
        <v>3</v>
      </c>
      <c r="AP95" s="4">
        <f ca="1">IFERROR(__xludf.dummyfunction("if(isna(filter(prs!C:U,prs!I:I=G95,prs!G:G&gt;DATE(2024,4,25),prs!G:G&lt;DATE(2024,5,23))),0,countunique(index(filter(prs!C:U,prs!I:I=G95,prs!G:G&gt;DATE(2024,4,25),prs!G:G&lt;DATE(2024,5,23)),,1)))"),2)</f>
        <v>2</v>
      </c>
      <c r="AQ95" s="4">
        <f ca="1">IFERROR(__xludf.dummyfunction("if(isna(filter(prs!C:U,prs!I:I=G95,prs!R:R&lt;&gt;""Empty field"",prs!G:G&gt;DATE(2024,4,25),prs!G:G&lt;DATE(2024,5,23))),0,countunique(index(filter(prs!C:U,prs!I:I=G95,prs!R:R&lt;&gt;""Empty field"",prs!G:G&gt;DATE(2024,4,25),prs!G:G&lt;DATE(2024,5,23)),,1)))"),2)</f>
        <v>2</v>
      </c>
      <c r="AR95" s="4">
        <f t="shared" ca="1" si="20"/>
        <v>3</v>
      </c>
      <c r="AS95" s="4">
        <f t="shared" ca="1" si="21"/>
        <v>6</v>
      </c>
      <c r="AT95" s="4">
        <f ca="1">IFERROR(__xludf.dummyfunction("filter('Проекты'!BB:BB,'Проекты'!A:A=J95)"),3.7)</f>
        <v>3.7</v>
      </c>
      <c r="AU95" s="4">
        <f ca="1">IFERROR(__xludf.dummyfunction("filter('Проекты'!BE:BE,'Проекты'!A:A=J95)"),0)</f>
        <v>0</v>
      </c>
      <c r="AV95" s="11">
        <f t="shared" ca="1" si="22"/>
        <v>62</v>
      </c>
      <c r="AW95" s="4" t="str">
        <f t="shared" ca="1" si="23"/>
        <v>Удовлетворительно</v>
      </c>
    </row>
    <row r="96" spans="1:49" ht="15.75" customHeight="1">
      <c r="A96" s="6" t="s">
        <v>524</v>
      </c>
      <c r="B96" s="6" t="s">
        <v>524</v>
      </c>
      <c r="C96" s="6"/>
      <c r="D96" s="6">
        <v>1384</v>
      </c>
      <c r="E96" s="6" t="s">
        <v>525</v>
      </c>
      <c r="F96" s="6" t="s">
        <v>525</v>
      </c>
      <c r="G96" s="6" t="s">
        <v>526</v>
      </c>
      <c r="H96" s="6" t="s">
        <v>527</v>
      </c>
      <c r="I96" s="4" t="s">
        <v>1111</v>
      </c>
      <c r="J96" s="7">
        <f ca="1">IFERROR(__xludf.dummyfunction("index(split(I96,char(9)),1,1)"),11)</f>
        <v>11</v>
      </c>
      <c r="K96" s="7">
        <f ca="1">IFERROR(__xludf.dummyfunction("ifna(index(filter('Посещаемость_баллы'!$A:$L,'Посещаемость_баллы'!$B:$B=$B96,'Посещаемость_баллы'!$C:$C=$C96,'Посещаемость_баллы'!$D:$D=$D96),1,12)*10,0)"),8)</f>
        <v>8</v>
      </c>
      <c r="L96" s="7">
        <f>ROUNDDOWN(IFERROR(VALUE(VLOOKUP(H96,'Онлайн-курс1'!B:F,5,FALSE())),IFERROR(VALUE(VLOOKUP(H96,'Онлайн-курс1'!C:F,4,FALSE())),0))/40*20,0)
+ IFERROR(VALUE(SUBSTITUTE(VLOOKUP(H96,'Онлайн-курс2'!B:I,7,FALSE()),".",",")),IFERROR(VALUE(SUBSTITUTE(VLOOKUP(H96,'Онлайн-курс2'!C:I,6,FALSE()),".",",")),0))*2</f>
        <v>20</v>
      </c>
      <c r="M96" s="8" t="s">
        <v>526</v>
      </c>
      <c r="N96" s="9">
        <v>1</v>
      </c>
      <c r="O96" s="4" t="s">
        <v>528</v>
      </c>
      <c r="P96" s="4">
        <v>0</v>
      </c>
      <c r="Q96" s="10" t="str">
        <f ca="1">IFERROR(__xludf.dummyfunction("iferror(index(QUERY(commits!A$2:$K1001, ""select Count(C) where lower(D) = lower('""&amp;G96&amp;""')""),2,1),""-"")"),"-")</f>
        <v>-</v>
      </c>
      <c r="R96" s="4" t="s">
        <v>504</v>
      </c>
      <c r="S96" s="4">
        <v>1</v>
      </c>
      <c r="T96" s="4">
        <f ca="1">VLOOKUP(A96,Расчёт_оценок!A:C,3,FALSE())</f>
        <v>6</v>
      </c>
      <c r="U96" s="4">
        <f ca="1">IFERROR(VLOOKUP(J96,Проекты!A:P,16,FALSE()),0)</f>
        <v>3</v>
      </c>
      <c r="V96" s="4" t="s">
        <v>331</v>
      </c>
      <c r="W96" s="4">
        <v>20</v>
      </c>
      <c r="X96" s="4">
        <v>20</v>
      </c>
      <c r="Y96" s="4">
        <v>3</v>
      </c>
      <c r="Z96" s="4">
        <v>4</v>
      </c>
      <c r="AA96" s="4">
        <v>2</v>
      </c>
      <c r="AB96" s="4">
        <v>1</v>
      </c>
      <c r="AC96" s="4">
        <f t="shared" si="16"/>
        <v>5</v>
      </c>
      <c r="AD96" s="4">
        <v>2.9</v>
      </c>
      <c r="AE96" s="4">
        <v>3</v>
      </c>
      <c r="AF96" s="4">
        <v>3</v>
      </c>
      <c r="AG96" s="4">
        <v>1.5</v>
      </c>
      <c r="AH96" s="4">
        <f ca="1">IFERROR(__xludf.dummyfunction("if(isna(filter(prs!C:U,prs!I:I=G96,prs!G:G&gt;DATE(2024,3,28),prs!G:G&lt;DATE(2024,4,26))),0,countunique(index(filter(prs!C:U,prs!I:I=G96,prs!G:G&gt;DATE(2024,3,28),prs!G:G&lt;DATE(2024,4,26)),,1)))"),4)</f>
        <v>4</v>
      </c>
      <c r="AI96" s="4">
        <f ca="1">IFERROR(__xludf.dummyfunction("if(isna(filter(prs!C:U,prs!I:I=G96,prs!R:R&lt;&gt;""Empty field"",prs!G:G&gt;DATE(2024,3,28),prs!G:G&lt;DATE(2024,4,26))),0,countunique(index(filter(prs!C:U,prs!I:I=G96,prs!R:R&lt;&gt;""Empty field"",prs!G:G&gt;DATE(2024,3,28),prs!G:G&lt;DATE(2024,4,26)),,1)))"),4)</f>
        <v>4</v>
      </c>
      <c r="AJ96" s="4">
        <f t="shared" ca="1" si="17"/>
        <v>3</v>
      </c>
      <c r="AK96" s="4">
        <f t="shared" ca="1" si="18"/>
        <v>4.5</v>
      </c>
      <c r="AL96" s="4">
        <f ca="1">IFERROR(__xludf.dummyfunction("filter('Проекты'!AT:AT,'Проекты'!A:A=J96)"),4)</f>
        <v>4</v>
      </c>
      <c r="AM96" s="4">
        <f ca="1">IFERROR(__xludf.dummyfunction("ifna(filter(commits_results!H:I,commits_results!B:B=A96,commits_results!A:A=J96),)"),13)</f>
        <v>13</v>
      </c>
      <c r="AN96" s="4">
        <f ca="1">IFERROR(__xludf.dummyfunction("""COMPUTED_VALUE"""),13)</f>
        <v>13</v>
      </c>
      <c r="AO96" s="4">
        <f t="shared" ca="1" si="19"/>
        <v>3</v>
      </c>
      <c r="AP96" s="4">
        <f ca="1">IFERROR(__xludf.dummyfunction("if(isna(filter(prs!C:U,prs!I:I=G96,prs!G:G&gt;DATE(2024,4,25),prs!G:G&lt;DATE(2024,5,23))),0,countunique(index(filter(prs!C:U,prs!I:I=G96,prs!G:G&gt;DATE(2024,4,25),prs!G:G&lt;DATE(2024,5,23)),,1)))"),1)</f>
        <v>1</v>
      </c>
      <c r="AQ96" s="4">
        <f ca="1">IFERROR(__xludf.dummyfunction("if(isna(filter(prs!C:U,prs!I:I=G96,prs!R:R&lt;&gt;""Empty field"",prs!G:G&gt;DATE(2024,4,25),prs!G:G&lt;DATE(2024,5,23))),0,countunique(index(filter(prs!C:U,prs!I:I=G96,prs!R:R&lt;&gt;""Empty field"",prs!G:G&gt;DATE(2024,4,25),prs!G:G&lt;DATE(2024,5,23)),,1)))"),1)</f>
        <v>1</v>
      </c>
      <c r="AR96" s="4">
        <f t="shared" ca="1" si="20"/>
        <v>3</v>
      </c>
      <c r="AS96" s="4">
        <f t="shared" ca="1" si="21"/>
        <v>6</v>
      </c>
      <c r="AT96" s="4">
        <f ca="1">IFERROR(__xludf.dummyfunction("filter('Проекты'!BB:BB,'Проекты'!A:A=J96)"),3.7)</f>
        <v>3.7</v>
      </c>
      <c r="AU96" s="4">
        <f ca="1">IFERROR(__xludf.dummyfunction("filter('Проекты'!BE:BE,'Проекты'!A:A=J96)"),0)</f>
        <v>0</v>
      </c>
      <c r="AV96" s="11">
        <f t="shared" ca="1" si="22"/>
        <v>64</v>
      </c>
      <c r="AW96" s="4" t="str">
        <f t="shared" ca="1" si="23"/>
        <v>Удовлетворительно</v>
      </c>
    </row>
    <row r="97" spans="1:79" ht="15.75" customHeight="1">
      <c r="A97" s="15" t="s">
        <v>529</v>
      </c>
      <c r="B97" s="6" t="s">
        <v>529</v>
      </c>
      <c r="C97" s="6"/>
      <c r="D97" s="15">
        <v>1384</v>
      </c>
      <c r="E97" s="15" t="s">
        <v>530</v>
      </c>
      <c r="F97" s="6" t="s">
        <v>530</v>
      </c>
      <c r="G97" s="6" t="s">
        <v>531</v>
      </c>
      <c r="H97" s="6" t="s">
        <v>355</v>
      </c>
      <c r="I97" s="4" t="s">
        <v>1112</v>
      </c>
      <c r="J97" s="7" t="str">
        <f ca="1">IFERROR(__xludf.dummyfunction("index(split(I97,char(9)),1,1)"),"#VALUE!")</f>
        <v>#VALUE!</v>
      </c>
      <c r="K97" s="7">
        <f ca="1">IFERROR(__xludf.dummyfunction("ifna(index(filter('Посещаемость_баллы'!$A:$L,'Посещаемость_баллы'!$B:$B=$B97,'Посещаемость_баллы'!$C:$C=$C97,'Посещаемость_баллы'!$D:$D=$D97),1,12)*10,0)"),0)</f>
        <v>0</v>
      </c>
      <c r="L97" s="7">
        <f>ROUNDDOWN(IFERROR(VALUE(VLOOKUP(H97,'Онлайн-курс1'!B:F,5,FALSE())),IFERROR(VALUE(VLOOKUP(H97,'Онлайн-курс1'!C:F,4,FALSE())),0))/40*20,0)
+ IFERROR(VALUE(SUBSTITUTE(VLOOKUP(H97,'Онлайн-курс2'!B:I,7,FALSE()),".",",")),IFERROR(VALUE(SUBSTITUTE(VLOOKUP(H97,'Онлайн-курс2'!C:I,6,FALSE()),".",",")),0))*2</f>
        <v>20</v>
      </c>
      <c r="M97" s="4" t="s">
        <v>531</v>
      </c>
      <c r="N97" s="17">
        <v>0</v>
      </c>
      <c r="O97" s="4" t="s">
        <v>532</v>
      </c>
      <c r="P97" s="16">
        <v>1</v>
      </c>
      <c r="Q97" s="10" t="str">
        <f ca="1">IFERROR(__xludf.dummyfunction("iferror(index(QUERY(commits!A$2:$K1001, ""select Count(C) where lower(D) = lower('""&amp;G97&amp;""')""),2,1),""-"")"),"-")</f>
        <v>-</v>
      </c>
      <c r="R97" s="4" t="s">
        <v>54</v>
      </c>
      <c r="S97" s="4" t="s">
        <v>47</v>
      </c>
      <c r="T97" s="4">
        <f ca="1">VLOOKUP(A97,Расчёт_оценок!A:C,3,FALSE())</f>
        <v>0</v>
      </c>
      <c r="U97" s="4">
        <f ca="1">IFERROR(VLOOKUP(J97,Проекты!A:P,16,FALSE()),0)</f>
        <v>0</v>
      </c>
      <c r="V97" s="4" t="s">
        <v>54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/>
      <c r="AF97" s="4"/>
      <c r="AG97" s="4">
        <v>0</v>
      </c>
      <c r="AH97" s="4">
        <f ca="1">IFERROR(__xludf.dummyfunction("if(isna(filter(prs!C:U,prs!I:I=G97,prs!G:G&gt;DATE(2024,3,28),prs!G:G&lt;DATE(2024,4,26))),0,countunique(index(filter(prs!C:U,prs!I:I=G97,prs!G:G&gt;DATE(2024,3,28),prs!G:G&lt;DATE(2024,4,26)),,1)))"),0)</f>
        <v>0</v>
      </c>
      <c r="AI97" s="4">
        <f ca="1">IFERROR(__xludf.dummyfunction("if(isna(filter(prs!C:U,prs!I:I=G97,prs!R:R&lt;&gt;""Empty field"",prs!G:G&gt;DATE(2024,3,28),prs!G:G&lt;DATE(2024,4,26))),0,countunique(index(filter(prs!C:U,prs!I:I=G97,prs!R:R&lt;&gt;""Empty field"",prs!G:G&gt;DATE(2024,3,28),prs!G:G&lt;DATE(2024,4,26)),,1)))"),0)</f>
        <v>0</v>
      </c>
      <c r="AJ97" s="4">
        <f t="shared" ca="1" si="17"/>
        <v>0</v>
      </c>
      <c r="AK97" s="4">
        <f t="shared" ca="1" si="18"/>
        <v>0</v>
      </c>
      <c r="AL97" s="4">
        <v>0</v>
      </c>
      <c r="AM97" s="4" t="str">
        <f ca="1">IFERROR(__xludf.dummyfunction("ifna(filter(commits_results!H:I,commits_results!B:B=A97,commits_results!A:A=J97),)"),"")</f>
        <v/>
      </c>
      <c r="AN97" s="4"/>
      <c r="AO97" s="4">
        <f t="shared" ca="1" si="19"/>
        <v>0</v>
      </c>
      <c r="AP97" s="4">
        <f ca="1">IFERROR(__xludf.dummyfunction("if(isna(filter(prs!C:U,prs!I:I=G97,prs!G:G&gt;DATE(2024,4,25),prs!G:G&lt;DATE(2024,5,23))),0,countunique(index(filter(prs!C:U,prs!I:I=G97,prs!G:G&gt;DATE(2024,4,25),prs!G:G&lt;DATE(2024,5,23)),,1)))"),0)</f>
        <v>0</v>
      </c>
      <c r="AQ97" s="4">
        <f ca="1">IFERROR(__xludf.dummyfunction("if(isna(filter(prs!C:U,prs!I:I=G97,prs!R:R&lt;&gt;""Empty field"",prs!G:G&gt;DATE(2024,4,25),prs!G:G&lt;DATE(2024,5,23))),0,countunique(index(filter(prs!C:U,prs!I:I=G97,prs!R:R&lt;&gt;""Empty field"",prs!G:G&gt;DATE(2024,4,25),prs!G:G&lt;DATE(2024,5,23)),,1)))"),0)</f>
        <v>0</v>
      </c>
      <c r="AR97" s="4">
        <f t="shared" ca="1" si="20"/>
        <v>0</v>
      </c>
      <c r="AS97" s="4">
        <f t="shared" ca="1" si="21"/>
        <v>0</v>
      </c>
      <c r="AT97" s="4" t="str">
        <f ca="1">IFERROR(__xludf.dummyfunction("filter('Проекты'!BB:BB,'Проекты'!A:A=J97)"),"#N/A")</f>
        <v>#N/A</v>
      </c>
      <c r="AU97" s="4" t="str">
        <f ca="1">IFERROR(__xludf.dummyfunction("filter('Проекты'!BE:BE,'Проекты'!A:A=J97)"),"#N/A")</f>
        <v>#N/A</v>
      </c>
      <c r="AV97" s="11">
        <f t="shared" ca="1" si="22"/>
        <v>20</v>
      </c>
      <c r="AW97" s="4" t="str">
        <f t="shared" ca="1" si="23"/>
        <v>Неудовлетворительно</v>
      </c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</row>
    <row r="98" spans="1:79" ht="15.75" customHeight="1">
      <c r="A98" s="19" t="s">
        <v>533</v>
      </c>
      <c r="B98" s="6" t="s">
        <v>533</v>
      </c>
      <c r="C98" s="6"/>
      <c r="D98" s="19">
        <v>9303</v>
      </c>
      <c r="E98" s="19" t="s">
        <v>534</v>
      </c>
      <c r="F98" s="20" t="s">
        <v>534</v>
      </c>
      <c r="G98" s="20" t="s">
        <v>535</v>
      </c>
      <c r="H98" s="20" t="s">
        <v>536</v>
      </c>
      <c r="I98" s="4" t="s">
        <v>1113</v>
      </c>
      <c r="J98" s="7" t="str">
        <f ca="1">IFERROR(__xludf.dummyfunction("index(split(I98,char(9)),1,1)"),"FastTrack")</f>
        <v>FastTrack</v>
      </c>
      <c r="K98" s="7">
        <f ca="1">IFERROR(__xludf.dummyfunction("ifna(index(filter('Посещаемость_баллы'!$A:$L,'Посещаемость_баллы'!$B:$B=$B98,'Посещаемость_баллы'!$C:$C=$C98,'Посещаемость_баллы'!$D:$D=$D98),1,12)*10,0)"),0)</f>
        <v>0</v>
      </c>
      <c r="L98" s="7">
        <f>ROUNDDOWN(IFERROR(VALUE(VLOOKUP(H98,'Онлайн-курс1'!B:F,5,FALSE())),IFERROR(VALUE(VLOOKUP(H98,'Онлайн-курс1'!C:F,4,FALSE())),0))/40*20,0)
+ IFERROR(VALUE(SUBSTITUTE(VLOOKUP(H98,'Онлайн-курс2'!B:I,8,FALSE()),".",",")),IFERROR(VALUE(SUBSTITUTE(VLOOKUP(H98,'Онлайн-курс2'!C:I,7,FALSE()),".",",")),0))*2</f>
        <v>0</v>
      </c>
      <c r="M98" s="4" t="s">
        <v>535</v>
      </c>
      <c r="N98" s="17">
        <v>0</v>
      </c>
      <c r="O98" s="4" t="s">
        <v>538</v>
      </c>
      <c r="P98" s="16">
        <v>1</v>
      </c>
      <c r="Q98" s="10" t="str">
        <f ca="1">IFERROR(__xludf.dummyfunction("iferror(index(QUERY(commits!A$2:$K1001, ""select Count(C) where lower(D) = lower('""&amp;G98&amp;""')""),2,1),""-"")"),"-")</f>
        <v>-</v>
      </c>
      <c r="R98" s="4" t="s">
        <v>54</v>
      </c>
      <c r="S98" s="4" t="s">
        <v>539</v>
      </c>
      <c r="T98" s="4">
        <f ca="1">VLOOKUP(A98,Расчёт_оценок!A:C,3,FALSE())</f>
        <v>0</v>
      </c>
      <c r="U98" s="4">
        <f ca="1">IFERROR(VLOOKUP(J98,Проекты!A:P,16,FALSE()),0)</f>
        <v>0</v>
      </c>
      <c r="V98" s="4" t="s">
        <v>54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/>
      <c r="AE98" s="4"/>
      <c r="AF98" s="4"/>
      <c r="AG98" s="4">
        <v>0</v>
      </c>
      <c r="AH98" s="4">
        <f ca="1">IFERROR(__xludf.dummyfunction("if(isna(filter(prs!C:U,prs!I:I=G98,prs!G:G&gt;DATE(2024,3,28),prs!G:G&lt;DATE(2024,4,26))),0,countunique(index(filter(prs!C:U,prs!I:I=G98,prs!G:G&gt;DATE(2024,3,28),prs!G:G&lt;DATE(2024,4,26)),,1)))"),0)</f>
        <v>0</v>
      </c>
      <c r="AI98" s="4">
        <f ca="1">IFERROR(__xludf.dummyfunction("if(isna(filter(prs!C:U,prs!I:I=G98,prs!R:R&lt;&gt;""Empty field"",prs!G:G&gt;DATE(2024,3,28),prs!G:G&lt;DATE(2024,4,26))),0,countunique(index(filter(prs!C:U,prs!I:I=G98,prs!R:R&lt;&gt;""Empty field"",prs!G:G&gt;DATE(2024,3,28),prs!G:G&lt;DATE(2024,4,26)),,1)))"),0)</f>
        <v>0</v>
      </c>
      <c r="AJ98" s="4">
        <f t="shared" ca="1" si="17"/>
        <v>0</v>
      </c>
      <c r="AK98" s="4">
        <f t="shared" ca="1" si="18"/>
        <v>0</v>
      </c>
      <c r="AL98" s="4" t="str">
        <f ca="1">IFERROR(__xludf.dummyfunction("filter('Проекты'!AT:AT,'Проекты'!A:A=J98)"),"")</f>
        <v/>
      </c>
      <c r="AM98" s="4" t="str">
        <f ca="1">IFERROR(__xludf.dummyfunction("ifna(filter(commits_results!H:I,commits_results!B:B=A98,commits_results!A:A=J98),)"),"")</f>
        <v/>
      </c>
      <c r="AN98" s="4"/>
      <c r="AO98" s="4">
        <f t="shared" ca="1" si="19"/>
        <v>0</v>
      </c>
      <c r="AP98" s="4">
        <f ca="1">IFERROR(__xludf.dummyfunction("if(isna(filter(prs!C:U,prs!I:I=G98,prs!G:G&gt;DATE(2024,4,25),prs!G:G&lt;DATE(2024,5,23))),0,countunique(index(filter(prs!C:U,prs!I:I=G98,prs!G:G&gt;DATE(2024,4,25),prs!G:G&lt;DATE(2024,5,23)),,1)))"),0)</f>
        <v>0</v>
      </c>
      <c r="AQ98" s="4">
        <f ca="1">IFERROR(__xludf.dummyfunction("if(isna(filter(prs!C:U,prs!I:I=G98,prs!R:R&lt;&gt;""Empty field"",prs!G:G&gt;DATE(2024,4,25),prs!G:G&lt;DATE(2024,5,23))),0,countunique(index(filter(prs!C:U,prs!I:I=G98,prs!R:R&lt;&gt;""Empty field"",prs!G:G&gt;DATE(2024,4,25),prs!G:G&lt;DATE(2024,5,23)),,1)))"),0)</f>
        <v>0</v>
      </c>
      <c r="AR98" s="4">
        <f t="shared" ca="1" si="20"/>
        <v>0</v>
      </c>
      <c r="AS98" s="4">
        <f ca="1">IFERROR(__xludf.dummyfunction("round( (AO98+AR98) / 6 + filter('Проекты'!BA:BA,'Проекты'!A:A=J98), 1)"),0)</f>
        <v>0</v>
      </c>
      <c r="AT98" s="4" t="str">
        <f ca="1">IFERROR(__xludf.dummyfunction("filter('Проекты'!BB:BB,'Проекты'!A:A=J98)"),"")</f>
        <v/>
      </c>
      <c r="AU98" s="4">
        <f ca="1">IFERROR(__xludf.dummyfunction("filter('Проекты'!BD:BD,'Проекты'!A:A=J98) + filter('Проекты'!BE:BE,'Проекты'!A:A=J98)"),0)</f>
        <v>0</v>
      </c>
      <c r="AV98" s="11">
        <f t="shared" ca="1" si="22"/>
        <v>0</v>
      </c>
      <c r="AW98" s="4" t="str">
        <f t="shared" ref="AW98:AW137" ca="1" si="24">IF(AV98&lt;61, "Неудовлетворительно", IF(AV98&lt;76, "Удовлетворительно", IF(AV98&lt;86, "Хорошо", "Отлично")))</f>
        <v>Неудовлетворительно</v>
      </c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</row>
    <row r="99" spans="1:79" ht="15.75" customHeight="1">
      <c r="A99" s="20" t="s">
        <v>540</v>
      </c>
      <c r="B99" s="6" t="s">
        <v>540</v>
      </c>
      <c r="C99" s="6"/>
      <c r="D99" s="20">
        <v>9303</v>
      </c>
      <c r="E99" s="20" t="s">
        <v>541</v>
      </c>
      <c r="F99" s="20" t="s">
        <v>541</v>
      </c>
      <c r="G99" s="20" t="s">
        <v>542</v>
      </c>
      <c r="H99" s="20" t="s">
        <v>445</v>
      </c>
      <c r="I99" s="4" t="s">
        <v>1114</v>
      </c>
      <c r="J99" s="7">
        <f ca="1">IFERROR(__xludf.dummyfunction("index(split(I99,char(9)),1,1)"),10)</f>
        <v>10</v>
      </c>
      <c r="K99" s="7">
        <f ca="1">IFERROR(__xludf.dummyfunction("ifna(index(filter('Посещаемость_баллы'!$A:$L,'Посещаемость_баллы'!$B:$B=$B99,'Посещаемость_баллы'!$C:$C=$C99,'Посещаемость_баллы'!$D:$D=$D99),1,12)*10,0)"),0)</f>
        <v>0</v>
      </c>
      <c r="L99" s="7">
        <f>ROUNDDOWN(IFERROR(VALUE(VLOOKUP(H99,'Онлайн-курс1'!B:F,5,FALSE())),IFERROR(VALUE(VLOOKUP(H99,'Онлайн-курс1'!C:F,4,FALSE())),0))/40*20,0)
+ IFERROR(VALUE(SUBSTITUTE(VLOOKUP(H99,'Онлайн-курс2'!B:I,8,FALSE()),".",",")),IFERROR(VALUE(SUBSTITUTE(VLOOKUP(H99,'Онлайн-курс2'!C:I,7,FALSE()),".",",")),0))*2</f>
        <v>20</v>
      </c>
      <c r="M99" s="8" t="s">
        <v>542</v>
      </c>
      <c r="N99" s="9">
        <v>1</v>
      </c>
      <c r="O99" s="4" t="s">
        <v>543</v>
      </c>
      <c r="P99" s="4">
        <v>0</v>
      </c>
      <c r="Q99" s="10" t="str">
        <f ca="1">IFERROR(__xludf.dummyfunction("iferror(index(QUERY(commits!A$2:$K1001, ""select Count(C) where lower(D) = lower('""&amp;G99&amp;""')""),2,1),""-"")"),"-")</f>
        <v>-</v>
      </c>
      <c r="R99" s="4" t="s">
        <v>544</v>
      </c>
      <c r="S99" s="4" t="s">
        <v>539</v>
      </c>
      <c r="T99" s="4">
        <f ca="1">VLOOKUP(A99,Расчёт_оценок!A:C,3,FALSE())</f>
        <v>6</v>
      </c>
      <c r="U99" s="4">
        <f ca="1">IFERROR(VLOOKUP(J99,Проекты!A:P,16,FALSE()),0)</f>
        <v>4</v>
      </c>
      <c r="V99" s="4" t="s">
        <v>545</v>
      </c>
      <c r="W99" s="4">
        <v>33</v>
      </c>
      <c r="X99" s="4">
        <v>33</v>
      </c>
      <c r="Y99" s="4">
        <v>3</v>
      </c>
      <c r="Z99" s="4">
        <v>0</v>
      </c>
      <c r="AA99" s="4">
        <v>24</v>
      </c>
      <c r="AB99" s="4">
        <v>2</v>
      </c>
      <c r="AC99" s="4">
        <v>4</v>
      </c>
      <c r="AD99" s="4">
        <v>4</v>
      </c>
      <c r="AE99" s="4">
        <v>0</v>
      </c>
      <c r="AF99" s="4">
        <v>0</v>
      </c>
      <c r="AG99" s="4">
        <v>0</v>
      </c>
      <c r="AH99" s="4">
        <f ca="1">IFERROR(__xludf.dummyfunction("if(isna(filter(prs!C:U,prs!I:I=G99,prs!G:G&gt;DATE(2024,3,28),prs!G:G&lt;DATE(2024,4,26))),0,countunique(index(filter(prs!C:U,prs!I:I=G99,prs!G:G&gt;DATE(2024,3,28),prs!G:G&lt;DATE(2024,4,26)),,1)))"),0)</f>
        <v>0</v>
      </c>
      <c r="AI99" s="4">
        <f ca="1">IFERROR(__xludf.dummyfunction("if(isna(filter(prs!C:U,prs!I:I=G99,prs!R:R&lt;&gt;""Empty field"",prs!G:G&gt;DATE(2024,3,28),prs!G:G&lt;DATE(2024,4,26))),0,countunique(index(filter(prs!C:U,prs!I:I=G99,prs!R:R&lt;&gt;""Empty field"",prs!G:G&gt;DATE(2024,3,28),prs!G:G&lt;DATE(2024,4,26)),,1)))"),0)</f>
        <v>0</v>
      </c>
      <c r="AJ99" s="4">
        <f t="shared" ref="AJ99:AJ130" ca="1" si="25">IF(AI99&gt;$AA$140,3,IFERROR(ROUND((3*AI99/AH99) * IF(AI99&lt;$AB$140,0.5,1),2),0))</f>
        <v>0</v>
      </c>
      <c r="AK99" s="4">
        <f ca="1">IFERROR(__xludf.dummyfunction("min(6,round((AG99+AJ99)/6 + filter('Проекты'!AS:AS,'Проекты'!A:A=J99),1))"),4)</f>
        <v>4</v>
      </c>
      <c r="AL99" s="4">
        <f ca="1">IFERROR(__xludf.dummyfunction("filter('Проекты'!AT:AT,'Проекты'!A:A=J99)"),4)</f>
        <v>4</v>
      </c>
      <c r="AM99" s="4">
        <f ca="1">IFERROR(__xludf.dummyfunction("ifna(filter(commits_results!H:I,commits_results!B:B=A99,commits_results!A:A=J99),)"),0)</f>
        <v>0</v>
      </c>
      <c r="AN99" s="4">
        <f ca="1">IFERROR(__xludf.dummyfunction("""COMPUTED_VALUE"""),0)</f>
        <v>0</v>
      </c>
      <c r="AO99" s="4">
        <f t="shared" ref="AO99:AO130" ca="1" si="26">IF(AN99&gt;$W$140,3,IFERROR(ROUND(3*(AM99/AN99) * IF(AM99&lt;$Y$140,0.5,1),2),0))</f>
        <v>0</v>
      </c>
      <c r="AP99" s="4">
        <f ca="1">IFERROR(__xludf.dummyfunction("if(isna(filter(prs!C:U,prs!I:I=G99,prs!G:G&gt;DATE(2024,4,25),prs!G:G&lt;DATE(2024,5,23))),0,countunique(index(filter(prs!C:U,prs!I:I=G99,prs!G:G&gt;DATE(2024,4,25),prs!G:G&lt;DATE(2024,5,23)),,1)))"),0)</f>
        <v>0</v>
      </c>
      <c r="AQ99" s="4">
        <f ca="1">IFERROR(__xludf.dummyfunction("if(isna(filter(prs!C:U,prs!I:I=G99,prs!R:R&lt;&gt;""Empty field"",prs!G:G&gt;DATE(2024,4,25),prs!G:G&lt;DATE(2024,5,23))),0,countunique(index(filter(prs!C:U,prs!I:I=G99,prs!R:R&lt;&gt;""Empty field"",prs!G:G&gt;DATE(2024,4,25),prs!G:G&lt;DATE(2024,5,23)),,1)))"),0)</f>
        <v>0</v>
      </c>
      <c r="AR99" s="4">
        <f t="shared" ref="AR99:AR130" ca="1" si="27">IF(AQ99&gt;$AA$140,3,IFERROR(ROUND((3*AQ99/AP99) * IF(AQ99&lt;$AB$140,0.5,1),2),0))</f>
        <v>0</v>
      </c>
      <c r="AS99" s="4">
        <f ca="1">IFERROR(__xludf.dummyfunction("round( (AO99+AR99) / 6 + filter('Проекты'!BA:BA,'Проекты'!A:A=J99), 1)"),4.3)</f>
        <v>4.3</v>
      </c>
      <c r="AT99" s="4">
        <f ca="1">IFERROR(__xludf.dummyfunction("filter('Проекты'!BB:BB,'Проекты'!A:A=J99)"),4)</f>
        <v>4</v>
      </c>
      <c r="AU99" s="4">
        <f ca="1">IFERROR(__xludf.dummyfunction("filter('Проекты'!BD:BD,'Проекты'!A:A=J99) + filter('Проекты'!BE:BE,'Проекты'!A:A=J99)"),3)</f>
        <v>3</v>
      </c>
      <c r="AV99" s="11">
        <f t="shared" ref="AV99:AV130" ca="1" si="28">ROUNDUP(SUM(K99:L99,T99:U99,AC99:AD99,AK99:AL99,AS99:AT99,AU99),0)</f>
        <v>58</v>
      </c>
      <c r="AW99" s="4" t="str">
        <f t="shared" ca="1" si="24"/>
        <v>Неудовлетворительно</v>
      </c>
    </row>
    <row r="100" spans="1:79" ht="15.75" customHeight="1">
      <c r="A100" s="20" t="s">
        <v>546</v>
      </c>
      <c r="B100" s="6" t="s">
        <v>546</v>
      </c>
      <c r="C100" s="6"/>
      <c r="D100" s="20">
        <v>9303</v>
      </c>
      <c r="E100" s="20" t="s">
        <v>547</v>
      </c>
      <c r="F100" s="20" t="s">
        <v>547</v>
      </c>
      <c r="G100" s="20" t="s">
        <v>548</v>
      </c>
      <c r="H100" s="20" t="s">
        <v>549</v>
      </c>
      <c r="I100" s="4" t="s">
        <v>1115</v>
      </c>
      <c r="J100" s="7">
        <f ca="1">IFERROR(__xludf.dummyfunction("index(split(I100,char(9)),1,1)"),4)</f>
        <v>4</v>
      </c>
      <c r="K100" s="7">
        <f ca="1">IFERROR(__xludf.dummyfunction("ifna(index(filter('Посещаемость_баллы'!$A:$L,'Посещаемость_баллы'!$B:$B=$B100,'Посещаемость_баллы'!$C:$C=$C100,'Посещаемость_баллы'!$D:$D=$D100),1,12)*10,0)"),8)</f>
        <v>8</v>
      </c>
      <c r="L100" s="7">
        <f>ROUNDDOWN(IFERROR(VALUE(VLOOKUP(H100,'Онлайн-курс1'!B:F,5,FALSE())),IFERROR(VALUE(VLOOKUP(H100,'Онлайн-курс1'!C:F,4,FALSE())),0))/40*20,0)
+ IFERROR(VALUE(SUBSTITUTE(VLOOKUP(H100,'Онлайн-курс2'!B:I,8,FALSE()),".",",")),IFERROR(VALUE(SUBSTITUTE(VLOOKUP(H100,'Онлайн-курс2'!C:I,7,FALSE()),".",",")),0))*2</f>
        <v>20</v>
      </c>
      <c r="M100" s="8" t="s">
        <v>548</v>
      </c>
      <c r="N100" s="9">
        <v>1</v>
      </c>
      <c r="O100" s="4" t="s">
        <v>550</v>
      </c>
      <c r="P100" s="4">
        <v>0</v>
      </c>
      <c r="Q100" s="10" t="str">
        <f ca="1">IFERROR(__xludf.dummyfunction("iferror(index(QUERY(commits!A$2:$K1001, ""select Count(C) where lower(D) = lower('""&amp;G100&amp;""')""),2,1),""-"")"),"-")</f>
        <v>-</v>
      </c>
      <c r="R100" s="4" t="s">
        <v>551</v>
      </c>
      <c r="S100" s="4" t="s">
        <v>552</v>
      </c>
      <c r="T100" s="4">
        <f ca="1">VLOOKUP(A100,Расчёт_оценок!A:C,3,FALSE())</f>
        <v>6</v>
      </c>
      <c r="U100" s="4">
        <f ca="1">IFERROR(VLOOKUP(J100,Проекты!A:P,16,FALSE()),0)</f>
        <v>4</v>
      </c>
      <c r="V100" s="4" t="s">
        <v>331</v>
      </c>
      <c r="W100" s="4">
        <v>0</v>
      </c>
      <c r="X100" s="4">
        <v>29</v>
      </c>
      <c r="Y100" s="4">
        <v>0</v>
      </c>
      <c r="Z100" s="4">
        <v>12</v>
      </c>
      <c r="AA100" s="4">
        <v>28</v>
      </c>
      <c r="AB100" s="4">
        <v>2</v>
      </c>
      <c r="AC100" s="4">
        <v>5.5</v>
      </c>
      <c r="AD100" s="4">
        <v>2.6</v>
      </c>
      <c r="AE100" s="4">
        <v>22</v>
      </c>
      <c r="AF100" s="4">
        <v>22</v>
      </c>
      <c r="AG100" s="4">
        <v>3</v>
      </c>
      <c r="AH100" s="4">
        <f ca="1">IFERROR(__xludf.dummyfunction("if(isna(filter(prs!C:U,prs!I:I=G100,prs!G:G&gt;DATE(2024,3,28),prs!G:G&lt;DATE(2024,4,26))),0,countunique(index(filter(prs!C:U,prs!I:I=G100,prs!G:G&gt;DATE(2024,3,28),prs!G:G&lt;DATE(2024,4,26)),,1)))"),22)</f>
        <v>22</v>
      </c>
      <c r="AI100" s="4">
        <f ca="1">IFERROR(__xludf.dummyfunction("if(isna(filter(prs!C:U,prs!I:I=G100,prs!R:R&lt;&gt;""Empty field"",prs!G:G&gt;DATE(2024,3,28),prs!G:G&lt;DATE(2024,4,26))),0,countunique(index(filter(prs!C:U,prs!I:I=G100,prs!R:R&lt;&gt;""Empty field"",prs!G:G&gt;DATE(2024,3,28),prs!G:G&lt;DATE(2024,4,26)),,1)))"),22)</f>
        <v>22</v>
      </c>
      <c r="AJ100" s="4">
        <f t="shared" ca="1" si="25"/>
        <v>3</v>
      </c>
      <c r="AK100" s="4">
        <f ca="1">IFERROR(__xludf.dummyfunction("min(6,round((AG100+AJ100)/6 + filter('Проекты'!AS:AS,'Проекты'!A:A=J100),1))"),6)</f>
        <v>6</v>
      </c>
      <c r="AL100" s="4">
        <f ca="1">IFERROR(__xludf.dummyfunction("filter('Проекты'!AT:AT,'Проекты'!A:A=J100)"),3.9)</f>
        <v>3.9</v>
      </c>
      <c r="AM100" s="4">
        <f ca="1">IFERROR(__xludf.dummyfunction("ifna(filter(commits_results!H:I,commits_results!B:B=A100,commits_results!A:A=J100),)"),12)</f>
        <v>12</v>
      </c>
      <c r="AN100" s="4">
        <f ca="1">IFERROR(__xludf.dummyfunction("""COMPUTED_VALUE"""),12)</f>
        <v>12</v>
      </c>
      <c r="AO100" s="4">
        <f t="shared" ca="1" si="26"/>
        <v>3</v>
      </c>
      <c r="AP100" s="4">
        <f ca="1">IFERROR(__xludf.dummyfunction("if(isna(filter(prs!C:U,prs!I:I=G100,prs!G:G&gt;DATE(2024,4,25),prs!G:G&lt;DATE(2024,5,23))),0,countunique(index(filter(prs!C:U,prs!I:I=G100,prs!G:G&gt;DATE(2024,4,25),prs!G:G&lt;DATE(2024,5,23)),,1)))"),8)</f>
        <v>8</v>
      </c>
      <c r="AQ100" s="4">
        <f ca="1">IFERROR(__xludf.dummyfunction("if(isna(filter(prs!C:U,prs!I:I=G100,prs!R:R&lt;&gt;""Empty field"",prs!G:G&gt;DATE(2024,4,25),prs!G:G&lt;DATE(2024,5,23))),0,countunique(index(filter(prs!C:U,prs!I:I=G100,prs!R:R&lt;&gt;""Empty field"",prs!G:G&gt;DATE(2024,4,25),prs!G:G&lt;DATE(2024,5,23)),,1)))"),8)</f>
        <v>8</v>
      </c>
      <c r="AR100" s="4">
        <f t="shared" ca="1" si="27"/>
        <v>3</v>
      </c>
      <c r="AS100" s="4">
        <f ca="1">IFERROR(__xludf.dummyfunction("round( (AO100+AR100) / 6 + filter('Проекты'!BA:BA,'Проекты'!A:A=J100), 1)"),5.3)</f>
        <v>5.3</v>
      </c>
      <c r="AT100" s="4">
        <f ca="1">IFERROR(__xludf.dummyfunction("filter('Проекты'!BB:BB,'Проекты'!A:A=J100)"),2.5)</f>
        <v>2.5</v>
      </c>
      <c r="AU100" s="4">
        <f ca="1">IFERROR(__xludf.dummyfunction("filter('Проекты'!BD:BD,'Проекты'!A:A=J100) + filter('Проекты'!BE:BE,'Проекты'!A:A=J100)"),2)</f>
        <v>2</v>
      </c>
      <c r="AV100" s="11">
        <f t="shared" ca="1" si="28"/>
        <v>66</v>
      </c>
      <c r="AW100" s="4" t="str">
        <f t="shared" ca="1" si="24"/>
        <v>Удовлетворительно</v>
      </c>
    </row>
    <row r="101" spans="1:79" ht="15.75" customHeight="1">
      <c r="A101" s="20" t="s">
        <v>553</v>
      </c>
      <c r="B101" s="6" t="s">
        <v>553</v>
      </c>
      <c r="C101" s="6"/>
      <c r="D101" s="20">
        <v>9303</v>
      </c>
      <c r="E101" s="20" t="s">
        <v>554</v>
      </c>
      <c r="F101" s="20" t="s">
        <v>554</v>
      </c>
      <c r="G101" s="20" t="s">
        <v>555</v>
      </c>
      <c r="H101" s="20" t="s">
        <v>556</v>
      </c>
      <c r="I101" s="4" t="s">
        <v>1116</v>
      </c>
      <c r="J101" s="7" t="str">
        <f ca="1">IFERROR(__xludf.dummyfunction("index(split(I101,char(9)),1,1)"),"FastTrack")</f>
        <v>FastTrack</v>
      </c>
      <c r="K101" s="7">
        <f ca="1">IFERROR(__xludf.dummyfunction("ifna(index(filter('Посещаемость_баллы'!$A:$L,'Посещаемость_баллы'!$B:$B=$B101,'Посещаемость_баллы'!$C:$C=$C101,'Посещаемость_баллы'!$D:$D=$D101),1,12)*10,0)"),2)</f>
        <v>2</v>
      </c>
      <c r="L101" s="7">
        <f>ROUNDDOWN(IFERROR(VALUE(VLOOKUP(H101,'Онлайн-курс1'!B:F,5,FALSE())),IFERROR(VALUE(VLOOKUP(H101,'Онлайн-курс1'!C:F,4,FALSE())),0))/40*20,0)
+ IFERROR(VALUE(SUBSTITUTE(VLOOKUP(H101,'Онлайн-курс2'!B:I,8,FALSE()),".",",")),IFERROR(VALUE(SUBSTITUTE(VLOOKUP(H101,'Онлайн-курс2'!C:I,7,FALSE()),".",",")),0))*2</f>
        <v>0</v>
      </c>
      <c r="M101" s="8" t="s">
        <v>555</v>
      </c>
      <c r="N101" s="9">
        <v>1</v>
      </c>
      <c r="O101" s="4" t="s">
        <v>557</v>
      </c>
      <c r="P101" s="4">
        <v>0</v>
      </c>
      <c r="Q101" s="10" t="str">
        <f ca="1">IFERROR(__xludf.dummyfunction("iferror(index(QUERY(commits!A$2:$K1001, ""select Count(C) where lower(D) = lower('""&amp;G101&amp;""')""),2,1),""-"")"),"-")</f>
        <v>-</v>
      </c>
      <c r="R101" s="4" t="s">
        <v>70</v>
      </c>
      <c r="S101" s="4" t="s">
        <v>539</v>
      </c>
      <c r="T101" s="4">
        <f ca="1">VLOOKUP(A101,Расчёт_оценок!A:C,3,FALSE())</f>
        <v>0</v>
      </c>
      <c r="U101" s="4">
        <v>8</v>
      </c>
      <c r="V101" s="4" t="s">
        <v>39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/>
      <c r="AD101" s="4">
        <v>0</v>
      </c>
      <c r="AE101" s="4"/>
      <c r="AF101" s="4"/>
      <c r="AG101" s="4">
        <v>0</v>
      </c>
      <c r="AH101" s="4">
        <f ca="1">IFERROR(__xludf.dummyfunction("if(isna(filter(prs!C:U,prs!I:I=G101,prs!G:G&gt;DATE(2024,3,28),prs!G:G&lt;DATE(2024,4,26))),0,countunique(index(filter(prs!C:U,prs!I:I=G101,prs!G:G&gt;DATE(2024,3,28),prs!G:G&lt;DATE(2024,4,26)),,1)))"),0)</f>
        <v>0</v>
      </c>
      <c r="AI101" s="4">
        <f ca="1">IFERROR(__xludf.dummyfunction("if(isna(filter(prs!C:U,prs!I:I=G101,prs!R:R&lt;&gt;""Empty field"",prs!G:G&gt;DATE(2024,3,28),prs!G:G&lt;DATE(2024,4,26))),0,countunique(index(filter(prs!C:U,prs!I:I=G101,prs!R:R&lt;&gt;""Empty field"",prs!G:G&gt;DATE(2024,3,28),prs!G:G&lt;DATE(2024,4,26)),,1)))"),0)</f>
        <v>0</v>
      </c>
      <c r="AJ101" s="4">
        <f t="shared" ca="1" si="25"/>
        <v>0</v>
      </c>
      <c r="AK101" s="4"/>
      <c r="AL101" s="4">
        <v>0</v>
      </c>
      <c r="AM101" s="4" t="str">
        <f ca="1">IFERROR(__xludf.dummyfunction("ifna(filter(commits_results!H:I,commits_results!B:B=A101,commits_results!A:A=J101),)"),"")</f>
        <v/>
      </c>
      <c r="AN101" s="4"/>
      <c r="AO101" s="4">
        <f t="shared" ca="1" si="26"/>
        <v>0</v>
      </c>
      <c r="AP101" s="4">
        <f ca="1">IFERROR(__xludf.dummyfunction("if(isna(filter(prs!C:U,prs!I:I=G101,prs!G:G&gt;DATE(2024,4,25),prs!G:G&lt;DATE(2024,5,23))),0,countunique(index(filter(prs!C:U,prs!I:I=G101,prs!G:G&gt;DATE(2024,4,25),prs!G:G&lt;DATE(2024,5,23)),,1)))"),0)</f>
        <v>0</v>
      </c>
      <c r="AQ101" s="4">
        <f ca="1">IFERROR(__xludf.dummyfunction("if(isna(filter(prs!C:U,prs!I:I=G101,prs!R:R&lt;&gt;""Empty field"",prs!G:G&gt;DATE(2024,4,25),prs!G:G&lt;DATE(2024,5,23))),0,countunique(index(filter(prs!C:U,prs!I:I=G101,prs!R:R&lt;&gt;""Empty field"",prs!G:G&gt;DATE(2024,4,25),prs!G:G&lt;DATE(2024,5,23)),,1)))"),0)</f>
        <v>0</v>
      </c>
      <c r="AR101" s="4">
        <f t="shared" ca="1" si="27"/>
        <v>0</v>
      </c>
      <c r="AS101" s="4">
        <f ca="1">IFERROR(__xludf.dummyfunction("round( (AO101+AR101) / 6 + filter('Проекты'!BA:BA,'Проекты'!A:A=J101), 1)"),0)</f>
        <v>0</v>
      </c>
      <c r="AT101" s="4">
        <v>0</v>
      </c>
      <c r="AU101" s="4">
        <f ca="1">IFERROR(__xludf.dummyfunction("filter('Проекты'!BD:BD,'Проекты'!A:A=J101) + filter('Проекты'!BE:BE,'Проекты'!A:A=J101)"),0)</f>
        <v>0</v>
      </c>
      <c r="AV101" s="11">
        <f t="shared" ca="1" si="28"/>
        <v>10</v>
      </c>
      <c r="AW101" s="4" t="str">
        <f t="shared" ca="1" si="24"/>
        <v>Неудовлетворительно</v>
      </c>
    </row>
    <row r="102" spans="1:79" ht="15.75" customHeight="1">
      <c r="A102" s="20" t="s">
        <v>558</v>
      </c>
      <c r="B102" s="6" t="s">
        <v>558</v>
      </c>
      <c r="C102" s="6"/>
      <c r="D102" s="20">
        <v>9303</v>
      </c>
      <c r="E102" s="20" t="s">
        <v>559</v>
      </c>
      <c r="F102" s="20" t="s">
        <v>559</v>
      </c>
      <c r="G102" s="20" t="s">
        <v>560</v>
      </c>
      <c r="H102" s="20" t="s">
        <v>561</v>
      </c>
      <c r="I102" s="4" t="s">
        <v>1117</v>
      </c>
      <c r="J102" s="7" t="str">
        <f ca="1">IFERROR(__xludf.dummyfunction("index(split(I102,char(9)),1,1)"),"FastTrack")</f>
        <v>FastTrack</v>
      </c>
      <c r="K102" s="7">
        <f ca="1">IFERROR(__xludf.dummyfunction("ifna(index(filter('Посещаемость_баллы'!$A:$L,'Посещаемость_баллы'!$B:$B=$B102,'Посещаемость_баллы'!$C:$C=$C102,'Посещаемость_баллы'!$D:$D=$D102),1,12)*10,0)"),8)</f>
        <v>8</v>
      </c>
      <c r="L102" s="7">
        <f>ROUNDDOWN(IFERROR(VALUE(VLOOKUP(H102,'Онлайн-курс1'!B:F,5,FALSE())),IFERROR(VALUE(VLOOKUP(H102,'Онлайн-курс1'!C:F,4,FALSE())),0))/40*20,0)
+ IFERROR(VALUE(SUBSTITUTE(VLOOKUP(H102,'Онлайн-курс2'!B:I,8,FALSE()),".",",")),IFERROR(VALUE(SUBSTITUTE(VLOOKUP(H102,'Онлайн-курс2'!C:I,7,FALSE()),".",",")),0))*2</f>
        <v>20</v>
      </c>
      <c r="M102" s="8" t="s">
        <v>560</v>
      </c>
      <c r="N102" s="9">
        <v>1</v>
      </c>
      <c r="O102" s="4" t="s">
        <v>562</v>
      </c>
      <c r="P102" s="4">
        <v>0</v>
      </c>
      <c r="Q102" s="10" t="str">
        <f ca="1">IFERROR(__xludf.dummyfunction("iferror(index(QUERY(commits!A$2:$K1001, ""select Count(C) where lower(D) = lower('""&amp;G102&amp;""')""),2,1),""-"")"),"-")</f>
        <v>-</v>
      </c>
      <c r="R102" s="4" t="s">
        <v>563</v>
      </c>
      <c r="S102" s="4" t="s">
        <v>564</v>
      </c>
      <c r="T102" s="4">
        <f ca="1">VLOOKUP(A102,Расчёт_оценок!A:C,3,FALSE())</f>
        <v>0</v>
      </c>
      <c r="U102" s="4">
        <v>10</v>
      </c>
      <c r="V102" s="4" t="s">
        <v>565</v>
      </c>
      <c r="W102" s="4">
        <v>0</v>
      </c>
      <c r="X102" s="4">
        <v>0</v>
      </c>
      <c r="Y102" s="4">
        <v>0</v>
      </c>
      <c r="Z102" s="4">
        <v>21</v>
      </c>
      <c r="AA102" s="4">
        <v>0</v>
      </c>
      <c r="AB102" s="4">
        <v>0</v>
      </c>
      <c r="AC102" s="4"/>
      <c r="AD102" s="4">
        <v>10</v>
      </c>
      <c r="AE102" s="4"/>
      <c r="AF102" s="4"/>
      <c r="AG102" s="4">
        <v>0</v>
      </c>
      <c r="AH102" s="4">
        <f ca="1">IFERROR(__xludf.dummyfunction("if(isna(filter(prs!C:U,prs!I:I=G102,prs!G:G&gt;DATE(2024,3,28),prs!G:G&lt;DATE(2024,4,26))),0,countunique(index(filter(prs!C:U,prs!I:I=G102,prs!G:G&gt;DATE(2024,3,28),prs!G:G&lt;DATE(2024,4,26)),,1)))"),19)</f>
        <v>19</v>
      </c>
      <c r="AI102" s="4">
        <f ca="1">IFERROR(__xludf.dummyfunction("if(isna(filter(prs!C:U,prs!I:I=G102,prs!R:R&lt;&gt;""Empty field"",prs!G:G&gt;DATE(2024,3,28),prs!G:G&lt;DATE(2024,4,26))),0,countunique(index(filter(prs!C:U,prs!I:I=G102,prs!R:R&lt;&gt;""Empty field"",prs!G:G&gt;DATE(2024,3,28),prs!G:G&lt;DATE(2024,4,26)),,1)))"),0)</f>
        <v>0</v>
      </c>
      <c r="AJ102" s="4">
        <f t="shared" ca="1" si="25"/>
        <v>0</v>
      </c>
      <c r="AK102" s="4"/>
      <c r="AL102" s="4">
        <v>10</v>
      </c>
      <c r="AM102" s="4" t="str">
        <f ca="1">IFERROR(__xludf.dummyfunction("ifna(filter(commits_results!H:I,commits_results!B:B=A102,commits_results!A:A=J102),)"),"")</f>
        <v/>
      </c>
      <c r="AN102" s="4"/>
      <c r="AO102" s="4">
        <f t="shared" ca="1" si="26"/>
        <v>0</v>
      </c>
      <c r="AP102" s="4">
        <f ca="1">IFERROR(__xludf.dummyfunction("if(isna(filter(prs!C:U,prs!I:I=G102,prs!G:G&gt;DATE(2024,4,25),prs!G:G&lt;DATE(2024,5,23))),0,countunique(index(filter(prs!C:U,prs!I:I=G102,prs!G:G&gt;DATE(2024,4,25),prs!G:G&lt;DATE(2024,5,23)),,1)))"),19)</f>
        <v>19</v>
      </c>
      <c r="AQ102" s="4">
        <f ca="1">IFERROR(__xludf.dummyfunction("if(isna(filter(prs!C:U,prs!I:I=G102,prs!R:R&lt;&gt;""Empty field"",prs!G:G&gt;DATE(2024,4,25),prs!G:G&lt;DATE(2024,5,23))),0,countunique(index(filter(prs!C:U,prs!I:I=G102,prs!R:R&lt;&gt;""Empty field"",prs!G:G&gt;DATE(2024,4,25),prs!G:G&lt;DATE(2024,5,23)),,1)))"),0)</f>
        <v>0</v>
      </c>
      <c r="AR102" s="4">
        <f t="shared" ca="1" si="27"/>
        <v>0</v>
      </c>
      <c r="AS102" s="4">
        <f ca="1">IFERROR(__xludf.dummyfunction("round( (AO102+AR102) / 6 + filter('Проекты'!BA:BA,'Проекты'!A:A=J102), 1)"),0)</f>
        <v>0</v>
      </c>
      <c r="AT102" s="4">
        <v>0</v>
      </c>
      <c r="AU102" s="4">
        <f ca="1">IFERROR(__xludf.dummyfunction("filter('Проекты'!BD:BD,'Проекты'!A:A=J102) + filter('Проекты'!BE:BE,'Проекты'!A:A=J102)"),0)</f>
        <v>0</v>
      </c>
      <c r="AV102" s="11">
        <f t="shared" ca="1" si="28"/>
        <v>58</v>
      </c>
      <c r="AW102" s="4" t="str">
        <f t="shared" ca="1" si="24"/>
        <v>Неудовлетворительно</v>
      </c>
    </row>
    <row r="103" spans="1:79" ht="15.75" customHeight="1">
      <c r="A103" s="20" t="s">
        <v>566</v>
      </c>
      <c r="B103" s="6" t="s">
        <v>566</v>
      </c>
      <c r="C103" s="6"/>
      <c r="D103" s="20">
        <v>9303</v>
      </c>
      <c r="E103" s="20" t="s">
        <v>567</v>
      </c>
      <c r="F103" s="20" t="s">
        <v>567</v>
      </c>
      <c r="G103" s="20" t="s">
        <v>568</v>
      </c>
      <c r="H103" s="20" t="s">
        <v>569</v>
      </c>
      <c r="I103" s="4" t="s">
        <v>1118</v>
      </c>
      <c r="J103" s="7">
        <f ca="1">IFERROR(__xludf.dummyfunction("index(split(I103,char(9)),1,1)"),1)</f>
        <v>1</v>
      </c>
      <c r="K103" s="7">
        <f ca="1">IFERROR(__xludf.dummyfunction("ifna(index(filter('Посещаемость_баллы'!$A:$L,'Посещаемость_баллы'!$B:$B=$B103,'Посещаемость_баллы'!$C:$C=$C103,'Посещаемость_баллы'!$D:$D=$D103),1,12)*10,0)"),8)</f>
        <v>8</v>
      </c>
      <c r="L103" s="7">
        <f>ROUNDDOWN(IFERROR(VALUE(VLOOKUP(H103,'Онлайн-курс1'!B:F,5,FALSE())),IFERROR(VALUE(VLOOKUP(H103,'Онлайн-курс1'!C:F,4,FALSE())),0))/40*20,0)
+ IFERROR(VALUE(SUBSTITUTE(VLOOKUP(H103,'Онлайн-курс2'!B:I,8,FALSE()),".",",")),IFERROR(VALUE(SUBSTITUTE(VLOOKUP(H103,'Онлайн-курс2'!C:I,7,FALSE()),".",",")),0))*2</f>
        <v>20</v>
      </c>
      <c r="M103" s="8" t="s">
        <v>568</v>
      </c>
      <c r="N103" s="9">
        <v>1</v>
      </c>
      <c r="O103" s="4" t="s">
        <v>570</v>
      </c>
      <c r="P103" s="4">
        <v>0</v>
      </c>
      <c r="Q103" s="10" t="str">
        <f ca="1">IFERROR(__xludf.dummyfunction("iferror(index(QUERY(commits!A$2:$K1001, ""select Count(C) where lower(D) = lower('""&amp;G103&amp;""')""),2,1),""-"")"),"-")</f>
        <v>-</v>
      </c>
      <c r="R103" s="4" t="s">
        <v>39</v>
      </c>
      <c r="S103" s="4" t="s">
        <v>539</v>
      </c>
      <c r="T103" s="4">
        <f ca="1">VLOOKUP(A103,Расчёт_оценок!A:C,3,FALSE())</f>
        <v>6</v>
      </c>
      <c r="U103" s="4">
        <f ca="1">IFERROR(VLOOKUP(J103,Проекты!A:P,16,FALSE()),0)</f>
        <v>4</v>
      </c>
      <c r="V103" s="4" t="s">
        <v>103</v>
      </c>
      <c r="W103" s="4">
        <v>9</v>
      </c>
      <c r="X103" s="4">
        <v>10</v>
      </c>
      <c r="Y103" s="4">
        <v>2.7</v>
      </c>
      <c r="Z103" s="4">
        <v>1</v>
      </c>
      <c r="AA103" s="4">
        <v>5</v>
      </c>
      <c r="AB103" s="4">
        <v>2</v>
      </c>
      <c r="AC103" s="4">
        <v>3.95</v>
      </c>
      <c r="AD103" s="4">
        <v>4</v>
      </c>
      <c r="AE103" s="4">
        <v>1</v>
      </c>
      <c r="AF103" s="4">
        <v>5</v>
      </c>
      <c r="AG103" s="4">
        <v>0.3</v>
      </c>
      <c r="AH103" s="4">
        <f ca="1">IFERROR(__xludf.dummyfunction("if(isna(filter(prs!C:U,prs!I:I=G103,prs!G:G&gt;DATE(2024,3,28),prs!G:G&lt;DATE(2024,4,26))),0,countunique(index(filter(prs!C:U,prs!I:I=G103,prs!G:G&gt;DATE(2024,3,28),prs!G:G&lt;DATE(2024,4,26)),,1)))"),2)</f>
        <v>2</v>
      </c>
      <c r="AI103" s="4">
        <f ca="1">IFERROR(__xludf.dummyfunction("if(isna(filter(prs!C:U,prs!I:I=G103,prs!R:R&lt;&gt;""Empty field"",prs!G:G&gt;DATE(2024,3,28),prs!G:G&lt;DATE(2024,4,26))),0,countunique(index(filter(prs!C:U,prs!I:I=G103,prs!R:R&lt;&gt;""Empty field"",prs!G:G&gt;DATE(2024,3,28),prs!G:G&lt;DATE(2024,4,26)),,1)))"),2)</f>
        <v>2</v>
      </c>
      <c r="AJ103" s="4">
        <f t="shared" ca="1" si="25"/>
        <v>3</v>
      </c>
      <c r="AK103" s="4">
        <f ca="1">IFERROR(__xludf.dummyfunction("min(6,round((AG103+AJ103)/6 + filter('Проекты'!AS:AS,'Проекты'!A:A=J103),1))"),5.6)</f>
        <v>5.6</v>
      </c>
      <c r="AL103" s="4">
        <f ca="1">IFERROR(__xludf.dummyfunction("filter('Проекты'!AT:AT,'Проекты'!A:A=J103)"),4)</f>
        <v>4</v>
      </c>
      <c r="AM103" s="4">
        <f ca="1">IFERROR(__xludf.dummyfunction("ifna(filter(commits_results!H:I,commits_results!B:B=A103,commits_results!A:A=J103),)"),2)</f>
        <v>2</v>
      </c>
      <c r="AN103" s="4">
        <f ca="1">IFERROR(__xludf.dummyfunction("""COMPUTED_VALUE"""),2)</f>
        <v>2</v>
      </c>
      <c r="AO103" s="4">
        <f t="shared" ca="1" si="26"/>
        <v>3</v>
      </c>
      <c r="AP103" s="4">
        <f ca="1">IFERROR(__xludf.dummyfunction("if(isna(filter(prs!C:U,prs!I:I=G103,prs!G:G&gt;DATE(2024,4,25),prs!G:G&lt;DATE(2024,5,23))),0,countunique(index(filter(prs!C:U,prs!I:I=G103,prs!G:G&gt;DATE(2024,4,25),prs!G:G&lt;DATE(2024,5,23)),,1)))"),2)</f>
        <v>2</v>
      </c>
      <c r="AQ103" s="4">
        <f ca="1">IFERROR(__xludf.dummyfunction("if(isna(filter(prs!C:U,prs!I:I=G103,prs!R:R&lt;&gt;""Empty field"",prs!G:G&gt;DATE(2024,4,25),prs!G:G&lt;DATE(2024,5,23))),0,countunique(index(filter(prs!C:U,prs!I:I=G103,prs!R:R&lt;&gt;""Empty field"",prs!G:G&gt;DATE(2024,4,25),prs!G:G&lt;DATE(2024,5,23)),,1)))"),2)</f>
        <v>2</v>
      </c>
      <c r="AR103" s="4">
        <f t="shared" ca="1" si="27"/>
        <v>3</v>
      </c>
      <c r="AS103" s="4">
        <f ca="1">IFERROR(__xludf.dummyfunction("round( (AO103+AR103) / 6 + filter('Проекты'!BA:BA,'Проекты'!A:A=J103), 1)"),5.3)</f>
        <v>5.3</v>
      </c>
      <c r="AT103" s="4">
        <f ca="1">IFERROR(__xludf.dummyfunction("filter('Проекты'!BB:BB,'Проекты'!A:A=J103)"),2.9)</f>
        <v>2.9</v>
      </c>
      <c r="AU103" s="4">
        <f ca="1">IFERROR(__xludf.dummyfunction("filter('Проекты'!BD:BD,'Проекты'!A:A=J103) + filter('Проекты'!BE:BE,'Проекты'!A:A=J103)"),0)</f>
        <v>0</v>
      </c>
      <c r="AV103" s="11">
        <f t="shared" ca="1" si="28"/>
        <v>64</v>
      </c>
      <c r="AW103" s="4" t="str">
        <f t="shared" ca="1" si="24"/>
        <v>Удовлетворительно</v>
      </c>
    </row>
    <row r="104" spans="1:79" ht="15.75" customHeight="1">
      <c r="A104" s="20" t="s">
        <v>571</v>
      </c>
      <c r="B104" s="6" t="s">
        <v>571</v>
      </c>
      <c r="C104" s="6"/>
      <c r="D104" s="20">
        <v>9303</v>
      </c>
      <c r="E104" s="20" t="s">
        <v>572</v>
      </c>
      <c r="F104" s="20" t="s">
        <v>572</v>
      </c>
      <c r="G104" s="20" t="s">
        <v>573</v>
      </c>
      <c r="H104" s="20" t="s">
        <v>574</v>
      </c>
      <c r="I104" s="4" t="s">
        <v>1119</v>
      </c>
      <c r="J104" s="7">
        <f ca="1">IFERROR(__xludf.dummyfunction("index(split(I104,char(9)),1,1)"),9)</f>
        <v>9</v>
      </c>
      <c r="K104" s="7">
        <f ca="1">IFERROR(__xludf.dummyfunction("ifna(index(filter('Посещаемость_баллы'!$A:$L,'Посещаемость_баллы'!$B:$B=$B104,'Посещаемость_баллы'!$C:$C=$C104,'Посещаемость_баллы'!$D:$D=$D104),1,12)*10,0)"),10)</f>
        <v>10</v>
      </c>
      <c r="L104" s="7">
        <f>ROUNDDOWN(IFERROR(VALUE(VLOOKUP(H104,'Онлайн-курс1'!B:F,5,FALSE())),IFERROR(VALUE(VLOOKUP(H104,'Онлайн-курс1'!C:F,4,FALSE())),0))/40*20,0)
+ IFERROR(VALUE(SUBSTITUTE(VLOOKUP(H104,'Онлайн-курс2'!B:I,8,FALSE()),".",",")),IFERROR(VALUE(SUBSTITUTE(VLOOKUP(H104,'Онлайн-курс2'!C:I,7,FALSE()),".",",")),0))*2</f>
        <v>20</v>
      </c>
      <c r="M104" s="8" t="s">
        <v>573</v>
      </c>
      <c r="N104" s="9">
        <v>1</v>
      </c>
      <c r="O104" s="4" t="s">
        <v>575</v>
      </c>
      <c r="P104" s="4">
        <v>0</v>
      </c>
      <c r="Q104" s="10" t="str">
        <f ca="1">IFERROR(__xludf.dummyfunction("iferror(index(QUERY(commits!A$2:$K1001, ""select Count(C) where lower(D) = lower('""&amp;G104&amp;""')""),2,1),""-"")"),"-")</f>
        <v>-</v>
      </c>
      <c r="R104" s="4" t="s">
        <v>576</v>
      </c>
      <c r="S104" s="4" t="s">
        <v>577</v>
      </c>
      <c r="T104" s="4">
        <f ca="1">VLOOKUP(A104,Расчёт_оценок!A:C,3,FALSE())</f>
        <v>6</v>
      </c>
      <c r="U104" s="4">
        <f ca="1">IFERROR(VLOOKUP(J104,Проекты!A:P,16,FALSE()),0)</f>
        <v>4</v>
      </c>
      <c r="V104" s="4" t="s">
        <v>578</v>
      </c>
      <c r="W104" s="4">
        <v>0</v>
      </c>
      <c r="X104" s="4">
        <v>30</v>
      </c>
      <c r="Y104" s="4">
        <v>0</v>
      </c>
      <c r="Z104" s="4">
        <v>3</v>
      </c>
      <c r="AA104" s="4">
        <v>28</v>
      </c>
      <c r="AB104" s="4">
        <v>2</v>
      </c>
      <c r="AC104" s="4">
        <v>2.5</v>
      </c>
      <c r="AD104" s="4">
        <v>2.2999999999999998</v>
      </c>
      <c r="AE104" s="4">
        <v>13</v>
      </c>
      <c r="AF104" s="4">
        <v>16</v>
      </c>
      <c r="AG104" s="4">
        <v>3</v>
      </c>
      <c r="AH104" s="4">
        <f ca="1">IFERROR(__xludf.dummyfunction("if(isna(filter(prs!C:U,prs!I:I=G104,prs!G:G&gt;DATE(2024,3,28),prs!G:G&lt;DATE(2024,4,26))),0,countunique(index(filter(prs!C:U,prs!I:I=G104,prs!G:G&gt;DATE(2024,3,28),prs!G:G&lt;DATE(2024,4,26)),,1)))"),6)</f>
        <v>6</v>
      </c>
      <c r="AI104" s="4">
        <f ca="1">IFERROR(__xludf.dummyfunction("if(isna(filter(prs!C:U,prs!I:I=G104,prs!R:R&lt;&gt;""Empty field"",prs!G:G&gt;DATE(2024,3,28),prs!G:G&lt;DATE(2024,4,26))),0,countunique(index(filter(prs!C:U,prs!I:I=G104,prs!R:R&lt;&gt;""Empty field"",prs!G:G&gt;DATE(2024,3,28),prs!G:G&lt;DATE(2024,4,26)),,1)))"),4)</f>
        <v>4</v>
      </c>
      <c r="AJ104" s="4">
        <f t="shared" ca="1" si="25"/>
        <v>3</v>
      </c>
      <c r="AK104" s="4">
        <f ca="1">IFERROR(__xludf.dummyfunction("min(6,round((AG104+AJ104)/6 + filter('Проекты'!AS:AS,'Проекты'!A:A=J104),1))"),5.6)</f>
        <v>5.6</v>
      </c>
      <c r="AL104" s="4">
        <f ca="1">IFERROR(__xludf.dummyfunction("filter('Проекты'!AT:AT,'Проекты'!A:A=J104)"),3.9)</f>
        <v>3.9</v>
      </c>
      <c r="AM104" s="4">
        <f ca="1">IFERROR(__xludf.dummyfunction("ifna(filter(commits_results!H:I,commits_results!B:B=A104,commits_results!A:A=J104),)"),11)</f>
        <v>11</v>
      </c>
      <c r="AN104" s="4">
        <f ca="1">IFERROR(__xludf.dummyfunction("""COMPUTED_VALUE"""),14)</f>
        <v>14</v>
      </c>
      <c r="AO104" s="4">
        <f t="shared" ca="1" si="26"/>
        <v>3</v>
      </c>
      <c r="AP104" s="4">
        <f ca="1">IFERROR(__xludf.dummyfunction("if(isna(filter(prs!C:U,prs!I:I=G104,prs!G:G&gt;DATE(2024,4,25),prs!G:G&lt;DATE(2024,5,23))),0,countunique(index(filter(prs!C:U,prs!I:I=G104,prs!G:G&gt;DATE(2024,4,25),prs!G:G&lt;DATE(2024,5,23)),,1)))"),6)</f>
        <v>6</v>
      </c>
      <c r="AQ104" s="4">
        <f ca="1">IFERROR(__xludf.dummyfunction("if(isna(filter(prs!C:U,prs!I:I=G104,prs!R:R&lt;&gt;""Empty field"",prs!G:G&gt;DATE(2024,4,25),prs!G:G&lt;DATE(2024,5,23))),0,countunique(index(filter(prs!C:U,prs!I:I=G104,prs!R:R&lt;&gt;""Empty field"",prs!G:G&gt;DATE(2024,4,25),prs!G:G&lt;DATE(2024,5,23)),,1)))"),4)</f>
        <v>4</v>
      </c>
      <c r="AR104" s="4">
        <f t="shared" ca="1" si="27"/>
        <v>3</v>
      </c>
      <c r="AS104" s="4">
        <f ca="1">IFERROR(__xludf.dummyfunction("round( (AO104+AR104) / 6 + filter('Проекты'!BA:BA,'Проекты'!A:A=J104), 1)"),5.5)</f>
        <v>5.5</v>
      </c>
      <c r="AT104" s="4">
        <f ca="1">IFERROR(__xludf.dummyfunction("filter('Проекты'!BB:BB,'Проекты'!A:A=J104)"),4)</f>
        <v>4</v>
      </c>
      <c r="AU104" s="4">
        <f ca="1">IFERROR(__xludf.dummyfunction("filter('Проекты'!BD:BD,'Проекты'!A:A=J104) + filter('Проекты'!BE:BE,'Проекты'!A:A=J104)"),0)</f>
        <v>0</v>
      </c>
      <c r="AV104" s="11">
        <f t="shared" ca="1" si="28"/>
        <v>64</v>
      </c>
      <c r="AW104" s="4" t="str">
        <f t="shared" ca="1" si="24"/>
        <v>Удовлетворительно</v>
      </c>
    </row>
    <row r="105" spans="1:79" ht="15.75" customHeight="1">
      <c r="A105" s="20" t="s">
        <v>579</v>
      </c>
      <c r="B105" s="6" t="s">
        <v>579</v>
      </c>
      <c r="C105" s="6"/>
      <c r="D105" s="20">
        <v>9303</v>
      </c>
      <c r="E105" s="20" t="s">
        <v>580</v>
      </c>
      <c r="F105" s="20" t="s">
        <v>580</v>
      </c>
      <c r="G105" s="20" t="s">
        <v>581</v>
      </c>
      <c r="H105" s="20" t="s">
        <v>582</v>
      </c>
      <c r="I105" s="4" t="s">
        <v>1120</v>
      </c>
      <c r="J105" s="7" t="str">
        <f ca="1">IFERROR(__xludf.dummyfunction("index(split(I105,char(9)),1,1)"),"FastTrack")</f>
        <v>FastTrack</v>
      </c>
      <c r="K105" s="7">
        <f ca="1">IFERROR(__xludf.dummyfunction("ifna(index(filter('Посещаемость_баллы'!$A:$L,'Посещаемость_баллы'!$B:$B=$B105,'Посещаемость_баллы'!$C:$C=$C105,'Посещаемость_баллы'!$D:$D=$D105),1,12)*10,0)"),0)</f>
        <v>0</v>
      </c>
      <c r="L105" s="7">
        <f>ROUNDDOWN(IFERROR(VALUE(VLOOKUP(H105,'Онлайн-курс1'!B:F,5,FALSE())),IFERROR(VALUE(VLOOKUP(H105,'Онлайн-курс1'!C:F,4,FALSE())),0))/40*20,0)
+ IFERROR(VALUE(SUBSTITUTE(VLOOKUP(H105,'Онлайн-курс2'!B:I,8,FALSE()),".",",")),IFERROR(VALUE(SUBSTITUTE(VLOOKUP(H105,'Онлайн-курс2'!C:I,7,FALSE()),".",",")),0))*2</f>
        <v>20</v>
      </c>
      <c r="M105" s="8" t="s">
        <v>581</v>
      </c>
      <c r="N105" s="9">
        <v>1</v>
      </c>
      <c r="O105" s="4" t="s">
        <v>583</v>
      </c>
      <c r="P105" s="4">
        <v>0</v>
      </c>
      <c r="Q105" s="10" t="str">
        <f ca="1">IFERROR(__xludf.dummyfunction("iferror(index(QUERY(commits!A$2:$K1001, ""select Count(C) where lower(D) = lower('""&amp;G105&amp;""')""),2,1),""-"")"),"-")</f>
        <v>-</v>
      </c>
      <c r="R105" s="4" t="s">
        <v>54</v>
      </c>
      <c r="S105" s="4" t="s">
        <v>539</v>
      </c>
      <c r="T105" s="4">
        <f ca="1">VLOOKUP(A105,Расчёт_оценок!A:C,3,FALSE())</f>
        <v>0</v>
      </c>
      <c r="U105" s="4">
        <v>2</v>
      </c>
      <c r="V105" s="4" t="s">
        <v>54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/>
      <c r="AD105" s="4">
        <v>0</v>
      </c>
      <c r="AE105" s="4"/>
      <c r="AF105" s="4"/>
      <c r="AG105" s="4">
        <v>0</v>
      </c>
      <c r="AH105" s="4">
        <f ca="1">IFERROR(__xludf.dummyfunction("if(isna(filter(prs!C:U,prs!I:I=G105,prs!G:G&gt;DATE(2024,3,28),prs!G:G&lt;DATE(2024,4,26))),0,countunique(index(filter(prs!C:U,prs!I:I=G105,prs!G:G&gt;DATE(2024,3,28),prs!G:G&lt;DATE(2024,4,26)),,1)))"),0)</f>
        <v>0</v>
      </c>
      <c r="AI105" s="4">
        <f ca="1">IFERROR(__xludf.dummyfunction("if(isna(filter(prs!C:U,prs!I:I=G105,prs!R:R&lt;&gt;""Empty field"",prs!G:G&gt;DATE(2024,3,28),prs!G:G&lt;DATE(2024,4,26))),0,countunique(index(filter(prs!C:U,prs!I:I=G105,prs!R:R&lt;&gt;""Empty field"",prs!G:G&gt;DATE(2024,3,28),prs!G:G&lt;DATE(2024,4,26)),,1)))"),0)</f>
        <v>0</v>
      </c>
      <c r="AJ105" s="4">
        <f t="shared" ca="1" si="25"/>
        <v>0</v>
      </c>
      <c r="AK105" s="4"/>
      <c r="AL105" s="4">
        <v>0</v>
      </c>
      <c r="AM105" s="4" t="str">
        <f ca="1">IFERROR(__xludf.dummyfunction("ifna(filter(commits_results!H:I,commits_results!B:B=A105,commits_results!A:A=J105),)"),"")</f>
        <v/>
      </c>
      <c r="AN105" s="4"/>
      <c r="AO105" s="4">
        <f t="shared" ca="1" si="26"/>
        <v>0</v>
      </c>
      <c r="AP105" s="4">
        <f ca="1">IFERROR(__xludf.dummyfunction("if(isna(filter(prs!C:U,prs!I:I=G105,prs!G:G&gt;DATE(2024,4,25),prs!G:G&lt;DATE(2024,5,23))),0,countunique(index(filter(prs!C:U,prs!I:I=G105,prs!G:G&gt;DATE(2024,4,25),prs!G:G&lt;DATE(2024,5,23)),,1)))"),0)</f>
        <v>0</v>
      </c>
      <c r="AQ105" s="4">
        <f ca="1">IFERROR(__xludf.dummyfunction("if(isna(filter(prs!C:U,prs!I:I=G105,prs!R:R&lt;&gt;""Empty field"",prs!G:G&gt;DATE(2024,4,25),prs!G:G&lt;DATE(2024,5,23))),0,countunique(index(filter(prs!C:U,prs!I:I=G105,prs!R:R&lt;&gt;""Empty field"",prs!G:G&gt;DATE(2024,4,25),prs!G:G&lt;DATE(2024,5,23)),,1)))"),0)</f>
        <v>0</v>
      </c>
      <c r="AR105" s="4">
        <f t="shared" ca="1" si="27"/>
        <v>0</v>
      </c>
      <c r="AS105" s="4">
        <f ca="1">IFERROR(__xludf.dummyfunction("round( (AO105+AR105) / 6 + filter('Проекты'!BA:BA,'Проекты'!A:A=J105), 1)"),0)</f>
        <v>0</v>
      </c>
      <c r="AT105" s="4">
        <v>0</v>
      </c>
      <c r="AU105" s="4">
        <f ca="1">IFERROR(__xludf.dummyfunction("filter('Проекты'!BD:BD,'Проекты'!A:A=J105) + filter('Проекты'!BE:BE,'Проекты'!A:A=J105)"),0)</f>
        <v>0</v>
      </c>
      <c r="AV105" s="11">
        <f t="shared" ca="1" si="28"/>
        <v>22</v>
      </c>
      <c r="AW105" s="4" t="str">
        <f t="shared" ca="1" si="24"/>
        <v>Неудовлетворительно</v>
      </c>
    </row>
    <row r="106" spans="1:79" ht="15.75" customHeight="1">
      <c r="A106" s="20" t="s">
        <v>584</v>
      </c>
      <c r="B106" s="6" t="s">
        <v>584</v>
      </c>
      <c r="C106" s="6"/>
      <c r="D106" s="20">
        <v>9303</v>
      </c>
      <c r="E106" s="20" t="s">
        <v>585</v>
      </c>
      <c r="F106" s="20" t="s">
        <v>585</v>
      </c>
      <c r="G106" s="20" t="s">
        <v>586</v>
      </c>
      <c r="H106" s="20" t="s">
        <v>587</v>
      </c>
      <c r="I106" s="4" t="s">
        <v>1121</v>
      </c>
      <c r="J106" s="7">
        <f ca="1">IFERROR(__xludf.dummyfunction("index(split(I106,char(9)),1,1)"),6)</f>
        <v>6</v>
      </c>
      <c r="K106" s="7">
        <f ca="1">IFERROR(__xludf.dummyfunction("ifna(index(filter('Посещаемость_баллы'!$A:$L,'Посещаемость_баллы'!$B:$B=$B106,'Посещаемость_баллы'!$C:$C=$C106,'Посещаемость_баллы'!$D:$D=$D106),1,12)*10,0)"),0)</f>
        <v>0</v>
      </c>
      <c r="L106" s="7">
        <f>ROUNDDOWN(IFERROR(VALUE(VLOOKUP(H106,'Онлайн-курс1'!B:F,5,FALSE())),IFERROR(VALUE(VLOOKUP(H106,'Онлайн-курс1'!C:F,4,FALSE())),0))/40*20,0)
+ IFERROR(VALUE(SUBSTITUTE(VLOOKUP(H106,'Онлайн-курс2'!B:I,8,FALSE()),".",",")),IFERROR(VALUE(SUBSTITUTE(VLOOKUP(H106,'Онлайн-курс2'!C:I,7,FALSE()),".",",")),0))*2</f>
        <v>20</v>
      </c>
      <c r="M106" s="8" t="s">
        <v>586</v>
      </c>
      <c r="N106" s="9">
        <v>1</v>
      </c>
      <c r="O106" s="4" t="s">
        <v>588</v>
      </c>
      <c r="P106" s="4">
        <v>0</v>
      </c>
      <c r="Q106" s="10" t="str">
        <f ca="1">IFERROR(__xludf.dummyfunction("iferror(index(QUERY(commits!A$2:$K1001, ""select Count(C) where lower(D) = lower('""&amp;G106&amp;""')""),2,1),""-"")"),"-")</f>
        <v>-</v>
      </c>
      <c r="R106" s="4" t="s">
        <v>589</v>
      </c>
      <c r="S106" s="4" t="s">
        <v>590</v>
      </c>
      <c r="T106" s="4">
        <f ca="1">VLOOKUP(A106,Расчёт_оценок!A:C,3,FALSE())</f>
        <v>6</v>
      </c>
      <c r="U106" s="4">
        <f ca="1">IFERROR(VLOOKUP(J106,Проекты!A:P,16,FALSE()),0)</f>
        <v>4</v>
      </c>
      <c r="V106" s="4" t="s">
        <v>591</v>
      </c>
      <c r="W106" s="4">
        <v>49</v>
      </c>
      <c r="X106" s="4">
        <v>49</v>
      </c>
      <c r="Y106" s="4">
        <v>3</v>
      </c>
      <c r="Z106" s="4">
        <v>7</v>
      </c>
      <c r="AA106" s="4">
        <v>15</v>
      </c>
      <c r="AB106" s="4">
        <v>2</v>
      </c>
      <c r="AC106" s="4">
        <v>4.5</v>
      </c>
      <c r="AD106" s="4">
        <v>3.2</v>
      </c>
      <c r="AE106" s="4">
        <v>13</v>
      </c>
      <c r="AF106" s="4">
        <v>14</v>
      </c>
      <c r="AG106" s="4">
        <v>3</v>
      </c>
      <c r="AH106" s="4">
        <f ca="1">IFERROR(__xludf.dummyfunction("if(isna(filter(prs!C:U,prs!I:I=G106,prs!G:G&gt;DATE(2024,3,28),prs!G:G&lt;DATE(2024,4,26))),0,countunique(index(filter(prs!C:U,prs!I:I=G106,prs!G:G&gt;DATE(2024,3,28),prs!G:G&lt;DATE(2024,4,26)),,1)))"),6)</f>
        <v>6</v>
      </c>
      <c r="AI106" s="4">
        <f ca="1">IFERROR(__xludf.dummyfunction("if(isna(filter(prs!C:U,prs!I:I=G106,prs!R:R&lt;&gt;""Empty field"",prs!G:G&gt;DATE(2024,3,28),prs!G:G&lt;DATE(2024,4,26))),0,countunique(index(filter(prs!C:U,prs!I:I=G106,prs!R:R&lt;&gt;""Empty field"",prs!G:G&gt;DATE(2024,3,28),prs!G:G&lt;DATE(2024,4,26)),,1)))"),6)</f>
        <v>6</v>
      </c>
      <c r="AJ106" s="4">
        <f t="shared" ca="1" si="25"/>
        <v>3</v>
      </c>
      <c r="AK106" s="4">
        <f ca="1">IFERROR(__xludf.dummyfunction("min(6,round((AG106+AJ106)/6 + filter('Проекты'!AS:AS,'Проекты'!A:A=J106),1))"),4.5)</f>
        <v>4.5</v>
      </c>
      <c r="AL106" s="4">
        <f ca="1">IFERROR(__xludf.dummyfunction("filter('Проекты'!AT:AT,'Проекты'!A:A=J106)"),3.7)</f>
        <v>3.7</v>
      </c>
      <c r="AM106" s="4">
        <f ca="1">IFERROR(__xludf.dummyfunction("ifna(filter(commits_results!H:I,commits_results!B:B=A106,commits_results!A:A=J106),)"),12)</f>
        <v>12</v>
      </c>
      <c r="AN106" s="4">
        <f ca="1">IFERROR(__xludf.dummyfunction("""COMPUTED_VALUE"""),12)</f>
        <v>12</v>
      </c>
      <c r="AO106" s="4">
        <f t="shared" ca="1" si="26"/>
        <v>3</v>
      </c>
      <c r="AP106" s="4">
        <f ca="1">IFERROR(__xludf.dummyfunction("if(isna(filter(prs!C:U,prs!I:I=G106,prs!G:G&gt;DATE(2024,4,25),prs!G:G&lt;DATE(2024,5,23))),0,countunique(index(filter(prs!C:U,prs!I:I=G106,prs!G:G&gt;DATE(2024,4,25),prs!G:G&lt;DATE(2024,5,23)),,1)))"),6)</f>
        <v>6</v>
      </c>
      <c r="AQ106" s="4">
        <f ca="1">IFERROR(__xludf.dummyfunction("if(isna(filter(prs!C:U,prs!I:I=G106,prs!R:R&lt;&gt;""Empty field"",prs!G:G&gt;DATE(2024,4,25),prs!G:G&lt;DATE(2024,5,23))),0,countunique(index(filter(prs!C:U,prs!I:I=G106,prs!R:R&lt;&gt;""Empty field"",prs!G:G&gt;DATE(2024,4,25),prs!G:G&lt;DATE(2024,5,23)),,1)))"),6)</f>
        <v>6</v>
      </c>
      <c r="AR106" s="4">
        <f t="shared" ca="1" si="27"/>
        <v>3</v>
      </c>
      <c r="AS106" s="4">
        <f ca="1">IFERROR(__xludf.dummyfunction("round( (AO106+AR106) / 6 + filter('Проекты'!BA:BA,'Проекты'!A:A=J106), 1)"),3.8)</f>
        <v>3.8</v>
      </c>
      <c r="AT106" s="4">
        <f ca="1">IFERROR(__xludf.dummyfunction("filter('Проекты'!BB:BB,'Проекты'!A:A=J106)"),3)</f>
        <v>3</v>
      </c>
      <c r="AU106" s="4">
        <f ca="1">IFERROR(__xludf.dummyfunction("filter('Проекты'!BD:BD,'Проекты'!A:A=J106) + filter('Проекты'!BE:BE,'Проекты'!A:A=J106)"),11)</f>
        <v>11</v>
      </c>
      <c r="AV106" s="11">
        <f t="shared" ca="1" si="28"/>
        <v>64</v>
      </c>
      <c r="AW106" s="4" t="str">
        <f t="shared" ca="1" si="24"/>
        <v>Удовлетворительно</v>
      </c>
    </row>
    <row r="107" spans="1:79" ht="15.75" customHeight="1">
      <c r="A107" s="20" t="s">
        <v>592</v>
      </c>
      <c r="B107" s="6" t="s">
        <v>592</v>
      </c>
      <c r="C107" s="6"/>
      <c r="D107" s="20">
        <v>9303</v>
      </c>
      <c r="E107" s="20" t="s">
        <v>593</v>
      </c>
      <c r="F107" s="20" t="s">
        <v>593</v>
      </c>
      <c r="G107" s="20" t="s">
        <v>594</v>
      </c>
      <c r="H107" s="20" t="s">
        <v>595</v>
      </c>
      <c r="I107" s="4" t="s">
        <v>1122</v>
      </c>
      <c r="J107" s="7">
        <f ca="1">IFERROR(__xludf.dummyfunction("index(split(I107,char(9)),1,1)"),6)</f>
        <v>6</v>
      </c>
      <c r="K107" s="7">
        <f ca="1">IFERROR(__xludf.dummyfunction("ifna(index(filter('Посещаемость_баллы'!$A:$L,'Посещаемость_баллы'!$B:$B=$B107,'Посещаемость_баллы'!$C:$C=$C107,'Посещаемость_баллы'!$D:$D=$D107),1,12)*10,0)"),6)</f>
        <v>6</v>
      </c>
      <c r="L107" s="7">
        <f>ROUNDDOWN(IFERROR(VALUE(VLOOKUP(H107,'Онлайн-курс1'!B:F,5,FALSE())),IFERROR(VALUE(VLOOKUP(H107,'Онлайн-курс1'!C:F,4,FALSE())),0))/40*20,0)
+ IFERROR(VALUE(SUBSTITUTE(VLOOKUP(H107,'Онлайн-курс2'!B:I,8,FALSE()),".",",")),IFERROR(VALUE(SUBSTITUTE(VLOOKUP(H107,'Онлайн-курс2'!C:I,7,FALSE()),".",",")),0))*2</f>
        <v>20</v>
      </c>
      <c r="M107" s="8" t="s">
        <v>594</v>
      </c>
      <c r="N107" s="9">
        <v>1</v>
      </c>
      <c r="O107" s="4" t="s">
        <v>596</v>
      </c>
      <c r="P107" s="4">
        <v>0</v>
      </c>
      <c r="Q107" s="10" t="str">
        <f ca="1">IFERROR(__xludf.dummyfunction("iferror(index(QUERY(commits!A$2:$K1001, ""select Count(C) where lower(D) = lower('""&amp;G107&amp;""')""),2,1),""-"")"),"-")</f>
        <v>-</v>
      </c>
      <c r="R107" s="4" t="s">
        <v>597</v>
      </c>
      <c r="S107" s="4" t="s">
        <v>577</v>
      </c>
      <c r="T107" s="4">
        <f ca="1">VLOOKUP(A107,Расчёт_оценок!A:C,3,FALSE())</f>
        <v>6</v>
      </c>
      <c r="U107" s="4">
        <f ca="1">IFERROR(VLOOKUP(J107,Проекты!A:P,16,FALSE()),0)</f>
        <v>4</v>
      </c>
      <c r="V107" s="4" t="s">
        <v>598</v>
      </c>
      <c r="W107" s="4">
        <v>25</v>
      </c>
      <c r="X107" s="4">
        <v>26</v>
      </c>
      <c r="Y107" s="4">
        <v>3</v>
      </c>
      <c r="Z107" s="4">
        <v>5</v>
      </c>
      <c r="AA107" s="4">
        <v>10</v>
      </c>
      <c r="AB107" s="4">
        <v>2</v>
      </c>
      <c r="AC107" s="4">
        <v>4</v>
      </c>
      <c r="AD107" s="4">
        <v>3.2</v>
      </c>
      <c r="AE107" s="4">
        <v>13</v>
      </c>
      <c r="AF107" s="4">
        <v>14</v>
      </c>
      <c r="AG107" s="4">
        <v>3</v>
      </c>
      <c r="AH107" s="4">
        <f ca="1">IFERROR(__xludf.dummyfunction("if(isna(filter(prs!C:U,prs!I:I=G107,prs!G:G&gt;DATE(2024,3,28),prs!G:G&lt;DATE(2024,4,26))),0,countunique(index(filter(prs!C:U,prs!I:I=G107,prs!G:G&gt;DATE(2024,3,28),prs!G:G&lt;DATE(2024,4,26)),,1)))"),6)</f>
        <v>6</v>
      </c>
      <c r="AI107" s="4">
        <f ca="1">IFERROR(__xludf.dummyfunction("if(isna(filter(prs!C:U,prs!I:I=G107,prs!R:R&lt;&gt;""Empty field"",prs!G:G&gt;DATE(2024,3,28),prs!G:G&lt;DATE(2024,4,26))),0,countunique(index(filter(prs!C:U,prs!I:I=G107,prs!R:R&lt;&gt;""Empty field"",prs!G:G&gt;DATE(2024,3,28),prs!G:G&lt;DATE(2024,4,26)),,1)))"),6)</f>
        <v>6</v>
      </c>
      <c r="AJ107" s="4">
        <f t="shared" ca="1" si="25"/>
        <v>3</v>
      </c>
      <c r="AK107" s="4">
        <f ca="1">IFERROR(__xludf.dummyfunction("min(6,round((AG107+AJ107)/6 + filter('Проекты'!AS:AS,'Проекты'!A:A=J107),1))"),4.5)</f>
        <v>4.5</v>
      </c>
      <c r="AL107" s="4">
        <f ca="1">IFERROR(__xludf.dummyfunction("filter('Проекты'!AT:AT,'Проекты'!A:A=J107)"),3.7)</f>
        <v>3.7</v>
      </c>
      <c r="AM107" s="4">
        <f ca="1">IFERROR(__xludf.dummyfunction("ifna(filter(commits_results!H:I,commits_results!B:B=A107,commits_results!A:A=J107),)"),12)</f>
        <v>12</v>
      </c>
      <c r="AN107" s="4">
        <f ca="1">IFERROR(__xludf.dummyfunction("""COMPUTED_VALUE"""),12)</f>
        <v>12</v>
      </c>
      <c r="AO107" s="4">
        <f t="shared" ca="1" si="26"/>
        <v>3</v>
      </c>
      <c r="AP107" s="4">
        <f ca="1">IFERROR(__xludf.dummyfunction("if(isna(filter(prs!C:U,prs!I:I=G107,prs!G:G&gt;DATE(2024,4,25),prs!G:G&lt;DATE(2024,5,23))),0,countunique(index(filter(prs!C:U,prs!I:I=G107,prs!G:G&gt;DATE(2024,4,25),prs!G:G&lt;DATE(2024,5,23)),,1)))"),9)</f>
        <v>9</v>
      </c>
      <c r="AQ107" s="4">
        <f ca="1">IFERROR(__xludf.dummyfunction("if(isna(filter(prs!C:U,prs!I:I=G107,prs!R:R&lt;&gt;""Empty field"",prs!G:G&gt;DATE(2024,4,25),prs!G:G&lt;DATE(2024,5,23))),0,countunique(index(filter(prs!C:U,prs!I:I=G107,prs!R:R&lt;&gt;""Empty field"",prs!G:G&gt;DATE(2024,4,25),prs!G:G&lt;DATE(2024,5,23)),,1)))"),9)</f>
        <v>9</v>
      </c>
      <c r="AR107" s="4">
        <f t="shared" ca="1" si="27"/>
        <v>3</v>
      </c>
      <c r="AS107" s="4">
        <f ca="1">IFERROR(__xludf.dummyfunction("round( (AO107+AR107) / 6 + filter('Проекты'!BA:BA,'Проекты'!A:A=J107), 1)"),3.8)</f>
        <v>3.8</v>
      </c>
      <c r="AT107" s="4">
        <f ca="1">IFERROR(__xludf.dummyfunction("filter('Проекты'!BB:BB,'Проекты'!A:A=J107)"),3)</f>
        <v>3</v>
      </c>
      <c r="AU107" s="4">
        <f ca="1">IFERROR(__xludf.dummyfunction("filter('Проекты'!BD:BD,'Проекты'!A:A=J107) + filter('Проекты'!BE:BE,'Проекты'!A:A=J107)"),11)</f>
        <v>11</v>
      </c>
      <c r="AV107" s="11">
        <f t="shared" ca="1" si="28"/>
        <v>70</v>
      </c>
      <c r="AW107" s="4" t="str">
        <f t="shared" ca="1" si="24"/>
        <v>Удовлетворительно</v>
      </c>
    </row>
    <row r="108" spans="1:79" ht="15.75" customHeight="1">
      <c r="A108" s="20" t="s">
        <v>599</v>
      </c>
      <c r="B108" s="6" t="s">
        <v>599</v>
      </c>
      <c r="C108" s="6"/>
      <c r="D108" s="20">
        <v>9303</v>
      </c>
      <c r="E108" s="20" t="s">
        <v>600</v>
      </c>
      <c r="F108" s="20" t="s">
        <v>600</v>
      </c>
      <c r="G108" s="20" t="s">
        <v>601</v>
      </c>
      <c r="H108" s="20" t="s">
        <v>602</v>
      </c>
      <c r="I108" s="4" t="s">
        <v>1123</v>
      </c>
      <c r="J108" s="7">
        <f ca="1">IFERROR(__xludf.dummyfunction("index(split(I108,char(9)),1,1)"),3)</f>
        <v>3</v>
      </c>
      <c r="K108" s="7">
        <f ca="1">IFERROR(__xludf.dummyfunction("ifna(index(filter('Посещаемость_баллы'!$A:$L,'Посещаемость_баллы'!$B:$B=$B108,'Посещаемость_баллы'!$C:$C=$C108,'Посещаемость_баллы'!$D:$D=$D108),1,12)*10,0)"),8)</f>
        <v>8</v>
      </c>
      <c r="L108" s="7">
        <f>ROUNDDOWN(IFERROR(VALUE(VLOOKUP(H108,'Онлайн-курс1'!B:F,5,FALSE())),IFERROR(VALUE(VLOOKUP(H108,'Онлайн-курс1'!C:F,4,FALSE())),0))/40*20,0)
+ IFERROR(VALUE(SUBSTITUTE(VLOOKUP(H108,'Онлайн-курс2'!B:I,8,FALSE()),".",",")),IFERROR(VALUE(SUBSTITUTE(VLOOKUP(H108,'Онлайн-курс2'!C:I,7,FALSE()),".",",")),0))*2</f>
        <v>20</v>
      </c>
      <c r="M108" s="8" t="s">
        <v>601</v>
      </c>
      <c r="N108" s="9">
        <v>1</v>
      </c>
      <c r="O108" s="4" t="s">
        <v>603</v>
      </c>
      <c r="P108" s="4">
        <v>0</v>
      </c>
      <c r="Q108" s="10" t="str">
        <f ca="1">IFERROR(__xludf.dummyfunction("iferror(index(QUERY(commits!A$2:$K1001, ""select Count(C) where lower(D) = lower('""&amp;G108&amp;""')""),2,1),""-"")"),"-")</f>
        <v>-</v>
      </c>
      <c r="R108" s="4" t="s">
        <v>604</v>
      </c>
      <c r="S108" s="4" t="s">
        <v>539</v>
      </c>
      <c r="T108" s="4">
        <f ca="1">VLOOKUP(A108,Расчёт_оценок!A:C,3,FALSE())</f>
        <v>6</v>
      </c>
      <c r="U108" s="4">
        <f ca="1">IFERROR(VLOOKUP(J108,Проекты!A:P,16,FALSE()),0)</f>
        <v>4</v>
      </c>
      <c r="V108" s="4" t="s">
        <v>605</v>
      </c>
      <c r="W108" s="4">
        <v>36</v>
      </c>
      <c r="X108" s="4">
        <v>36</v>
      </c>
      <c r="Y108" s="4">
        <v>3</v>
      </c>
      <c r="Z108" s="4">
        <v>8</v>
      </c>
      <c r="AA108" s="4">
        <v>27</v>
      </c>
      <c r="AB108" s="4">
        <v>2</v>
      </c>
      <c r="AC108" s="4">
        <v>6</v>
      </c>
      <c r="AD108" s="4">
        <v>4</v>
      </c>
      <c r="AE108" s="4">
        <v>11</v>
      </c>
      <c r="AF108" s="4">
        <v>11</v>
      </c>
      <c r="AG108" s="4">
        <v>3</v>
      </c>
      <c r="AH108" s="4">
        <f ca="1">IFERROR(__xludf.dummyfunction("if(isna(filter(prs!C:U,prs!I:I=G108,prs!G:G&gt;DATE(2024,3,28),prs!G:G&lt;DATE(2024,4,26))),0,countunique(index(filter(prs!C:U,prs!I:I=G108,prs!G:G&gt;DATE(2024,3,28),prs!G:G&lt;DATE(2024,4,26)),,1)))"),6)</f>
        <v>6</v>
      </c>
      <c r="AI108" s="4">
        <f ca="1">IFERROR(__xludf.dummyfunction("if(isna(filter(prs!C:U,prs!I:I=G108,prs!R:R&lt;&gt;""Empty field"",prs!G:G&gt;DATE(2024,3,28),prs!G:G&lt;DATE(2024,4,26))),0,countunique(index(filter(prs!C:U,prs!I:I=G108,prs!R:R&lt;&gt;""Empty field"",prs!G:G&gt;DATE(2024,3,28),prs!G:G&lt;DATE(2024,4,26)),,1)))"),6)</f>
        <v>6</v>
      </c>
      <c r="AJ108" s="4">
        <f t="shared" ca="1" si="25"/>
        <v>3</v>
      </c>
      <c r="AK108" s="4">
        <f ca="1">IFERROR(__xludf.dummyfunction("min(6,round((AG108+AJ108)/6 + filter('Проекты'!AS:AS,'Проекты'!A:A=J108),1))"),6)</f>
        <v>6</v>
      </c>
      <c r="AL108" s="4">
        <f ca="1">IFERROR(__xludf.dummyfunction("filter('Проекты'!AT:AT,'Проекты'!A:A=J108)"),4)</f>
        <v>4</v>
      </c>
      <c r="AM108" s="4">
        <f ca="1">IFERROR(__xludf.dummyfunction("ifna(filter(commits_results!H:I,commits_results!B:B=A108,commits_results!A:A=J108),)"),19)</f>
        <v>19</v>
      </c>
      <c r="AN108" s="4">
        <f ca="1">IFERROR(__xludf.dummyfunction("""COMPUTED_VALUE"""),21)</f>
        <v>21</v>
      </c>
      <c r="AO108" s="4">
        <f t="shared" ca="1" si="26"/>
        <v>3</v>
      </c>
      <c r="AP108" s="4">
        <f ca="1">IFERROR(__xludf.dummyfunction("if(isna(filter(prs!C:U,prs!I:I=G108,prs!G:G&gt;DATE(2024,4,25),prs!G:G&lt;DATE(2024,5,23))),0,countunique(index(filter(prs!C:U,prs!I:I=G108,prs!G:G&gt;DATE(2024,4,25),prs!G:G&lt;DATE(2024,5,23)),,1)))"),3)</f>
        <v>3</v>
      </c>
      <c r="AQ108" s="4">
        <f ca="1">IFERROR(__xludf.dummyfunction("if(isna(filter(prs!C:U,prs!I:I=G108,prs!R:R&lt;&gt;""Empty field"",prs!G:G&gt;DATE(2024,4,25),prs!G:G&lt;DATE(2024,5,23))),0,countunique(index(filter(prs!C:U,prs!I:I=G108,prs!R:R&lt;&gt;""Empty field"",prs!G:G&gt;DATE(2024,4,25),prs!G:G&lt;DATE(2024,5,23)),,1)))"),2)</f>
        <v>2</v>
      </c>
      <c r="AR108" s="4">
        <f t="shared" ca="1" si="27"/>
        <v>3</v>
      </c>
      <c r="AS108" s="4">
        <f ca="1">IFERROR(__xludf.dummyfunction("round( (AO108+AR108) / 6 + filter('Проекты'!BA:BA,'Проекты'!A:A=J108), 1)"),6)</f>
        <v>6</v>
      </c>
      <c r="AT108" s="4">
        <f ca="1">IFERROR(__xludf.dummyfunction("filter('Проекты'!BB:BB,'Проекты'!A:A=J108)"),4)</f>
        <v>4</v>
      </c>
      <c r="AU108" s="4">
        <f ca="1">IFERROR(__xludf.dummyfunction("filter('Проекты'!BD:BD,'Проекты'!A:A=J108) + filter('Проекты'!BE:BE,'Проекты'!A:A=J108)"),16)</f>
        <v>16</v>
      </c>
      <c r="AV108" s="11">
        <f t="shared" ca="1" si="28"/>
        <v>84</v>
      </c>
      <c r="AW108" s="4" t="str">
        <f t="shared" ca="1" si="24"/>
        <v>Хорошо</v>
      </c>
    </row>
    <row r="109" spans="1:79" ht="15.75" customHeight="1">
      <c r="A109" s="20" t="s">
        <v>606</v>
      </c>
      <c r="B109" s="6" t="s">
        <v>606</v>
      </c>
      <c r="C109" s="6"/>
      <c r="D109" s="20">
        <v>9303</v>
      </c>
      <c r="E109" s="20" t="s">
        <v>607</v>
      </c>
      <c r="F109" s="20" t="s">
        <v>607</v>
      </c>
      <c r="G109" s="20" t="s">
        <v>608</v>
      </c>
      <c r="H109" s="20" t="s">
        <v>595</v>
      </c>
      <c r="I109" s="4" t="s">
        <v>1124</v>
      </c>
      <c r="J109" s="7" t="str">
        <f ca="1">IFERROR(__xludf.dummyfunction("index(split(I109,char(9)),1,1)"),"FastTrack")</f>
        <v>FastTrack</v>
      </c>
      <c r="K109" s="7">
        <f ca="1">IFERROR(__xludf.dummyfunction("ifna(index(filter('Посещаемость_баллы'!$A:$L,'Посещаемость_баллы'!$B:$B=$B109,'Посещаемость_баллы'!$C:$C=$C109,'Посещаемость_баллы'!$D:$D=$D109),1,12)*10,0)"),2)</f>
        <v>2</v>
      </c>
      <c r="L109" s="7">
        <f>ROUNDDOWN(IFERROR(VALUE(VLOOKUP(H109,'Онлайн-курс1'!B:F,5,FALSE())),IFERROR(VALUE(VLOOKUP(H109,'Онлайн-курс1'!C:F,4,FALSE())),0))/40*20,0)
+ IFERROR(VALUE(SUBSTITUTE(VLOOKUP(H109,'Онлайн-курс2'!B:I,8,FALSE()),".",",")),IFERROR(VALUE(SUBSTITUTE(VLOOKUP(H109,'Онлайн-курс2'!C:I,7,FALSE()),".",",")),0))*2</f>
        <v>20</v>
      </c>
      <c r="M109" s="8" t="s">
        <v>608</v>
      </c>
      <c r="N109" s="9">
        <v>0</v>
      </c>
      <c r="O109" s="4" t="s">
        <v>609</v>
      </c>
      <c r="P109" s="4">
        <v>0</v>
      </c>
      <c r="Q109" s="10" t="str">
        <f ca="1">IFERROR(__xludf.dummyfunction("iferror(index(QUERY(commits!A$2:$K1001, ""select Count(C) where lower(D) = lower('""&amp;G109&amp;""')""),2,1),""-"")"),"-")</f>
        <v>-</v>
      </c>
      <c r="R109" s="4" t="s">
        <v>54</v>
      </c>
      <c r="S109" s="4" t="s">
        <v>539</v>
      </c>
      <c r="T109" s="4">
        <f ca="1">VLOOKUP(A109,Расчёт_оценок!A:C,3,FALSE())</f>
        <v>0</v>
      </c>
      <c r="U109" s="4">
        <v>4</v>
      </c>
      <c r="V109" s="4" t="s">
        <v>54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/>
      <c r="AD109" s="4">
        <v>0</v>
      </c>
      <c r="AE109" s="4"/>
      <c r="AF109" s="4"/>
      <c r="AG109" s="4">
        <v>0</v>
      </c>
      <c r="AH109" s="4">
        <f ca="1">IFERROR(__xludf.dummyfunction("if(isna(filter(prs!C:U,prs!I:I=G109,prs!G:G&gt;DATE(2024,3,28),prs!G:G&lt;DATE(2024,4,26))),0,countunique(index(filter(prs!C:U,prs!I:I=G109,prs!G:G&gt;DATE(2024,3,28),prs!G:G&lt;DATE(2024,4,26)),,1)))"),0)</f>
        <v>0</v>
      </c>
      <c r="AI109" s="4">
        <f ca="1">IFERROR(__xludf.dummyfunction("if(isna(filter(prs!C:U,prs!I:I=G109,prs!R:R&lt;&gt;""Empty field"",prs!G:G&gt;DATE(2024,3,28),prs!G:G&lt;DATE(2024,4,26))),0,countunique(index(filter(prs!C:U,prs!I:I=G109,prs!R:R&lt;&gt;""Empty field"",prs!G:G&gt;DATE(2024,3,28),prs!G:G&lt;DATE(2024,4,26)),,1)))"),0)</f>
        <v>0</v>
      </c>
      <c r="AJ109" s="4">
        <f t="shared" ca="1" si="25"/>
        <v>0</v>
      </c>
      <c r="AK109" s="4"/>
      <c r="AL109" s="4">
        <v>0</v>
      </c>
      <c r="AM109" s="4" t="str">
        <f ca="1">IFERROR(__xludf.dummyfunction("ifna(filter(commits_results!H:I,commits_results!B:B=A109,commits_results!A:A=J109),)"),"")</f>
        <v/>
      </c>
      <c r="AN109" s="4"/>
      <c r="AO109" s="4">
        <f t="shared" ca="1" si="26"/>
        <v>0</v>
      </c>
      <c r="AP109" s="4">
        <f ca="1">IFERROR(__xludf.dummyfunction("if(isna(filter(prs!C:U,prs!I:I=G109,prs!G:G&gt;DATE(2024,4,25),prs!G:G&lt;DATE(2024,5,23))),0,countunique(index(filter(prs!C:U,prs!I:I=G109,prs!G:G&gt;DATE(2024,4,25),prs!G:G&lt;DATE(2024,5,23)),,1)))"),0)</f>
        <v>0</v>
      </c>
      <c r="AQ109" s="4">
        <f ca="1">IFERROR(__xludf.dummyfunction("if(isna(filter(prs!C:U,prs!I:I=G109,prs!R:R&lt;&gt;""Empty field"",prs!G:G&gt;DATE(2024,4,25),prs!G:G&lt;DATE(2024,5,23))),0,countunique(index(filter(prs!C:U,prs!I:I=G109,prs!R:R&lt;&gt;""Empty field"",prs!G:G&gt;DATE(2024,4,25),prs!G:G&lt;DATE(2024,5,23)),,1)))"),0)</f>
        <v>0</v>
      </c>
      <c r="AR109" s="4">
        <f t="shared" ca="1" si="27"/>
        <v>0</v>
      </c>
      <c r="AS109" s="4">
        <f ca="1">IFERROR(__xludf.dummyfunction("round( (AO109+AR109) / 6 + filter('Проекты'!BA:BA,'Проекты'!A:A=J109), 1)"),0)</f>
        <v>0</v>
      </c>
      <c r="AT109" s="4">
        <v>0</v>
      </c>
      <c r="AU109" s="4">
        <f ca="1">IFERROR(__xludf.dummyfunction("filter('Проекты'!BD:BD,'Проекты'!A:A=J109) + filter('Проекты'!BE:BE,'Проекты'!A:A=J109)"),0)</f>
        <v>0</v>
      </c>
      <c r="AV109" s="11">
        <f t="shared" ca="1" si="28"/>
        <v>26</v>
      </c>
      <c r="AW109" s="4" t="str">
        <f t="shared" ca="1" si="24"/>
        <v>Неудовлетворительно</v>
      </c>
    </row>
    <row r="110" spans="1:79" ht="15.75" customHeight="1">
      <c r="A110" s="20" t="s">
        <v>610</v>
      </c>
      <c r="B110" s="6" t="s">
        <v>610</v>
      </c>
      <c r="C110" s="6"/>
      <c r="D110" s="20">
        <v>9303</v>
      </c>
      <c r="E110" s="20" t="s">
        <v>611</v>
      </c>
      <c r="F110" s="20" t="s">
        <v>611</v>
      </c>
      <c r="G110" s="20" t="s">
        <v>612</v>
      </c>
      <c r="H110" s="20" t="s">
        <v>613</v>
      </c>
      <c r="I110" s="4" t="s">
        <v>1125</v>
      </c>
      <c r="J110" s="7" t="str">
        <f ca="1">IFERROR(__xludf.dummyfunction("index(split(I110,char(9)),1,1)"),"FastTrack")</f>
        <v>FastTrack</v>
      </c>
      <c r="K110" s="7">
        <f ca="1">IFERROR(__xludf.dummyfunction("ifna(index(filter('Посещаемость_баллы'!$A:$L,'Посещаемость_баллы'!$B:$B=$B110,'Посещаемость_баллы'!$C:$C=$C110,'Посещаемость_баллы'!$D:$D=$D110),1,12)*10,0)"),0)</f>
        <v>0</v>
      </c>
      <c r="L110" s="7">
        <f>ROUNDDOWN(IFERROR(VALUE(VLOOKUP(H110,'Онлайн-курс1'!B:F,5,FALSE())),IFERROR(VALUE(VLOOKUP(H110,'Онлайн-курс1'!C:F,4,FALSE())),0))/40*20,0)
+ IFERROR(VALUE(SUBSTITUTE(VLOOKUP(H110,'Онлайн-курс2'!B:I,8,FALSE()),".",",")),IFERROR(VALUE(SUBSTITUTE(VLOOKUP(H110,'Онлайн-курс2'!C:I,7,FALSE()),".",",")),0))*2</f>
        <v>20</v>
      </c>
      <c r="M110" s="8" t="s">
        <v>612</v>
      </c>
      <c r="N110" s="9">
        <v>0</v>
      </c>
      <c r="O110" s="4" t="s">
        <v>614</v>
      </c>
      <c r="P110" s="4">
        <v>0</v>
      </c>
      <c r="Q110" s="10" t="str">
        <f ca="1">IFERROR(__xludf.dummyfunction("iferror(index(QUERY(commits!A$2:$K1001, ""select Count(C) where lower(D) = lower('""&amp;G110&amp;""')""),2,1),""-"")"),"-")</f>
        <v>-</v>
      </c>
      <c r="R110" s="4" t="s">
        <v>54</v>
      </c>
      <c r="S110" s="4" t="s">
        <v>539</v>
      </c>
      <c r="T110" s="4">
        <f ca="1">VLOOKUP(A110,Расчёт_оценок!A:C,3,FALSE())</f>
        <v>0</v>
      </c>
      <c r="U110" s="4">
        <v>2</v>
      </c>
      <c r="V110" s="4" t="s">
        <v>54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/>
      <c r="AD110" s="4">
        <v>0</v>
      </c>
      <c r="AE110" s="4"/>
      <c r="AF110" s="4"/>
      <c r="AG110" s="4">
        <v>0</v>
      </c>
      <c r="AH110" s="4">
        <f ca="1">IFERROR(__xludf.dummyfunction("if(isna(filter(prs!C:U,prs!I:I=G110,prs!G:G&gt;DATE(2024,3,28),prs!G:G&lt;DATE(2024,4,26))),0,countunique(index(filter(prs!C:U,prs!I:I=G110,prs!G:G&gt;DATE(2024,3,28),prs!G:G&lt;DATE(2024,4,26)),,1)))"),0)</f>
        <v>0</v>
      </c>
      <c r="AI110" s="4">
        <f ca="1">IFERROR(__xludf.dummyfunction("if(isna(filter(prs!C:U,prs!I:I=G110,prs!R:R&lt;&gt;""Empty field"",prs!G:G&gt;DATE(2024,3,28),prs!G:G&lt;DATE(2024,4,26))),0,countunique(index(filter(prs!C:U,prs!I:I=G110,prs!R:R&lt;&gt;""Empty field"",prs!G:G&gt;DATE(2024,3,28),prs!G:G&lt;DATE(2024,4,26)),,1)))"),0)</f>
        <v>0</v>
      </c>
      <c r="AJ110" s="4">
        <f t="shared" ca="1" si="25"/>
        <v>0</v>
      </c>
      <c r="AK110" s="4"/>
      <c r="AL110" s="4">
        <v>0</v>
      </c>
      <c r="AM110" s="4" t="str">
        <f ca="1">IFERROR(__xludf.dummyfunction("ifna(filter(commits_results!H:I,commits_results!B:B=A110,commits_results!A:A=J110),)"),"")</f>
        <v/>
      </c>
      <c r="AN110" s="4"/>
      <c r="AO110" s="4">
        <f t="shared" ca="1" si="26"/>
        <v>0</v>
      </c>
      <c r="AP110" s="4">
        <f ca="1">IFERROR(__xludf.dummyfunction("if(isna(filter(prs!C:U,prs!I:I=G110,prs!G:G&gt;DATE(2024,4,25),prs!G:G&lt;DATE(2024,5,23))),0,countunique(index(filter(prs!C:U,prs!I:I=G110,prs!G:G&gt;DATE(2024,4,25),prs!G:G&lt;DATE(2024,5,23)),,1)))"),0)</f>
        <v>0</v>
      </c>
      <c r="AQ110" s="4">
        <f ca="1">IFERROR(__xludf.dummyfunction("if(isna(filter(prs!C:U,prs!I:I=G110,prs!R:R&lt;&gt;""Empty field"",prs!G:G&gt;DATE(2024,4,25),prs!G:G&lt;DATE(2024,5,23))),0,countunique(index(filter(prs!C:U,prs!I:I=G110,prs!R:R&lt;&gt;""Empty field"",prs!G:G&gt;DATE(2024,4,25),prs!G:G&lt;DATE(2024,5,23)),,1)))"),0)</f>
        <v>0</v>
      </c>
      <c r="AR110" s="4">
        <f t="shared" ca="1" si="27"/>
        <v>0</v>
      </c>
      <c r="AS110" s="4">
        <f ca="1">IFERROR(__xludf.dummyfunction("round( (AO110+AR110) / 6 + filter('Проекты'!BA:BA,'Проекты'!A:A=J110), 1)"),0)</f>
        <v>0</v>
      </c>
      <c r="AT110" s="4">
        <v>4</v>
      </c>
      <c r="AU110" s="4">
        <f ca="1">IFERROR(__xludf.dummyfunction("filter('Проекты'!BD:BD,'Проекты'!A:A=J110) + filter('Проекты'!BE:BE,'Проекты'!A:A=J110)"),0)</f>
        <v>0</v>
      </c>
      <c r="AV110" s="11">
        <f t="shared" ca="1" si="28"/>
        <v>26</v>
      </c>
      <c r="AW110" s="4" t="str">
        <f t="shared" ca="1" si="24"/>
        <v>Неудовлетворительно</v>
      </c>
    </row>
    <row r="111" spans="1:79" ht="15.75" customHeight="1">
      <c r="A111" s="20" t="s">
        <v>615</v>
      </c>
      <c r="B111" s="6" t="s">
        <v>615</v>
      </c>
      <c r="C111" s="6"/>
      <c r="D111" s="20">
        <v>9303</v>
      </c>
      <c r="E111" s="20" t="s">
        <v>616</v>
      </c>
      <c r="F111" s="20" t="s">
        <v>616</v>
      </c>
      <c r="G111" s="20" t="s">
        <v>617</v>
      </c>
      <c r="H111" s="20" t="s">
        <v>618</v>
      </c>
      <c r="I111" s="4" t="s">
        <v>1126</v>
      </c>
      <c r="J111" s="7">
        <f ca="1">IFERROR(__xludf.dummyfunction("index(split(I111,char(9)),1,1)"),11)</f>
        <v>11</v>
      </c>
      <c r="K111" s="7">
        <f ca="1">IFERROR(__xludf.dummyfunction("ifna(index(filter('Посещаемость_баллы'!$A:$L,'Посещаемость_баллы'!$B:$B=$B111,'Посещаемость_баллы'!$C:$C=$C111,'Посещаемость_баллы'!$D:$D=$D111),1,12)*10,0)"),10)</f>
        <v>10</v>
      </c>
      <c r="L111" s="7">
        <f>ROUNDDOWN(IFERROR(VALUE(VLOOKUP(H111,'Онлайн-курс1'!B:F,5,FALSE())),IFERROR(VALUE(VLOOKUP(H111,'Онлайн-курс1'!C:F,4,FALSE())),0))/40*20,0)
+ IFERROR(VALUE(SUBSTITUTE(VLOOKUP(H111,'Онлайн-курс2'!B:I,8,FALSE()),".",",")),IFERROR(VALUE(SUBSTITUTE(VLOOKUP(H111,'Онлайн-курс2'!C:I,7,FALSE()),".",",")),0))*2</f>
        <v>20</v>
      </c>
      <c r="M111" s="8" t="s">
        <v>617</v>
      </c>
      <c r="N111" s="9">
        <v>1</v>
      </c>
      <c r="O111" s="4" t="s">
        <v>619</v>
      </c>
      <c r="P111" s="4">
        <v>0</v>
      </c>
      <c r="Q111" s="10" t="str">
        <f ca="1">IFERROR(__xludf.dummyfunction("iferror(index(QUERY(commits!A$2:$K1001, ""select Count(C) where lower(D) = lower('""&amp;G111&amp;""')""),2,1),""-"")"),"-")</f>
        <v>-</v>
      </c>
      <c r="R111" s="4" t="s">
        <v>597</v>
      </c>
      <c r="S111" s="4" t="s">
        <v>552</v>
      </c>
      <c r="T111" s="4">
        <f ca="1">VLOOKUP(A111,Расчёт_оценок!A:C,3,FALSE())</f>
        <v>4</v>
      </c>
      <c r="U111" s="4">
        <f ca="1">IFERROR(VLOOKUP(J111,Проекты!A:P,16,FALSE()),0)</f>
        <v>3</v>
      </c>
      <c r="V111" s="4" t="s">
        <v>620</v>
      </c>
      <c r="W111" s="4">
        <v>39</v>
      </c>
      <c r="X111" s="4">
        <v>39</v>
      </c>
      <c r="Y111" s="4">
        <v>3</v>
      </c>
      <c r="Z111" s="4">
        <v>7</v>
      </c>
      <c r="AA111" s="4">
        <v>20</v>
      </c>
      <c r="AB111" s="4">
        <v>2</v>
      </c>
      <c r="AC111" s="4">
        <v>5.5</v>
      </c>
      <c r="AD111" s="4">
        <v>2.9</v>
      </c>
      <c r="AE111" s="4">
        <v>26</v>
      </c>
      <c r="AF111" s="4">
        <v>26</v>
      </c>
      <c r="AG111" s="4">
        <v>3</v>
      </c>
      <c r="AH111" s="4">
        <f ca="1">IFERROR(__xludf.dummyfunction("if(isna(filter(prs!C:U,prs!I:I=G111,prs!G:G&gt;DATE(2024,3,28),prs!G:G&lt;DATE(2024,4,26))),0,countunique(index(filter(prs!C:U,prs!I:I=G111,prs!G:G&gt;DATE(2024,3,28),prs!G:G&lt;DATE(2024,4,26)),,1)))"),4)</f>
        <v>4</v>
      </c>
      <c r="AI111" s="4">
        <f ca="1">IFERROR(__xludf.dummyfunction("if(isna(filter(prs!C:U,prs!I:I=G111,prs!R:R&lt;&gt;""Empty field"",prs!G:G&gt;DATE(2024,3,28),prs!G:G&lt;DATE(2024,4,26))),0,countunique(index(filter(prs!C:U,prs!I:I=G111,prs!R:R&lt;&gt;""Empty field"",prs!G:G&gt;DATE(2024,3,28),prs!G:G&lt;DATE(2024,4,26)),,1)))"),4)</f>
        <v>4</v>
      </c>
      <c r="AJ111" s="4">
        <f t="shared" ca="1" si="25"/>
        <v>3</v>
      </c>
      <c r="AK111" s="4">
        <f ca="1">IFERROR(__xludf.dummyfunction("min(6,round((AG111+AJ111)/6 + filter('Проекты'!AS:AS,'Проекты'!A:A=J111),1))"),6)</f>
        <v>6</v>
      </c>
      <c r="AL111" s="4">
        <f ca="1">IFERROR(__xludf.dummyfunction("filter('Проекты'!AT:AT,'Проекты'!A:A=J111)"),4)</f>
        <v>4</v>
      </c>
      <c r="AM111" s="4">
        <f ca="1">IFERROR(__xludf.dummyfunction("ifna(filter(commits_results!H:I,commits_results!B:B=A111,commits_results!A:A=J111),)"),17)</f>
        <v>17</v>
      </c>
      <c r="AN111" s="4">
        <f ca="1">IFERROR(__xludf.dummyfunction("""COMPUTED_VALUE"""),17)</f>
        <v>17</v>
      </c>
      <c r="AO111" s="4">
        <f t="shared" ca="1" si="26"/>
        <v>3</v>
      </c>
      <c r="AP111" s="4">
        <f ca="1">IFERROR(__xludf.dummyfunction("if(isna(filter(prs!C:U,prs!I:I=G111,prs!G:G&gt;DATE(2024,4,25),prs!G:G&lt;DATE(2024,5,23))),0,countunique(index(filter(prs!C:U,prs!I:I=G111,prs!G:G&gt;DATE(2024,4,25),prs!G:G&lt;DATE(2024,5,23)),,1)))"),7)</f>
        <v>7</v>
      </c>
      <c r="AQ111" s="4">
        <f ca="1">IFERROR(__xludf.dummyfunction("if(isna(filter(prs!C:U,prs!I:I=G111,prs!R:R&lt;&gt;""Empty field"",prs!G:G&gt;DATE(2024,4,25),prs!G:G&lt;DATE(2024,5,23))),0,countunique(index(filter(prs!C:U,prs!I:I=G111,prs!R:R&lt;&gt;""Empty field"",prs!G:G&gt;DATE(2024,4,25),prs!G:G&lt;DATE(2024,5,23)),,1)))"),7)</f>
        <v>7</v>
      </c>
      <c r="AR111" s="4">
        <f t="shared" ca="1" si="27"/>
        <v>3</v>
      </c>
      <c r="AS111" s="4">
        <f ca="1">IFERROR(__xludf.dummyfunction("round( (AO111+AR111) / 6 + filter('Проекты'!BA:BA,'Проекты'!A:A=J111), 1)"),5.5)</f>
        <v>5.5</v>
      </c>
      <c r="AT111" s="4">
        <f ca="1">IFERROR(__xludf.dummyfunction("filter('Проекты'!BB:BB,'Проекты'!A:A=J111)"),3.7)</f>
        <v>3.7</v>
      </c>
      <c r="AU111" s="4">
        <f ca="1">IFERROR(__xludf.dummyfunction("filter('Проекты'!BD:BD,'Проекты'!A:A=J111) + filter('Проекты'!BE:BE,'Проекты'!A:A=J111)"),0)</f>
        <v>0</v>
      </c>
      <c r="AV111" s="11">
        <f t="shared" ca="1" si="28"/>
        <v>65</v>
      </c>
      <c r="AW111" s="4" t="str">
        <f t="shared" ca="1" si="24"/>
        <v>Удовлетворительно</v>
      </c>
    </row>
    <row r="112" spans="1:79" ht="15.75" customHeight="1">
      <c r="A112" s="20" t="s">
        <v>621</v>
      </c>
      <c r="B112" s="6" t="s">
        <v>621</v>
      </c>
      <c r="C112" s="6"/>
      <c r="D112" s="20">
        <v>9303</v>
      </c>
      <c r="E112" s="20" t="s">
        <v>622</v>
      </c>
      <c r="F112" s="20" t="s">
        <v>622</v>
      </c>
      <c r="G112" s="20" t="s">
        <v>623</v>
      </c>
      <c r="H112" s="20" t="s">
        <v>624</v>
      </c>
      <c r="I112" s="4" t="s">
        <v>1127</v>
      </c>
      <c r="J112" s="7" t="str">
        <f ca="1">IFERROR(__xludf.dummyfunction("index(split(I112,char(9)),1,1)"),"FastTrack")</f>
        <v>FastTrack</v>
      </c>
      <c r="K112" s="7">
        <f ca="1">IFERROR(__xludf.dummyfunction("ifna(index(filter('Посещаемость_баллы'!$A:$L,'Посещаемость_баллы'!$B:$B=$B112,'Посещаемость_баллы'!$C:$C=$C112,'Посещаемость_баллы'!$D:$D=$D112),1,12)*10,0)"),8)</f>
        <v>8</v>
      </c>
      <c r="L112" s="7">
        <f>ROUNDDOWN(IFERROR(VALUE(VLOOKUP(H112,'Онлайн-курс1'!B:F,5,FALSE())),IFERROR(VALUE(VLOOKUP(H112,'Онлайн-курс1'!C:F,4,FALSE())),0))/40*20,0)
+ IFERROR(VALUE(SUBSTITUTE(VLOOKUP(H112,'Онлайн-курс2'!B:I,8,FALSE()),".",",")),IFERROR(VALUE(SUBSTITUTE(VLOOKUP(H112,'Онлайн-курс2'!C:I,7,FALSE()),".",",")),0))*2</f>
        <v>20</v>
      </c>
      <c r="M112" s="8" t="s">
        <v>623</v>
      </c>
      <c r="N112" s="9">
        <v>1</v>
      </c>
      <c r="O112" s="4" t="s">
        <v>625</v>
      </c>
      <c r="P112" s="4">
        <v>0</v>
      </c>
      <c r="Q112" s="10" t="str">
        <f ca="1">IFERROR(__xludf.dummyfunction("iferror(index(QUERY(commits!A$2:$K1001, ""select Count(C) where lower(D) = lower('""&amp;G112&amp;""')""),2,1),""-"")"),"-")</f>
        <v>-</v>
      </c>
      <c r="R112" s="4" t="s">
        <v>54</v>
      </c>
      <c r="S112" s="4" t="s">
        <v>539</v>
      </c>
      <c r="T112" s="4">
        <f ca="1">VLOOKUP(A112,Расчёт_оценок!A:C,3,FALSE())</f>
        <v>0</v>
      </c>
      <c r="U112" s="4">
        <v>5</v>
      </c>
      <c r="V112" s="4" t="s">
        <v>54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/>
      <c r="AD112" s="4">
        <v>6</v>
      </c>
      <c r="AE112" s="4"/>
      <c r="AF112" s="4"/>
      <c r="AG112" s="4">
        <v>0</v>
      </c>
      <c r="AH112" s="4">
        <f ca="1">IFERROR(__xludf.dummyfunction("if(isna(filter(prs!C:U,prs!I:I=G112,prs!G:G&gt;DATE(2024,3,28),prs!G:G&lt;DATE(2024,4,26))),0,countunique(index(filter(prs!C:U,prs!I:I=G112,prs!G:G&gt;DATE(2024,3,28),prs!G:G&lt;DATE(2024,4,26)),,1)))"),3)</f>
        <v>3</v>
      </c>
      <c r="AI112" s="4">
        <f ca="1">IFERROR(__xludf.dummyfunction("if(isna(filter(prs!C:U,prs!I:I=G112,prs!R:R&lt;&gt;""Empty field"",prs!G:G&gt;DATE(2024,3,28),prs!G:G&lt;DATE(2024,4,26))),0,countunique(index(filter(prs!C:U,prs!I:I=G112,prs!R:R&lt;&gt;""Empty field"",prs!G:G&gt;DATE(2024,3,28),prs!G:G&lt;DATE(2024,4,26)),,1)))"),1)</f>
        <v>1</v>
      </c>
      <c r="AJ112" s="4">
        <f t="shared" ca="1" si="25"/>
        <v>3</v>
      </c>
      <c r="AK112" s="4"/>
      <c r="AL112" s="4">
        <v>6</v>
      </c>
      <c r="AM112" s="4" t="str">
        <f ca="1">IFERROR(__xludf.dummyfunction("ifna(filter(commits_results!H:I,commits_results!B:B=A112,commits_results!A:A=J112),)"),"")</f>
        <v/>
      </c>
      <c r="AN112" s="4"/>
      <c r="AO112" s="4">
        <f t="shared" ca="1" si="26"/>
        <v>0</v>
      </c>
      <c r="AP112" s="4">
        <f ca="1">IFERROR(__xludf.dummyfunction("if(isna(filter(prs!C:U,prs!I:I=G112,prs!G:G&gt;DATE(2024,4,25),prs!G:G&lt;DATE(2024,5,23))),0,countunique(index(filter(prs!C:U,prs!I:I=G112,prs!G:G&gt;DATE(2024,4,25),prs!G:G&lt;DATE(2024,5,23)),,1)))"),0)</f>
        <v>0</v>
      </c>
      <c r="AQ112" s="4">
        <f ca="1">IFERROR(__xludf.dummyfunction("if(isna(filter(prs!C:U,prs!I:I=G112,prs!R:R&lt;&gt;""Empty field"",prs!G:G&gt;DATE(2024,4,25),prs!G:G&lt;DATE(2024,5,23))),0,countunique(index(filter(prs!C:U,prs!I:I=G112,prs!R:R&lt;&gt;""Empty field"",prs!G:G&gt;DATE(2024,4,25),prs!G:G&lt;DATE(2024,5,23)),,1)))"),0)</f>
        <v>0</v>
      </c>
      <c r="AR112" s="4">
        <f t="shared" ca="1" si="27"/>
        <v>0</v>
      </c>
      <c r="AS112" s="4">
        <f ca="1">IFERROR(__xludf.dummyfunction("round( (AO112+AR112) / 6 + filter('Проекты'!BA:BA,'Проекты'!A:A=J112), 1)"),0)</f>
        <v>0</v>
      </c>
      <c r="AT112" s="4">
        <v>7</v>
      </c>
      <c r="AU112" s="4">
        <f ca="1">IFERROR(__xludf.dummyfunction("filter('Проекты'!BD:BD,'Проекты'!A:A=J112) + filter('Проекты'!BE:BE,'Проекты'!A:A=J112)"),0)</f>
        <v>0</v>
      </c>
      <c r="AV112" s="11">
        <f t="shared" ca="1" si="28"/>
        <v>52</v>
      </c>
      <c r="AW112" s="4" t="str">
        <f t="shared" ca="1" si="24"/>
        <v>Неудовлетворительно</v>
      </c>
    </row>
    <row r="113" spans="1:79" ht="15.75" customHeight="1">
      <c r="A113" s="20" t="s">
        <v>626</v>
      </c>
      <c r="B113" s="6" t="s">
        <v>626</v>
      </c>
      <c r="C113" s="6"/>
      <c r="D113" s="20">
        <v>9303</v>
      </c>
      <c r="E113" s="20" t="s">
        <v>627</v>
      </c>
      <c r="F113" s="20" t="s">
        <v>627</v>
      </c>
      <c r="G113" s="20" t="s">
        <v>628</v>
      </c>
      <c r="H113" s="20" t="s">
        <v>629</v>
      </c>
      <c r="I113" s="4" t="s">
        <v>1128</v>
      </c>
      <c r="J113" s="7">
        <f ca="1">IFERROR(__xludf.dummyfunction("index(split(I113,char(9)),1,1)"),4)</f>
        <v>4</v>
      </c>
      <c r="K113" s="7">
        <f ca="1">IFERROR(__xludf.dummyfunction("ifna(index(filter('Посещаемость_баллы'!$A:$L,'Посещаемость_баллы'!$B:$B=$B113,'Посещаемость_баллы'!$C:$C=$C113,'Посещаемость_баллы'!$D:$D=$D113),1,12)*10,0)"),6)</f>
        <v>6</v>
      </c>
      <c r="L113" s="7">
        <f>ROUNDDOWN(IFERROR(VALUE(VLOOKUP(H113,'Онлайн-курс1'!B:F,5,FALSE())),IFERROR(VALUE(VLOOKUP(H113,'Онлайн-курс1'!C:F,4,FALSE())),0))/40*20,0)
+ IFERROR(VALUE(SUBSTITUTE(VLOOKUP(H113,'Онлайн-курс2'!B:I,8,FALSE()),".",",")),IFERROR(VALUE(SUBSTITUTE(VLOOKUP(H113,'Онлайн-курс2'!C:I,7,FALSE()),".",",")),0))*2</f>
        <v>20</v>
      </c>
      <c r="M113" s="8" t="s">
        <v>628</v>
      </c>
      <c r="N113" s="9">
        <v>1</v>
      </c>
      <c r="O113" s="4" t="s">
        <v>630</v>
      </c>
      <c r="P113" s="4">
        <v>0</v>
      </c>
      <c r="Q113" s="10" t="str">
        <f ca="1">IFERROR(__xludf.dummyfunction("iferror(index(QUERY(commits!A$2:$K1001, ""select Count(C) where lower(D) = lower('""&amp;G113&amp;""')""),2,1),""-"")"),"-")</f>
        <v>-</v>
      </c>
      <c r="R113" s="4" t="s">
        <v>124</v>
      </c>
      <c r="S113" s="4" t="s">
        <v>539</v>
      </c>
      <c r="T113" s="4">
        <f ca="1">VLOOKUP(A113,Расчёт_оценок!A:C,3,FALSE())</f>
        <v>6</v>
      </c>
      <c r="U113" s="4">
        <f ca="1">IFERROR(VLOOKUP(J113,Проекты!A:P,16,FALSE()),0)</f>
        <v>4</v>
      </c>
      <c r="V113" s="4" t="s">
        <v>40</v>
      </c>
      <c r="W113" s="4">
        <v>0</v>
      </c>
      <c r="X113" s="4">
        <v>2</v>
      </c>
      <c r="Y113" s="4">
        <f t="shared" ref="Y113:Y126" si="29">IF(W113&gt;$W$140,3,IFERROR(ROUND(3*(W113/X113) * IF(W113&lt;$Y$140,0.5,1),2),0))</f>
        <v>0</v>
      </c>
      <c r="Z113" s="4">
        <v>1</v>
      </c>
      <c r="AA113" s="4">
        <v>1</v>
      </c>
      <c r="AB113" s="4">
        <v>1</v>
      </c>
      <c r="AC113" s="4">
        <v>4.33</v>
      </c>
      <c r="AD113" s="4">
        <v>2.6</v>
      </c>
      <c r="AE113" s="4">
        <v>2</v>
      </c>
      <c r="AF113" s="4">
        <v>2</v>
      </c>
      <c r="AG113" s="4">
        <v>1.5</v>
      </c>
      <c r="AH113" s="4">
        <f ca="1">IFERROR(__xludf.dummyfunction("if(isna(filter(prs!C:U,prs!I:I=G113,prs!G:G&gt;DATE(2024,3,28),prs!G:G&lt;DATE(2024,4,26))),0,countunique(index(filter(prs!C:U,prs!I:I=G113,prs!G:G&gt;DATE(2024,3,28),prs!G:G&lt;DATE(2024,4,26)),,1)))"),0)</f>
        <v>0</v>
      </c>
      <c r="AI113" s="4">
        <f ca="1">IFERROR(__xludf.dummyfunction("if(isna(filter(prs!C:U,prs!I:I=G113,prs!R:R&lt;&gt;""Empty field"",prs!G:G&gt;DATE(2024,3,28),prs!G:G&lt;DATE(2024,4,26))),0,countunique(index(filter(prs!C:U,prs!I:I=G113,prs!R:R&lt;&gt;""Empty field"",prs!G:G&gt;DATE(2024,3,28),prs!G:G&lt;DATE(2024,4,26)),,1)))"),0)</f>
        <v>0</v>
      </c>
      <c r="AJ113" s="4">
        <f t="shared" ca="1" si="25"/>
        <v>0</v>
      </c>
      <c r="AK113" s="4">
        <f ca="1">IFERROR(__xludf.dummyfunction("min(6,round((AG113+AJ113)/6 + filter('Проекты'!AS:AS,'Проекты'!A:A=J113),1))"),5.3)</f>
        <v>5.3</v>
      </c>
      <c r="AL113" s="4">
        <f ca="1">IFERROR(__xludf.dummyfunction("filter('Проекты'!AT:AT,'Проекты'!A:A=J113)"),3.9)</f>
        <v>3.9</v>
      </c>
      <c r="AM113" s="4">
        <f ca="1">IFERROR(__xludf.dummyfunction("ifna(filter(commits_results!H:I,commits_results!B:B=A113,commits_results!A:A=J113),)"),2)</f>
        <v>2</v>
      </c>
      <c r="AN113" s="4">
        <f ca="1">IFERROR(__xludf.dummyfunction("""COMPUTED_VALUE"""),2)</f>
        <v>2</v>
      </c>
      <c r="AO113" s="4">
        <f t="shared" ca="1" si="26"/>
        <v>3</v>
      </c>
      <c r="AP113" s="4">
        <f ca="1">IFERROR(__xludf.dummyfunction("if(isna(filter(prs!C:U,prs!I:I=G113,prs!G:G&gt;DATE(2024,4,25),prs!G:G&lt;DATE(2024,5,23))),0,countunique(index(filter(prs!C:U,prs!I:I=G113,prs!G:G&gt;DATE(2024,4,25),prs!G:G&lt;DATE(2024,5,23)),,1)))"),0)</f>
        <v>0</v>
      </c>
      <c r="AQ113" s="4">
        <f ca="1">IFERROR(__xludf.dummyfunction("if(isna(filter(prs!C:U,prs!I:I=G113,prs!R:R&lt;&gt;""Empty field"",prs!G:G&gt;DATE(2024,4,25),prs!G:G&lt;DATE(2024,5,23))),0,countunique(index(filter(prs!C:U,prs!I:I=G113,prs!R:R&lt;&gt;""Empty field"",prs!G:G&gt;DATE(2024,4,25),prs!G:G&lt;DATE(2024,5,23)),,1)))"),0)</f>
        <v>0</v>
      </c>
      <c r="AR113" s="4">
        <f t="shared" ca="1" si="27"/>
        <v>0</v>
      </c>
      <c r="AS113" s="4">
        <f ca="1">IFERROR(__xludf.dummyfunction("round( (AO113+AR113) / 6 + filter('Проекты'!BA:BA,'Проекты'!A:A=J113), 1)"),4.8)</f>
        <v>4.8</v>
      </c>
      <c r="AT113" s="4">
        <f ca="1">IFERROR(__xludf.dummyfunction("filter('Проекты'!BB:BB,'Проекты'!A:A=J113)"),2.5)</f>
        <v>2.5</v>
      </c>
      <c r="AU113" s="4">
        <f ca="1">IFERROR(__xludf.dummyfunction("filter('Проекты'!BD:BD,'Проекты'!A:A=J113) + filter('Проекты'!BE:BE,'Проекты'!A:A=J113)"),2)</f>
        <v>2</v>
      </c>
      <c r="AV113" s="11">
        <f t="shared" ca="1" si="28"/>
        <v>62</v>
      </c>
      <c r="AW113" s="4" t="str">
        <f t="shared" ca="1" si="24"/>
        <v>Удовлетворительно</v>
      </c>
    </row>
    <row r="114" spans="1:79" ht="15.75" customHeight="1">
      <c r="A114" s="19" t="s">
        <v>631</v>
      </c>
      <c r="B114" s="15" t="s">
        <v>631</v>
      </c>
      <c r="C114" s="15"/>
      <c r="D114" s="19">
        <v>9304</v>
      </c>
      <c r="E114" s="19" t="s">
        <v>632</v>
      </c>
      <c r="F114" s="19" t="s">
        <v>632</v>
      </c>
      <c r="G114" s="19" t="s">
        <v>633</v>
      </c>
      <c r="H114" s="19" t="s">
        <v>135</v>
      </c>
      <c r="I114" s="4" t="s">
        <v>1129</v>
      </c>
      <c r="J114" s="21" t="str">
        <f ca="1">IFERROR(__xludf.dummyfunction("index(split(I114,char(9)),1,1)"),"FastTrack")</f>
        <v>FastTrack</v>
      </c>
      <c r="K114" s="7">
        <f ca="1">IFERROR(__xludf.dummyfunction("ifna(index(filter('Посещаемость_баллы'!$A:$L,'Посещаемость_баллы'!$B:$B=$B114,'Посещаемость_баллы'!$C:$C=$C114,'Посещаемость_баллы'!$D:$D=$D114),1,12)*10,0)"),0)</f>
        <v>0</v>
      </c>
      <c r="L114" s="7">
        <f>ROUNDDOWN(IFERROR(VALUE(VLOOKUP(H114,'Онлайн-курс1'!B:F,5,FALSE())),IFERROR(VALUE(VLOOKUP(H114,'Онлайн-курс1'!C:F,4,FALSE())),0))/40*20,0)
+ IFERROR(VALUE(SUBSTITUTE(VLOOKUP(H114,'Онлайн-курс2'!B:I,8,FALSE()),".",",")),IFERROR(VALUE(SUBSTITUTE(VLOOKUP(H114,'Онлайн-курс2'!C:I,7,FALSE()),".",",")),0))*2</f>
        <v>0</v>
      </c>
      <c r="M114" s="16" t="s">
        <v>633</v>
      </c>
      <c r="N114" s="17">
        <v>0</v>
      </c>
      <c r="O114" s="16" t="s">
        <v>634</v>
      </c>
      <c r="P114" s="16">
        <v>1</v>
      </c>
      <c r="Q114" s="22" t="str">
        <f ca="1">IFERROR(__xludf.dummyfunction("iferror(index(QUERY(commits!A$2:$K1001, ""select Count(C) where lower(D) = lower('""&amp;G114&amp;""')""),2,1),""-"")"),"-")</f>
        <v>-</v>
      </c>
      <c r="R114" s="16" t="s">
        <v>54</v>
      </c>
      <c r="S114" s="16" t="s">
        <v>539</v>
      </c>
      <c r="T114" s="16">
        <f ca="1">VLOOKUP(A114,Расчёт_оценок!A:C,3,FALSE())</f>
        <v>0</v>
      </c>
      <c r="U114" s="16">
        <f ca="1">IFERROR(VLOOKUP(J114,Проекты!A:P,16,FALSE()),0)</f>
        <v>0</v>
      </c>
      <c r="V114" s="16" t="s">
        <v>54</v>
      </c>
      <c r="W114" s="16">
        <v>0</v>
      </c>
      <c r="X114" s="16">
        <v>0</v>
      </c>
      <c r="Y114" s="4">
        <f t="shared" si="29"/>
        <v>0</v>
      </c>
      <c r="Z114" s="4">
        <v>0</v>
      </c>
      <c r="AA114" s="4">
        <v>0</v>
      </c>
      <c r="AB114" s="16">
        <v>0</v>
      </c>
      <c r="AC114" s="4"/>
      <c r="AD114" s="4">
        <v>0</v>
      </c>
      <c r="AE114" s="4"/>
      <c r="AF114" s="4"/>
      <c r="AG114" s="4">
        <v>0</v>
      </c>
      <c r="AH114" s="4">
        <f ca="1">IFERROR(__xludf.dummyfunction("if(isna(filter(prs!C:U,prs!I:I=G114,prs!G:G&gt;DATE(2024,3,28),prs!G:G&lt;DATE(2024,4,26))),0,countunique(index(filter(prs!C:U,prs!I:I=G114,prs!G:G&gt;DATE(2024,3,28),prs!G:G&lt;DATE(2024,4,26)),,1)))"),0)</f>
        <v>0</v>
      </c>
      <c r="AI114" s="4">
        <f ca="1">IFERROR(__xludf.dummyfunction("if(isna(filter(prs!C:U,prs!I:I=G114,prs!R:R&lt;&gt;""Empty field"",prs!G:G&gt;DATE(2024,3,28),prs!G:G&lt;DATE(2024,4,26))),0,countunique(index(filter(prs!C:U,prs!I:I=G114,prs!R:R&lt;&gt;""Empty field"",prs!G:G&gt;DATE(2024,3,28),prs!G:G&lt;DATE(2024,4,26)),,1)))"),0)</f>
        <v>0</v>
      </c>
      <c r="AJ114" s="4">
        <f t="shared" ca="1" si="25"/>
        <v>0</v>
      </c>
      <c r="AK114" s="4"/>
      <c r="AL114" s="4">
        <v>0</v>
      </c>
      <c r="AM114" s="4" t="str">
        <f ca="1">IFERROR(__xludf.dummyfunction("ifna(filter(commits_results!H:I,commits_results!B:B=A114,commits_results!A:A=J114),)"),"")</f>
        <v/>
      </c>
      <c r="AN114" s="4"/>
      <c r="AO114" s="4">
        <f t="shared" ca="1" si="26"/>
        <v>0</v>
      </c>
      <c r="AP114" s="4">
        <f ca="1">IFERROR(__xludf.dummyfunction("if(isna(filter(prs!C:U,prs!I:I=G114,prs!G:G&gt;DATE(2024,4,25),prs!G:G&lt;DATE(2024,5,23))),0,countunique(index(filter(prs!C:U,prs!I:I=G114,prs!G:G&gt;DATE(2024,4,25),prs!G:G&lt;DATE(2024,5,23)),,1)))"),0)</f>
        <v>0</v>
      </c>
      <c r="AQ114" s="4">
        <f ca="1">IFERROR(__xludf.dummyfunction("if(isna(filter(prs!C:U,prs!I:I=G114,prs!R:R&lt;&gt;""Empty field"",prs!G:G&gt;DATE(2024,4,25),prs!G:G&lt;DATE(2024,5,23))),0,countunique(index(filter(prs!C:U,prs!I:I=G114,prs!R:R&lt;&gt;""Empty field"",prs!G:G&gt;DATE(2024,4,25),prs!G:G&lt;DATE(2024,5,23)),,1)))"),0)</f>
        <v>0</v>
      </c>
      <c r="AR114" s="4">
        <f t="shared" ca="1" si="27"/>
        <v>0</v>
      </c>
      <c r="AS114" s="4">
        <f ca="1">IFERROR(__xludf.dummyfunction("round( (AO114+AR114) / 6 + filter('Проекты'!BA:BA,'Проекты'!A:A=J114), 1)"),0)</f>
        <v>0</v>
      </c>
      <c r="AT114" s="4">
        <v>0</v>
      </c>
      <c r="AU114" s="4">
        <f ca="1">IFERROR(__xludf.dummyfunction("filter('Проекты'!BD:BD,'Проекты'!A:A=J114) + filter('Проекты'!BE:BE,'Проекты'!A:A=J114)"),0)</f>
        <v>0</v>
      </c>
      <c r="AV114" s="11">
        <f t="shared" ca="1" si="28"/>
        <v>0</v>
      </c>
      <c r="AW114" s="16" t="str">
        <f t="shared" ca="1" si="24"/>
        <v>Неудовлетворительно</v>
      </c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</row>
    <row r="115" spans="1:79" ht="15.75" customHeight="1">
      <c r="A115" s="20" t="s">
        <v>635</v>
      </c>
      <c r="B115" s="6" t="s">
        <v>635</v>
      </c>
      <c r="C115" s="6"/>
      <c r="D115" s="20">
        <v>9304</v>
      </c>
      <c r="E115" s="20" t="s">
        <v>636</v>
      </c>
      <c r="F115" s="20" t="s">
        <v>636</v>
      </c>
      <c r="G115" s="20" t="s">
        <v>637</v>
      </c>
      <c r="H115" s="20" t="s">
        <v>638</v>
      </c>
      <c r="I115" s="4" t="s">
        <v>1130</v>
      </c>
      <c r="J115" s="7">
        <f ca="1">IFERROR(__xludf.dummyfunction("index(split(I115,char(9)),1,1)"),2)</f>
        <v>2</v>
      </c>
      <c r="K115" s="7">
        <f ca="1">IFERROR(__xludf.dummyfunction("ifna(index(filter('Посещаемость_баллы'!$A:$L,'Посещаемость_баллы'!$B:$B=$B115,'Посещаемость_баллы'!$C:$C=$C115,'Посещаемость_баллы'!$D:$D=$D115),1,12)*10,0)"),10)</f>
        <v>10</v>
      </c>
      <c r="L115" s="7">
        <f>ROUNDDOWN(IFERROR(VALUE(VLOOKUP(H115,'Онлайн-курс1'!B:F,5,FALSE())),IFERROR(VALUE(VLOOKUP(H115,'Онлайн-курс1'!C:F,4,FALSE())),0))/40*20,0)
+ IFERROR(VALUE(SUBSTITUTE(VLOOKUP(H115,'Онлайн-курс2'!B:I,8,FALSE()),".",",")),IFERROR(VALUE(SUBSTITUTE(VLOOKUP(H115,'Онлайн-курс2'!C:I,7,FALSE()),".",",")),0))*2</f>
        <v>20</v>
      </c>
      <c r="M115" s="8" t="s">
        <v>637</v>
      </c>
      <c r="N115" s="9">
        <v>1</v>
      </c>
      <c r="O115" s="4" t="s">
        <v>639</v>
      </c>
      <c r="P115" s="4">
        <v>0</v>
      </c>
      <c r="Q115" s="10" t="str">
        <f ca="1">IFERROR(__xludf.dummyfunction("iferror(index(QUERY(commits!A$2:$K1001, ""select Count(C) where lower(D) = lower('""&amp;G115&amp;""')""),2,1),""-"")"),"-")</f>
        <v>-</v>
      </c>
      <c r="R115" s="4" t="s">
        <v>54</v>
      </c>
      <c r="S115" s="4" t="s">
        <v>539</v>
      </c>
      <c r="T115" s="4">
        <f ca="1">VLOOKUP(A115,Расчёт_оценок!A:C,3,FALSE())</f>
        <v>4</v>
      </c>
      <c r="U115" s="4">
        <f ca="1">IFERROR(VLOOKUP(J115,Проекты!A:P,16,FALSE()),0)</f>
        <v>3</v>
      </c>
      <c r="V115" s="4" t="s">
        <v>54</v>
      </c>
      <c r="W115" s="4">
        <v>0</v>
      </c>
      <c r="X115" s="4">
        <v>0</v>
      </c>
      <c r="Y115" s="4">
        <f t="shared" si="29"/>
        <v>0</v>
      </c>
      <c r="Z115" s="4">
        <v>0</v>
      </c>
      <c r="AA115" s="4">
        <v>0</v>
      </c>
      <c r="AB115" s="4">
        <v>0</v>
      </c>
      <c r="AC115" s="4">
        <v>4</v>
      </c>
      <c r="AD115" s="4">
        <v>3.4</v>
      </c>
      <c r="AE115" s="4">
        <v>11</v>
      </c>
      <c r="AF115" s="4">
        <v>11</v>
      </c>
      <c r="AG115" s="4">
        <v>3</v>
      </c>
      <c r="AH115" s="4">
        <v>2</v>
      </c>
      <c r="AI115" s="4">
        <v>1</v>
      </c>
      <c r="AJ115" s="4">
        <f t="shared" si="25"/>
        <v>3</v>
      </c>
      <c r="AK115" s="4">
        <f ca="1">IFERROR(__xludf.dummyfunction("min(6,round((AG115+AJ115)/6 + filter('Проекты'!AS:AS,'Проекты'!A:A=J115),1))"),6)</f>
        <v>6</v>
      </c>
      <c r="AL115" s="4">
        <f ca="1">IFERROR(__xludf.dummyfunction("filter('Проекты'!AT:AT,'Проекты'!A:A=J115)"),3.3)</f>
        <v>3.3</v>
      </c>
      <c r="AM115" s="4">
        <f ca="1">IFERROR(__xludf.dummyfunction("ifna(filter(commits_results!H:I,commits_results!B:B=A115,commits_results!A:A=J115),)"),10)</f>
        <v>10</v>
      </c>
      <c r="AN115" s="4">
        <f ca="1">IFERROR(__xludf.dummyfunction("""COMPUTED_VALUE"""),20)</f>
        <v>20</v>
      </c>
      <c r="AO115" s="4">
        <f t="shared" ca="1" si="26"/>
        <v>3</v>
      </c>
      <c r="AP115" s="4">
        <v>3</v>
      </c>
      <c r="AQ115" s="4">
        <v>1</v>
      </c>
      <c r="AR115" s="4">
        <f t="shared" si="27"/>
        <v>3</v>
      </c>
      <c r="AS115" s="4">
        <f ca="1">IFERROR(__xludf.dummyfunction("round( (AO115+AR115) / 6 + filter('Проекты'!BA:BA,'Проекты'!A:A=J115), 1)"),3.8)</f>
        <v>3.8</v>
      </c>
      <c r="AT115" s="4">
        <f ca="1">IFERROR(__xludf.dummyfunction("filter('Проекты'!BB:BB,'Проекты'!A:A=J115)"),2.8)</f>
        <v>2.8</v>
      </c>
      <c r="AU115" s="4">
        <f ca="1">IFERROR(__xludf.dummyfunction("filter('Проекты'!BD:BD,'Проекты'!A:A=J115) + filter('Проекты'!BE:BE,'Проекты'!A:A=J115)"),7)</f>
        <v>7</v>
      </c>
      <c r="AV115" s="11">
        <f t="shared" ca="1" si="28"/>
        <v>68</v>
      </c>
      <c r="AW115" s="4" t="str">
        <f t="shared" ca="1" si="24"/>
        <v>Удовлетворительно</v>
      </c>
    </row>
    <row r="116" spans="1:79" ht="15.75" customHeight="1">
      <c r="A116" s="20" t="s">
        <v>640</v>
      </c>
      <c r="B116" s="6" t="s">
        <v>640</v>
      </c>
      <c r="C116" s="6"/>
      <c r="D116" s="20">
        <v>9304</v>
      </c>
      <c r="E116" s="20" t="s">
        <v>641</v>
      </c>
      <c r="F116" s="20" t="s">
        <v>641</v>
      </c>
      <c r="G116" s="20" t="s">
        <v>642</v>
      </c>
      <c r="H116" s="20" t="s">
        <v>643</v>
      </c>
      <c r="I116" s="4" t="s">
        <v>1131</v>
      </c>
      <c r="J116" s="7" t="str">
        <f ca="1">IFERROR(__xludf.dummyfunction("index(split(I116,char(9)),1,1)"),"FastTrack")</f>
        <v>FastTrack</v>
      </c>
      <c r="K116" s="7">
        <f ca="1">IFERROR(__xludf.dummyfunction("ifna(index(filter('Посещаемость_баллы'!$A:$L,'Посещаемость_баллы'!$B:$B=$B116,'Посещаемость_баллы'!$C:$C=$C116,'Посещаемость_баллы'!$D:$D=$D116),1,12)*10,0)"),4)</f>
        <v>4</v>
      </c>
      <c r="L116" s="7">
        <f>ROUNDDOWN(IFERROR(VALUE(VLOOKUP(H116,'Онлайн-курс1'!B:F,5,FALSE())),IFERROR(VALUE(VLOOKUP(H116,'Онлайн-курс1'!C:F,4,FALSE())),0))/40*20,0)
+ IFERROR(VALUE(SUBSTITUTE(VLOOKUP(H116,'Онлайн-курс2'!B:I,8,FALSE()),".",",")),IFERROR(VALUE(SUBSTITUTE(VLOOKUP(H116,'Онлайн-курс2'!C:I,7,FALSE()),".",",")),0))*2</f>
        <v>20</v>
      </c>
      <c r="M116" s="8" t="s">
        <v>642</v>
      </c>
      <c r="N116" s="9">
        <v>0</v>
      </c>
      <c r="O116" s="4" t="s">
        <v>644</v>
      </c>
      <c r="P116" s="4">
        <v>0</v>
      </c>
      <c r="Q116" s="10" t="str">
        <f ca="1">IFERROR(__xludf.dummyfunction("iferror(index(QUERY(commits!A$2:$K1001, ""select Count(C) where lower(D) = lower('""&amp;G116&amp;""')""),2,1),""-"")"),"-")</f>
        <v>-</v>
      </c>
      <c r="R116" s="4" t="s">
        <v>54</v>
      </c>
      <c r="S116" s="4" t="s">
        <v>539</v>
      </c>
      <c r="T116" s="4">
        <f ca="1">VLOOKUP(A116,Расчёт_оценок!A:C,3,FALSE())</f>
        <v>0</v>
      </c>
      <c r="U116" s="4">
        <v>2</v>
      </c>
      <c r="V116" s="4" t="s">
        <v>54</v>
      </c>
      <c r="W116" s="4">
        <v>0</v>
      </c>
      <c r="X116" s="4">
        <v>0</v>
      </c>
      <c r="Y116" s="4">
        <f t="shared" si="29"/>
        <v>0</v>
      </c>
      <c r="Z116" s="4">
        <v>0</v>
      </c>
      <c r="AA116" s="4">
        <v>0</v>
      </c>
      <c r="AB116" s="4">
        <v>0</v>
      </c>
      <c r="AC116" s="4"/>
      <c r="AD116" s="4">
        <v>0</v>
      </c>
      <c r="AE116" s="4"/>
      <c r="AF116" s="4"/>
      <c r="AG116" s="4">
        <v>0</v>
      </c>
      <c r="AH116" s="4">
        <f ca="1">IFERROR(__xludf.dummyfunction("if(isna(filter(prs!C:U,prs!I:I=G116,prs!G:G&gt;DATE(2024,3,28),prs!G:G&lt;DATE(2024,4,26))),0,countunique(index(filter(prs!C:U,prs!I:I=G116,prs!G:G&gt;DATE(2024,3,28),prs!G:G&lt;DATE(2024,4,26)),,1)))"),0)</f>
        <v>0</v>
      </c>
      <c r="AI116" s="4">
        <f ca="1">IFERROR(__xludf.dummyfunction("if(isna(filter(prs!C:U,prs!I:I=G116,prs!R:R&lt;&gt;""Empty field"",prs!G:G&gt;DATE(2024,3,28),prs!G:G&lt;DATE(2024,4,26))),0,countunique(index(filter(prs!C:U,prs!I:I=G116,prs!R:R&lt;&gt;""Empty field"",prs!G:G&gt;DATE(2024,3,28),prs!G:G&lt;DATE(2024,4,26)),,1)))"),0)</f>
        <v>0</v>
      </c>
      <c r="AJ116" s="4">
        <f t="shared" ca="1" si="25"/>
        <v>0</v>
      </c>
      <c r="AK116" s="4"/>
      <c r="AL116" s="4">
        <v>0</v>
      </c>
      <c r="AM116" s="4" t="str">
        <f ca="1">IFERROR(__xludf.dummyfunction("ifna(filter(commits_results!H:I,commits_results!B:B=A116,commits_results!A:A=J116),)"),"")</f>
        <v/>
      </c>
      <c r="AN116" s="4"/>
      <c r="AO116" s="4">
        <f t="shared" ca="1" si="26"/>
        <v>0</v>
      </c>
      <c r="AP116" s="4">
        <f ca="1">IFERROR(__xludf.dummyfunction("if(isna(filter(prs!C:U,prs!I:I=G116,prs!G:G&gt;DATE(2024,4,25),prs!G:G&lt;DATE(2024,5,23))),0,countunique(index(filter(prs!C:U,prs!I:I=G116,prs!G:G&gt;DATE(2024,4,25),prs!G:G&lt;DATE(2024,5,23)),,1)))"),0)</f>
        <v>0</v>
      </c>
      <c r="AQ116" s="4">
        <f ca="1">IFERROR(__xludf.dummyfunction("if(isna(filter(prs!C:U,prs!I:I=G116,prs!R:R&lt;&gt;""Empty field"",prs!G:G&gt;DATE(2024,4,25),prs!G:G&lt;DATE(2024,5,23))),0,countunique(index(filter(prs!C:U,prs!I:I=G116,prs!R:R&lt;&gt;""Empty field"",prs!G:G&gt;DATE(2024,4,25),prs!G:G&lt;DATE(2024,5,23)),,1)))"),0)</f>
        <v>0</v>
      </c>
      <c r="AR116" s="4">
        <f t="shared" ca="1" si="27"/>
        <v>0</v>
      </c>
      <c r="AS116" s="4">
        <f ca="1">IFERROR(__xludf.dummyfunction("round( (AO116+AR116) / 6 + filter('Проекты'!BA:BA,'Проекты'!A:A=J116), 1)"),0)</f>
        <v>0</v>
      </c>
      <c r="AT116" s="4">
        <v>0</v>
      </c>
      <c r="AU116" s="4">
        <f ca="1">IFERROR(__xludf.dummyfunction("filter('Проекты'!BD:BD,'Проекты'!A:A=J116) + filter('Проекты'!BE:BE,'Проекты'!A:A=J116)"),0)</f>
        <v>0</v>
      </c>
      <c r="AV116" s="11">
        <f t="shared" ca="1" si="28"/>
        <v>26</v>
      </c>
      <c r="AW116" s="4" t="str">
        <f t="shared" ca="1" si="24"/>
        <v>Неудовлетворительно</v>
      </c>
    </row>
    <row r="117" spans="1:79" ht="15.75" customHeight="1">
      <c r="A117" s="20" t="s">
        <v>645</v>
      </c>
      <c r="B117" s="6" t="s">
        <v>645</v>
      </c>
      <c r="C117" s="6"/>
      <c r="D117" s="20">
        <v>9304</v>
      </c>
      <c r="E117" s="20" t="s">
        <v>646</v>
      </c>
      <c r="F117" s="20" t="s">
        <v>646</v>
      </c>
      <c r="G117" s="20" t="s">
        <v>647</v>
      </c>
      <c r="H117" s="20" t="s">
        <v>648</v>
      </c>
      <c r="I117" s="4" t="s">
        <v>1132</v>
      </c>
      <c r="J117" s="7">
        <f ca="1">IFERROR(__xludf.dummyfunction("index(split(I117,char(9)),1,1)"),16)</f>
        <v>16</v>
      </c>
      <c r="K117" s="7">
        <f ca="1">IFERROR(__xludf.dummyfunction("ifna(index(filter('Посещаемость_баллы'!$A:$L,'Посещаемость_баллы'!$B:$B=$B117,'Посещаемость_баллы'!$C:$C=$C117,'Посещаемость_баллы'!$D:$D=$D117),1,12)*10,0)"),10)</f>
        <v>10</v>
      </c>
      <c r="L117" s="7">
        <f>ROUNDDOWN(IFERROR(VALUE(VLOOKUP(H117,'Онлайн-курс1'!B:F,5,FALSE())),IFERROR(VALUE(VLOOKUP(H117,'Онлайн-курс1'!C:F,4,FALSE())),0))/40*20,0)
+ IFERROR(VALUE(SUBSTITUTE(VLOOKUP(H117,'Онлайн-курс2'!B:I,8,FALSE()),".",",")),IFERROR(VALUE(SUBSTITUTE(VLOOKUP(H117,'Онлайн-курс2'!C:I,7,FALSE()),".",",")),0))*2</f>
        <v>20</v>
      </c>
      <c r="M117" s="8" t="s">
        <v>647</v>
      </c>
      <c r="N117" s="9">
        <v>1</v>
      </c>
      <c r="O117" s="4" t="s">
        <v>649</v>
      </c>
      <c r="P117" s="4">
        <v>0</v>
      </c>
      <c r="Q117" s="10" t="str">
        <f ca="1">IFERROR(__xludf.dummyfunction("iferror(index(QUERY(commits!A$2:$K1001, ""select Count(C) where lower(D) = lower('""&amp;G117&amp;""')""),2,1),""-"")"),"-")</f>
        <v>-</v>
      </c>
      <c r="R117" s="4" t="s">
        <v>650</v>
      </c>
      <c r="S117" s="4" t="s">
        <v>539</v>
      </c>
      <c r="T117" s="4">
        <f ca="1">VLOOKUP(A117,Расчёт_оценок!A:C,3,FALSE())</f>
        <v>5</v>
      </c>
      <c r="U117" s="4">
        <f ca="1">IFERROR(VLOOKUP(J117,Проекты!A:P,16,FALSE()),0)</f>
        <v>4</v>
      </c>
      <c r="V117" s="4" t="s">
        <v>40</v>
      </c>
      <c r="W117" s="4">
        <v>3</v>
      </c>
      <c r="X117" s="4">
        <v>3</v>
      </c>
      <c r="Y117" s="4">
        <f t="shared" si="29"/>
        <v>3</v>
      </c>
      <c r="Z117" s="4">
        <v>2</v>
      </c>
      <c r="AA117" s="4">
        <v>39</v>
      </c>
      <c r="AB117" s="4">
        <v>2</v>
      </c>
      <c r="AC117" s="4">
        <v>5</v>
      </c>
      <c r="AD117" s="4">
        <v>4</v>
      </c>
      <c r="AE117" s="4">
        <v>0</v>
      </c>
      <c r="AF117" s="4">
        <v>0</v>
      </c>
      <c r="AG117" s="4">
        <v>0</v>
      </c>
      <c r="AH117" s="4">
        <f ca="1">IFERROR(__xludf.dummyfunction("if(isna(filter(prs!C:U,prs!I:I=G117,prs!G:G&gt;DATE(2024,3,28),prs!G:G&lt;DATE(2024,4,26))),0,countunique(index(filter(prs!C:U,prs!I:I=G117,prs!G:G&gt;DATE(2024,3,28),prs!G:G&lt;DATE(2024,4,26)),,1)))"),0)</f>
        <v>0</v>
      </c>
      <c r="AI117" s="4">
        <f ca="1">IFERROR(__xludf.dummyfunction("if(isna(filter(prs!C:U,prs!I:I=G117,prs!R:R&lt;&gt;""Empty field"",prs!G:G&gt;DATE(2024,3,28),prs!G:G&lt;DATE(2024,4,26))),0,countunique(index(filter(prs!C:U,prs!I:I=G117,prs!R:R&lt;&gt;""Empty field"",prs!G:G&gt;DATE(2024,3,28),prs!G:G&lt;DATE(2024,4,26)),,1)))"),0)</f>
        <v>0</v>
      </c>
      <c r="AJ117" s="4">
        <f t="shared" ca="1" si="25"/>
        <v>0</v>
      </c>
      <c r="AK117" s="4">
        <f ca="1">IFERROR(__xludf.dummyfunction("min(6,round((AG117+AJ117)/6 + filter('Проекты'!AS:AS,'Проекты'!A:A=J117),1))"),5)</f>
        <v>5</v>
      </c>
      <c r="AL117" s="4">
        <f ca="1">IFERROR(__xludf.dummyfunction("filter('Проекты'!AT:AT,'Проекты'!A:A=J117)"),4)</f>
        <v>4</v>
      </c>
      <c r="AM117" s="4">
        <f ca="1">IFERROR(__xludf.dummyfunction("ifna(filter(commits_results!H:I,commits_results!B:B=A117,commits_results!A:A=J117),)"),0)</f>
        <v>0</v>
      </c>
      <c r="AN117" s="4">
        <f ca="1">IFERROR(__xludf.dummyfunction("""COMPUTED_VALUE"""),0)</f>
        <v>0</v>
      </c>
      <c r="AO117" s="4">
        <f t="shared" ca="1" si="26"/>
        <v>0</v>
      </c>
      <c r="AP117" s="4">
        <f ca="1">IFERROR(__xludf.dummyfunction("if(isna(filter(prs!C:U,prs!I:I=G117,prs!G:G&gt;DATE(2024,4,25),prs!G:G&lt;DATE(2024,5,23))),0,countunique(index(filter(prs!C:U,prs!I:I=G117,prs!G:G&gt;DATE(2024,4,25),prs!G:G&lt;DATE(2024,5,23)),,1)))"),0)</f>
        <v>0</v>
      </c>
      <c r="AQ117" s="4">
        <f ca="1">IFERROR(__xludf.dummyfunction("if(isna(filter(prs!C:U,prs!I:I=G117,prs!R:R&lt;&gt;""Empty field"",prs!G:G&gt;DATE(2024,4,25),prs!G:G&lt;DATE(2024,5,23))),0,countunique(index(filter(prs!C:U,prs!I:I=G117,prs!R:R&lt;&gt;""Empty field"",prs!G:G&gt;DATE(2024,4,25),prs!G:G&lt;DATE(2024,5,23)),,1)))"),0)</f>
        <v>0</v>
      </c>
      <c r="AR117" s="4">
        <f t="shared" ca="1" si="27"/>
        <v>0</v>
      </c>
      <c r="AS117" s="4">
        <f ca="1">IFERROR(__xludf.dummyfunction("round( (AO117+AR117) / 6 + filter('Проекты'!BA:BA,'Проекты'!A:A=J117), 1)"),5)</f>
        <v>5</v>
      </c>
      <c r="AT117" s="4">
        <f ca="1">IFERROR(__xludf.dummyfunction("filter('Проекты'!BB:BB,'Проекты'!A:A=J117)"),2.4)</f>
        <v>2.4</v>
      </c>
      <c r="AU117" s="4">
        <f ca="1">IFERROR(__xludf.dummyfunction("filter('Проекты'!BD:BD,'Проекты'!A:A=J117) + filter('Проекты'!BE:BE,'Проекты'!A:A=J117)"),0)</f>
        <v>0</v>
      </c>
      <c r="AV117" s="11">
        <f t="shared" ca="1" si="28"/>
        <v>65</v>
      </c>
      <c r="AW117" s="4" t="str">
        <f t="shared" ca="1" si="24"/>
        <v>Удовлетворительно</v>
      </c>
    </row>
    <row r="118" spans="1:79" ht="15.75" customHeight="1">
      <c r="A118" s="20" t="s">
        <v>651</v>
      </c>
      <c r="B118" s="6" t="s">
        <v>651</v>
      </c>
      <c r="C118" s="6"/>
      <c r="D118" s="20">
        <v>9304</v>
      </c>
      <c r="E118" s="20" t="s">
        <v>652</v>
      </c>
      <c r="F118" s="20" t="s">
        <v>652</v>
      </c>
      <c r="G118" s="20" t="s">
        <v>653</v>
      </c>
      <c r="H118" s="20" t="s">
        <v>654</v>
      </c>
      <c r="I118" s="4" t="s">
        <v>1133</v>
      </c>
      <c r="J118" s="7">
        <f ca="1">IFERROR(__xludf.dummyfunction("index(split(I118,char(9)),1,1)"),7)</f>
        <v>7</v>
      </c>
      <c r="K118" s="7">
        <f ca="1">IFERROR(__xludf.dummyfunction("ifna(index(filter('Посещаемость_баллы'!$A:$L,'Посещаемость_баллы'!$B:$B=$B118,'Посещаемость_баллы'!$C:$C=$C118,'Посещаемость_баллы'!$D:$D=$D118),1,12)*10,0)"),10)</f>
        <v>10</v>
      </c>
      <c r="L118" s="7">
        <f>ROUNDDOWN(IFERROR(VALUE(VLOOKUP(H118,'Онлайн-курс1'!B:F,5,FALSE())),IFERROR(VALUE(VLOOKUP(H118,'Онлайн-курс1'!C:F,4,FALSE())),0))/40*20,0)
+ IFERROR(VALUE(SUBSTITUTE(VLOOKUP(H118,'Онлайн-курс2'!B:I,8,FALSE()),".",",")),IFERROR(VALUE(SUBSTITUTE(VLOOKUP(H118,'Онлайн-курс2'!C:I,7,FALSE()),".",",")),0))*2</f>
        <v>20</v>
      </c>
      <c r="M118" s="8" t="s">
        <v>653</v>
      </c>
      <c r="N118" s="9">
        <v>1</v>
      </c>
      <c r="O118" s="4" t="s">
        <v>655</v>
      </c>
      <c r="P118" s="4">
        <v>0</v>
      </c>
      <c r="Q118" s="10" t="str">
        <f ca="1">IFERROR(__xludf.dummyfunction("iferror(index(QUERY(commits!A$2:$K1001, ""select Count(C) where lower(D) = lower('""&amp;G118&amp;""')""),2,1),""-"")"),"-")</f>
        <v>-</v>
      </c>
      <c r="R118" s="4" t="s">
        <v>656</v>
      </c>
      <c r="S118" s="4" t="s">
        <v>657</v>
      </c>
      <c r="T118" s="4">
        <f ca="1">VLOOKUP(A118,Расчёт_оценок!A:C,3,FALSE())</f>
        <v>5</v>
      </c>
      <c r="U118" s="4">
        <f ca="1">IFERROR(VLOOKUP(J118,Проекты!A:P,16,FALSE()),0)</f>
        <v>4</v>
      </c>
      <c r="V118" s="4" t="s">
        <v>658</v>
      </c>
      <c r="W118" s="4">
        <v>6</v>
      </c>
      <c r="X118" s="4">
        <v>52</v>
      </c>
      <c r="Y118" s="4">
        <f t="shared" si="29"/>
        <v>3</v>
      </c>
      <c r="Z118" s="4">
        <v>17</v>
      </c>
      <c r="AA118" s="4">
        <v>16</v>
      </c>
      <c r="AB118" s="4">
        <v>2</v>
      </c>
      <c r="AC118" s="4">
        <v>4.5599999999999996</v>
      </c>
      <c r="AD118" s="4">
        <v>3.8</v>
      </c>
      <c r="AE118" s="4">
        <v>4</v>
      </c>
      <c r="AF118" s="4">
        <v>5</v>
      </c>
      <c r="AG118" s="4">
        <v>1.2</v>
      </c>
      <c r="AH118" s="4">
        <f ca="1">IFERROR(__xludf.dummyfunction("if(isna(filter(prs!C:U,prs!I:I=G118,prs!G:G&gt;DATE(2024,3,28),prs!G:G&lt;DATE(2024,4,26))),0,countunique(index(filter(prs!C:U,prs!I:I=G118,prs!G:G&gt;DATE(2024,3,28),prs!G:G&lt;DATE(2024,4,26)),,1)))"),0)</f>
        <v>0</v>
      </c>
      <c r="AI118" s="4">
        <f ca="1">IFERROR(__xludf.dummyfunction("if(isna(filter(prs!C:U,prs!I:I=G118,prs!R:R&lt;&gt;""Empty field"",prs!G:G&gt;DATE(2024,3,28),prs!G:G&lt;DATE(2024,4,26))),0,countunique(index(filter(prs!C:U,prs!I:I=G118,prs!R:R&lt;&gt;""Empty field"",prs!G:G&gt;DATE(2024,3,28),prs!G:G&lt;DATE(2024,4,26)),,1)))"),0)</f>
        <v>0</v>
      </c>
      <c r="AJ118" s="4">
        <f t="shared" ca="1" si="25"/>
        <v>0</v>
      </c>
      <c r="AK118" s="4">
        <f ca="1">IFERROR(__xludf.dummyfunction("min(6,round((AG118+AJ118)/6 + filter('Проекты'!AS:AS,'Проекты'!A:A=J118),1))"),5.2)</f>
        <v>5.2</v>
      </c>
      <c r="AL118" s="4">
        <f ca="1">IFERROR(__xludf.dummyfunction("filter('Проекты'!AT:AT,'Проекты'!A:A=J118)"),4)</f>
        <v>4</v>
      </c>
      <c r="AM118" s="4">
        <f ca="1">IFERROR(__xludf.dummyfunction("ifna(filter(commits_results!H:I,commits_results!B:B=A118,commits_results!A:A=J118),)"),3)</f>
        <v>3</v>
      </c>
      <c r="AN118" s="4">
        <f ca="1">IFERROR(__xludf.dummyfunction("""COMPUTED_VALUE"""),3)</f>
        <v>3</v>
      </c>
      <c r="AO118" s="4">
        <f t="shared" ca="1" si="26"/>
        <v>3</v>
      </c>
      <c r="AP118" s="4">
        <f ca="1">IFERROR(__xludf.dummyfunction("if(isna(filter(prs!C:U,prs!I:I=G118,prs!G:G&gt;DATE(2024,4,25),prs!G:G&lt;DATE(2024,5,23))),0,countunique(index(filter(prs!C:U,prs!I:I=G118,prs!G:G&gt;DATE(2024,4,25),prs!G:G&lt;DATE(2024,5,23)),,1)))"),0)</f>
        <v>0</v>
      </c>
      <c r="AQ118" s="4">
        <f ca="1">IFERROR(__xludf.dummyfunction("if(isna(filter(prs!C:U,prs!I:I=G118,prs!R:R&lt;&gt;""Empty field"",prs!G:G&gt;DATE(2024,4,25),prs!G:G&lt;DATE(2024,5,23))),0,countunique(index(filter(prs!C:U,prs!I:I=G118,prs!R:R&lt;&gt;""Empty field"",prs!G:G&gt;DATE(2024,4,25),prs!G:G&lt;DATE(2024,5,23)),,1)))"),0)</f>
        <v>0</v>
      </c>
      <c r="AR118" s="4">
        <f t="shared" ca="1" si="27"/>
        <v>0</v>
      </c>
      <c r="AS118" s="4">
        <f ca="1">IFERROR(__xludf.dummyfunction("round( (AO118+AR118) / 6 + filter('Проекты'!BA:BA,'Проекты'!A:A=J118), 1)"),5.5)</f>
        <v>5.5</v>
      </c>
      <c r="AT118" s="4">
        <f ca="1">IFERROR(__xludf.dummyfunction("filter('Проекты'!BB:BB,'Проекты'!A:A=J118)"),4)</f>
        <v>4</v>
      </c>
      <c r="AU118" s="4">
        <f ca="1">IFERROR(__xludf.dummyfunction("filter('Проекты'!BD:BD,'Проекты'!A:A=J118) + filter('Проекты'!BE:BE,'Проекты'!A:A=J118)"),7)</f>
        <v>7</v>
      </c>
      <c r="AV118" s="11">
        <f t="shared" ca="1" si="28"/>
        <v>74</v>
      </c>
      <c r="AW118" s="4" t="str">
        <f t="shared" ca="1" si="24"/>
        <v>Удовлетворительно</v>
      </c>
    </row>
    <row r="119" spans="1:79" ht="15.75" customHeight="1">
      <c r="A119" s="20" t="s">
        <v>659</v>
      </c>
      <c r="B119" s="6" t="s">
        <v>659</v>
      </c>
      <c r="C119" s="6"/>
      <c r="D119" s="20">
        <v>9304</v>
      </c>
      <c r="E119" s="20" t="s">
        <v>660</v>
      </c>
      <c r="F119" s="20" t="s">
        <v>660</v>
      </c>
      <c r="G119" s="20" t="s">
        <v>661</v>
      </c>
      <c r="H119" s="20" t="s">
        <v>662</v>
      </c>
      <c r="I119" s="4" t="s">
        <v>1134</v>
      </c>
      <c r="J119" s="7">
        <f ca="1">IFERROR(__xludf.dummyfunction("index(split(I119,char(9)),1,1)"),14)</f>
        <v>14</v>
      </c>
      <c r="K119" s="7">
        <f ca="1">IFERROR(__xludf.dummyfunction("ifna(index(filter('Посещаемость_баллы'!$A:$L,'Посещаемость_баллы'!$B:$B=$B119,'Посещаемость_баллы'!$C:$C=$C119,'Посещаемость_баллы'!$D:$D=$D119),1,12)*10,0)"),4)</f>
        <v>4</v>
      </c>
      <c r="L119" s="7">
        <f>ROUNDDOWN(IFERROR(VALUE(VLOOKUP(H119,'Онлайн-курс1'!B:F,5,FALSE())),IFERROR(VALUE(VLOOKUP(H119,'Онлайн-курс1'!C:F,4,FALSE())),0))/40*20,0)
+ IFERROR(VALUE(SUBSTITUTE(VLOOKUP(H119,'Онлайн-курс2'!B:I,8,FALSE()),".",",")),IFERROR(VALUE(SUBSTITUTE(VLOOKUP(H119,'Онлайн-курс2'!C:I,7,FALSE()),".",",")),0))*2</f>
        <v>20</v>
      </c>
      <c r="M119" s="8" t="s">
        <v>661</v>
      </c>
      <c r="N119" s="9">
        <v>1</v>
      </c>
      <c r="O119" s="4" t="s">
        <v>663</v>
      </c>
      <c r="P119" s="4">
        <v>0</v>
      </c>
      <c r="Q119" s="10" t="str">
        <f ca="1">IFERROR(__xludf.dummyfunction("iferror(index(QUERY(commits!A$2:$K1001, ""select Count(C) where lower(D) = lower('""&amp;G119&amp;""')""),2,1),""-"")"),"-")</f>
        <v>-</v>
      </c>
      <c r="R119" s="4" t="s">
        <v>664</v>
      </c>
      <c r="S119" s="4" t="s">
        <v>539</v>
      </c>
      <c r="T119" s="4">
        <f ca="1">VLOOKUP(A119,Расчёт_оценок!A:C,3,FALSE())</f>
        <v>6</v>
      </c>
      <c r="U119" s="4">
        <f ca="1">IFERROR(VLOOKUP(J119,Проекты!A:P,16,FALSE()),0)</f>
        <v>4</v>
      </c>
      <c r="V119" s="4" t="s">
        <v>148</v>
      </c>
      <c r="W119" s="4">
        <v>12</v>
      </c>
      <c r="X119" s="4">
        <v>12</v>
      </c>
      <c r="Y119" s="4">
        <f t="shared" si="29"/>
        <v>3</v>
      </c>
      <c r="Z119" s="4">
        <v>3</v>
      </c>
      <c r="AA119" s="4">
        <v>11</v>
      </c>
      <c r="AB119" s="4">
        <v>2</v>
      </c>
      <c r="AC119" s="4">
        <v>4.5</v>
      </c>
      <c r="AD119" s="4">
        <v>2.1</v>
      </c>
      <c r="AE119" s="4">
        <v>1</v>
      </c>
      <c r="AF119" s="4">
        <v>1</v>
      </c>
      <c r="AG119" s="4">
        <v>1.5</v>
      </c>
      <c r="AH119" s="4">
        <f ca="1">IFERROR(__xludf.dummyfunction("if(isna(filter(prs!C:U,prs!I:I=G119,prs!G:G&gt;DATE(2024,3,28),prs!G:G&lt;DATE(2024,4,26))),0,countunique(index(filter(prs!C:U,prs!I:I=G119,prs!G:G&gt;DATE(2024,3,28),prs!G:G&lt;DATE(2024,4,26)),,1)))"),2)</f>
        <v>2</v>
      </c>
      <c r="AI119" s="4">
        <f ca="1">IFERROR(__xludf.dummyfunction("if(isna(filter(prs!C:U,prs!I:I=G119,prs!R:R&lt;&gt;""Empty field"",prs!G:G&gt;DATE(2024,3,28),prs!G:G&lt;DATE(2024,4,26))),0,countunique(index(filter(prs!C:U,prs!I:I=G119,prs!R:R&lt;&gt;""Empty field"",prs!G:G&gt;DATE(2024,3,28),prs!G:G&lt;DATE(2024,4,26)),,1)))"),2)</f>
        <v>2</v>
      </c>
      <c r="AJ119" s="4">
        <f t="shared" ca="1" si="25"/>
        <v>3</v>
      </c>
      <c r="AK119" s="4">
        <f ca="1">IFERROR(__xludf.dummyfunction("min(6,round((AG119+AJ119)/6 + filter('Проекты'!AS:AS,'Проекты'!A:A=J119),1))"),5.8)</f>
        <v>5.8</v>
      </c>
      <c r="AL119" s="4">
        <f ca="1">IFERROR(__xludf.dummyfunction("filter('Проекты'!AT:AT,'Проекты'!A:A=J119)"),3.5)</f>
        <v>3.5</v>
      </c>
      <c r="AM119" s="4">
        <f ca="1">IFERROR(__xludf.dummyfunction("ifna(filter(commits_results!H:I,commits_results!B:B=A119,commits_results!A:A=J119),)"),0)</f>
        <v>0</v>
      </c>
      <c r="AN119" s="4">
        <f ca="1">IFERROR(__xludf.dummyfunction("""COMPUTED_VALUE"""),0)</f>
        <v>0</v>
      </c>
      <c r="AO119" s="4">
        <f t="shared" ca="1" si="26"/>
        <v>0</v>
      </c>
      <c r="AP119" s="4">
        <f ca="1">IFERROR(__xludf.dummyfunction("if(isna(filter(prs!C:U,prs!I:I=G119,prs!G:G&gt;DATE(2024,4,25),prs!G:G&lt;DATE(2024,5,23))),0,countunique(index(filter(prs!C:U,prs!I:I=G119,prs!G:G&gt;DATE(2024,4,25),prs!G:G&lt;DATE(2024,5,23)),,1)))"),1)</f>
        <v>1</v>
      </c>
      <c r="AQ119" s="4">
        <f ca="1">IFERROR(__xludf.dummyfunction("if(isna(filter(prs!C:U,prs!I:I=G119,prs!R:R&lt;&gt;""Empty field"",prs!G:G&gt;DATE(2024,4,25),prs!G:G&lt;DATE(2024,5,23))),0,countunique(index(filter(prs!C:U,prs!I:I=G119,prs!R:R&lt;&gt;""Empty field"",prs!G:G&gt;DATE(2024,4,25),prs!G:G&lt;DATE(2024,5,23)),,1)))"),1)</f>
        <v>1</v>
      </c>
      <c r="AR119" s="4">
        <f t="shared" ca="1" si="27"/>
        <v>3</v>
      </c>
      <c r="AS119" s="4">
        <f ca="1">IFERROR(__xludf.dummyfunction("round( (AO119+AR119) / 6 + filter('Проекты'!BA:BA,'Проекты'!A:A=J119), 1)"),4.8)</f>
        <v>4.8</v>
      </c>
      <c r="AT119" s="4">
        <f ca="1">IFERROR(__xludf.dummyfunction("filter('Проекты'!BB:BB,'Проекты'!A:A=J119)"),4)</f>
        <v>4</v>
      </c>
      <c r="AU119" s="4">
        <f ca="1">IFERROR(__xludf.dummyfunction("filter('Проекты'!BD:BD,'Проекты'!A:A=J119) + filter('Проекты'!BE:BE,'Проекты'!A:A=J119)"),0)</f>
        <v>0</v>
      </c>
      <c r="AV119" s="11">
        <f t="shared" ca="1" si="28"/>
        <v>59</v>
      </c>
      <c r="AW119" s="4" t="str">
        <f t="shared" ca="1" si="24"/>
        <v>Неудовлетворительно</v>
      </c>
    </row>
    <row r="120" spans="1:79" ht="15.75" customHeight="1">
      <c r="A120" s="20" t="s">
        <v>665</v>
      </c>
      <c r="B120" s="6" t="s">
        <v>665</v>
      </c>
      <c r="C120" s="6"/>
      <c r="D120" s="20">
        <v>9310</v>
      </c>
      <c r="E120" s="20" t="s">
        <v>666</v>
      </c>
      <c r="F120" s="20" t="s">
        <v>666</v>
      </c>
      <c r="G120" s="20" t="s">
        <v>667</v>
      </c>
      <c r="H120" s="20" t="s">
        <v>668</v>
      </c>
      <c r="I120" s="4" t="s">
        <v>1135</v>
      </c>
      <c r="J120" s="7">
        <f ca="1">IFERROR(__xludf.dummyfunction("index(split(I120,char(9)),1,1)"),18)</f>
        <v>18</v>
      </c>
      <c r="K120" s="7">
        <f ca="1">IFERROR(__xludf.dummyfunction("ifna(index(filter('Посещаемость_баллы'!$A:$L,'Посещаемость_баллы'!$B:$B=$B120,'Посещаемость_баллы'!$C:$C=$C120,'Посещаемость_баллы'!$D:$D=$D120),1,12)*10,0)"),0)</f>
        <v>0</v>
      </c>
      <c r="L120" s="7">
        <f>ROUNDDOWN(IFERROR(VALUE(VLOOKUP(H120,'Онлайн-курс1'!B:F,5,FALSE())),IFERROR(VALUE(VLOOKUP(H120,'Онлайн-курс1'!C:F,4,FALSE())),0))/40*20,0)
+ IFERROR(VALUE(SUBSTITUTE(VLOOKUP(H120,'Онлайн-курс2'!B:I,8,FALSE()),".",",")),IFERROR(VALUE(SUBSTITUTE(VLOOKUP(H120,'Онлайн-курс2'!C:I,7,FALSE()),".",",")),0))*2</f>
        <v>20</v>
      </c>
      <c r="M120" s="8" t="s">
        <v>667</v>
      </c>
      <c r="N120" s="9">
        <v>1</v>
      </c>
      <c r="O120" s="4" t="s">
        <v>669</v>
      </c>
      <c r="P120" s="4">
        <v>0</v>
      </c>
      <c r="Q120" s="10" t="str">
        <f ca="1">IFERROR(__xludf.dummyfunction("iferror(index(QUERY(commits!A$2:$K1001, ""select Count(C) where lower(D) = lower('""&amp;G120&amp;""')""),2,1),""-"")"),"-")</f>
        <v>-</v>
      </c>
      <c r="R120" s="4" t="s">
        <v>670</v>
      </c>
      <c r="S120" s="4" t="s">
        <v>539</v>
      </c>
      <c r="T120" s="4">
        <f ca="1">VLOOKUP(A120,Расчёт_оценок!A:C,3,FALSE())</f>
        <v>6</v>
      </c>
      <c r="U120" s="4">
        <f ca="1">IFERROR(VLOOKUP(J120,Проекты!A:P,16,FALSE()),0)</f>
        <v>4</v>
      </c>
      <c r="V120" s="4" t="s">
        <v>671</v>
      </c>
      <c r="W120" s="4">
        <v>18</v>
      </c>
      <c r="X120" s="4">
        <v>18</v>
      </c>
      <c r="Y120" s="4">
        <f t="shared" si="29"/>
        <v>3</v>
      </c>
      <c r="Z120" s="4">
        <v>2</v>
      </c>
      <c r="AA120" s="4">
        <v>16</v>
      </c>
      <c r="AB120" s="4">
        <v>2</v>
      </c>
      <c r="AC120" s="4">
        <v>4</v>
      </c>
      <c r="AD120" s="4">
        <v>3.8</v>
      </c>
      <c r="AE120" s="4">
        <v>2</v>
      </c>
      <c r="AF120" s="4">
        <v>2</v>
      </c>
      <c r="AG120" s="4">
        <v>1.5</v>
      </c>
      <c r="AH120" s="4">
        <f ca="1">IFERROR(__xludf.dummyfunction("if(isna(filter(prs!C:U,prs!I:I=G120,prs!G:G&gt;DATE(2024,3,28),prs!G:G&lt;DATE(2024,4,26))),0,countunique(index(filter(prs!C:U,prs!I:I=G120,prs!G:G&gt;DATE(2024,3,28),prs!G:G&lt;DATE(2024,4,26)),,1)))"),2)</f>
        <v>2</v>
      </c>
      <c r="AI120" s="4">
        <f ca="1">IFERROR(__xludf.dummyfunction("if(isna(filter(prs!C:U,prs!I:I=G120,prs!R:R&lt;&gt;""Empty field"",prs!G:G&gt;DATE(2024,3,28),prs!G:G&lt;DATE(2024,4,26))),0,countunique(index(filter(prs!C:U,prs!I:I=G120,prs!R:R&lt;&gt;""Empty field"",prs!G:G&gt;DATE(2024,3,28),prs!G:G&lt;DATE(2024,4,26)),,1)))"),2)</f>
        <v>2</v>
      </c>
      <c r="AJ120" s="4">
        <f t="shared" ca="1" si="25"/>
        <v>3</v>
      </c>
      <c r="AK120" s="4">
        <f ca="1">IFERROR(__xludf.dummyfunction("min(6,round((AG120+AJ120)/6 + filter('Проекты'!AS:AS,'Проекты'!A:A=J120),1))"),3.1)</f>
        <v>3.1</v>
      </c>
      <c r="AL120" s="4">
        <f ca="1">IFERROR(__xludf.dummyfunction("filter('Проекты'!AT:AT,'Проекты'!A:A=J120)"),3.5)</f>
        <v>3.5</v>
      </c>
      <c r="AM120" s="4">
        <f ca="1">IFERROR(__xludf.dummyfunction("ifna(filter(commits_results!H:I,commits_results!B:B=A120,commits_results!A:A=J120),)"),1)</f>
        <v>1</v>
      </c>
      <c r="AN120" s="4">
        <f ca="1">IFERROR(__xludf.dummyfunction("""COMPUTED_VALUE"""),1)</f>
        <v>1</v>
      </c>
      <c r="AO120" s="4">
        <f t="shared" ca="1" si="26"/>
        <v>3</v>
      </c>
      <c r="AP120" s="4">
        <f ca="1">IFERROR(__xludf.dummyfunction("if(isna(filter(prs!C:U,prs!I:I=G120,prs!G:G&gt;DATE(2024,4,25),prs!G:G&lt;DATE(2024,5,23))),0,countunique(index(filter(prs!C:U,prs!I:I=G120,prs!G:G&gt;DATE(2024,4,25),prs!G:G&lt;DATE(2024,5,23)),,1)))"),0)</f>
        <v>0</v>
      </c>
      <c r="AQ120" s="4">
        <f ca="1">IFERROR(__xludf.dummyfunction("if(isna(filter(prs!C:U,prs!I:I=G120,prs!R:R&lt;&gt;""Empty field"",prs!G:G&gt;DATE(2024,4,25),prs!G:G&lt;DATE(2024,5,23))),0,countunique(index(filter(prs!C:U,prs!I:I=G120,prs!R:R&lt;&gt;""Empty field"",prs!G:G&gt;DATE(2024,4,25),prs!G:G&lt;DATE(2024,5,23)),,1)))"),0)</f>
        <v>0</v>
      </c>
      <c r="AR120" s="4">
        <f t="shared" ca="1" si="27"/>
        <v>0</v>
      </c>
      <c r="AS120" s="4">
        <f ca="1">IFERROR(__xludf.dummyfunction("round( (AO120+AR120) / 6 + filter('Проекты'!BA:BA,'Проекты'!A:A=J120), 1)"),5.5)</f>
        <v>5.5</v>
      </c>
      <c r="AT120" s="4">
        <f ca="1">IFERROR(__xludf.dummyfunction("filter('Проекты'!BB:BB,'Проекты'!A:A=J120)"),4)</f>
        <v>4</v>
      </c>
      <c r="AU120" s="4">
        <f ca="1">IFERROR(__xludf.dummyfunction("filter('Проекты'!BD:BD,'Проекты'!A:A=J120) + filter('Проекты'!BE:BE,'Проекты'!A:A=J120)"),0)</f>
        <v>0</v>
      </c>
      <c r="AV120" s="11">
        <f t="shared" ca="1" si="28"/>
        <v>54</v>
      </c>
      <c r="AW120" s="4" t="str">
        <f t="shared" ca="1" si="24"/>
        <v>Неудовлетворительно</v>
      </c>
    </row>
    <row r="121" spans="1:79" ht="15.75" customHeight="1">
      <c r="A121" s="20" t="s">
        <v>672</v>
      </c>
      <c r="B121" s="6" t="s">
        <v>672</v>
      </c>
      <c r="C121" s="6"/>
      <c r="D121" s="20">
        <v>9310</v>
      </c>
      <c r="E121" s="20" t="s">
        <v>673</v>
      </c>
      <c r="F121" s="20" t="s">
        <v>673</v>
      </c>
      <c r="G121" s="20" t="s">
        <v>674</v>
      </c>
      <c r="H121" s="20" t="s">
        <v>675</v>
      </c>
      <c r="I121" s="4" t="s">
        <v>1136</v>
      </c>
      <c r="J121" s="7">
        <f ca="1">IFERROR(__xludf.dummyfunction("index(split(I121,char(9)),1,1)"),2)</f>
        <v>2</v>
      </c>
      <c r="K121" s="7">
        <f ca="1">IFERROR(__xludf.dummyfunction("ifna(index(filter('Посещаемость_баллы'!$A:$L,'Посещаемость_баллы'!$B:$B=$B121,'Посещаемость_баллы'!$C:$C=$C121,'Посещаемость_баллы'!$D:$D=$D121),1,12)*10,0)"),0)</f>
        <v>0</v>
      </c>
      <c r="L121" s="7">
        <f>ROUNDDOWN(IFERROR(VALUE(VLOOKUP(H121,'Онлайн-курс1'!B:F,5,FALSE())),IFERROR(VALUE(VLOOKUP(H121,'Онлайн-курс1'!C:F,4,FALSE())),0))/40*20,0)
+ IFERROR(VALUE(SUBSTITUTE(VLOOKUP(H121,'Онлайн-курс2'!B:I,8,FALSE()),".",",")),IFERROR(VALUE(SUBSTITUTE(VLOOKUP(H121,'Онлайн-курс2'!C:I,7,FALSE()),".",",")),0))*2</f>
        <v>20</v>
      </c>
      <c r="M121" s="8" t="s">
        <v>674</v>
      </c>
      <c r="N121" s="9">
        <v>0</v>
      </c>
      <c r="O121" s="4" t="s">
        <v>676</v>
      </c>
      <c r="P121" s="4">
        <v>0</v>
      </c>
      <c r="Q121" s="10" t="str">
        <f ca="1">IFERROR(__xludf.dummyfunction("iferror(index(QUERY(commits!A$2:$K1001, ""select Count(C) where lower(D) = lower('""&amp;G121&amp;""')""),2,1),""-"")"),"-")</f>
        <v>-</v>
      </c>
      <c r="R121" s="4" t="s">
        <v>54</v>
      </c>
      <c r="S121" s="4" t="s">
        <v>539</v>
      </c>
      <c r="T121" s="4">
        <f ca="1">VLOOKUP(A121,Расчёт_оценок!A:C,3,FALSE())</f>
        <v>5</v>
      </c>
      <c r="U121" s="4">
        <f ca="1">IFERROR(VLOOKUP(J121,Проекты!A:P,16,FALSE()),0)</f>
        <v>3</v>
      </c>
      <c r="V121" s="4" t="s">
        <v>54</v>
      </c>
      <c r="W121" s="4">
        <v>0</v>
      </c>
      <c r="X121" s="4">
        <v>0</v>
      </c>
      <c r="Y121" s="4">
        <f t="shared" si="29"/>
        <v>0</v>
      </c>
      <c r="Z121" s="4">
        <v>0</v>
      </c>
      <c r="AA121" s="4">
        <v>0</v>
      </c>
      <c r="AB121" s="4">
        <v>0</v>
      </c>
      <c r="AC121" s="4">
        <v>4</v>
      </c>
      <c r="AD121" s="4">
        <v>3.4</v>
      </c>
      <c r="AE121" s="4">
        <v>21</v>
      </c>
      <c r="AF121" s="4">
        <v>21</v>
      </c>
      <c r="AG121" s="4">
        <v>3</v>
      </c>
      <c r="AH121" s="4">
        <f ca="1">IFERROR(__xludf.dummyfunction("if(isna(filter(prs!C:U,prs!I:I=G121,prs!G:G&gt;DATE(2024,3,28),prs!G:G&lt;DATE(2024,4,26))),0,countunique(index(filter(prs!C:U,prs!I:I=G121,prs!G:G&gt;DATE(2024,3,28),prs!G:G&lt;DATE(2024,4,26)),,1)))"),0)</f>
        <v>0</v>
      </c>
      <c r="AI121" s="4">
        <f ca="1">IFERROR(__xludf.dummyfunction("if(isna(filter(prs!C:U,prs!I:I=G121,prs!R:R&lt;&gt;""Empty field"",prs!G:G&gt;DATE(2024,3,28),prs!G:G&lt;DATE(2024,4,26))),0,countunique(index(filter(prs!C:U,prs!I:I=G121,prs!R:R&lt;&gt;""Empty field"",prs!G:G&gt;DATE(2024,3,28),prs!G:G&lt;DATE(2024,4,26)),,1)))"),0)</f>
        <v>0</v>
      </c>
      <c r="AJ121" s="4">
        <f t="shared" ca="1" si="25"/>
        <v>0</v>
      </c>
      <c r="AK121" s="4">
        <f ca="1">IFERROR(__xludf.dummyfunction("min(6,round((AG121+AJ121)/6 + filter('Проекты'!AS:AS,'Проекты'!A:A=J121),1))"),5.5)</f>
        <v>5.5</v>
      </c>
      <c r="AL121" s="4">
        <f ca="1">IFERROR(__xludf.dummyfunction("filter('Проекты'!AT:AT,'Проекты'!A:A=J121)"),3.3)</f>
        <v>3.3</v>
      </c>
      <c r="AM121" s="4">
        <f ca="1">IFERROR(__xludf.dummyfunction("ifna(filter(commits_results!H:I,commits_results!B:B=A121,commits_results!A:A=J121),)"),5)</f>
        <v>5</v>
      </c>
      <c r="AN121" s="4">
        <f ca="1">IFERROR(__xludf.dummyfunction("""COMPUTED_VALUE"""),10)</f>
        <v>10</v>
      </c>
      <c r="AO121" s="4">
        <f t="shared" ca="1" si="26"/>
        <v>3</v>
      </c>
      <c r="AP121" s="4">
        <f ca="1">IFERROR(__xludf.dummyfunction("if(isna(filter(prs!C:U,prs!I:I=G121,prs!G:G&gt;DATE(2024,4,25),prs!G:G&lt;DATE(2024,5,23))),0,countunique(index(filter(prs!C:U,prs!I:I=G121,prs!G:G&gt;DATE(2024,4,25),prs!G:G&lt;DATE(2024,5,23)),,1)))"),0)</f>
        <v>0</v>
      </c>
      <c r="AQ121" s="4">
        <f ca="1">IFERROR(__xludf.dummyfunction("if(isna(filter(prs!C:U,prs!I:I=G121,prs!R:R&lt;&gt;""Empty field"",prs!G:G&gt;DATE(2024,4,25),prs!G:G&lt;DATE(2024,5,23))),0,countunique(index(filter(prs!C:U,prs!I:I=G121,prs!R:R&lt;&gt;""Empty field"",prs!G:G&gt;DATE(2024,4,25),prs!G:G&lt;DATE(2024,5,23)),,1)))"),0)</f>
        <v>0</v>
      </c>
      <c r="AR121" s="4">
        <f t="shared" ca="1" si="27"/>
        <v>0</v>
      </c>
      <c r="AS121" s="4">
        <f ca="1">IFERROR(__xludf.dummyfunction("round( (AO121+AR121) / 6 + filter('Проекты'!BA:BA,'Проекты'!A:A=J121), 1)"),3.3)</f>
        <v>3.3</v>
      </c>
      <c r="AT121" s="4">
        <f ca="1">IFERROR(__xludf.dummyfunction("filter('Проекты'!BB:BB,'Проекты'!A:A=J121)"),2.8)</f>
        <v>2.8</v>
      </c>
      <c r="AU121" s="4">
        <f ca="1">IFERROR(__xludf.dummyfunction("filter('Проекты'!BD:BD,'Проекты'!A:A=J121) + filter('Проекты'!BE:BE,'Проекты'!A:A=J121)"),7)</f>
        <v>7</v>
      </c>
      <c r="AV121" s="11">
        <f t="shared" ca="1" si="28"/>
        <v>58</v>
      </c>
      <c r="AW121" s="4" t="str">
        <f t="shared" ca="1" si="24"/>
        <v>Неудовлетворительно</v>
      </c>
    </row>
    <row r="122" spans="1:79" ht="15.75" customHeight="1">
      <c r="A122" s="20" t="s">
        <v>677</v>
      </c>
      <c r="B122" s="6" t="s">
        <v>677</v>
      </c>
      <c r="C122" s="6"/>
      <c r="D122" s="20">
        <v>9310</v>
      </c>
      <c r="E122" s="20" t="s">
        <v>678</v>
      </c>
      <c r="F122" s="20" t="s">
        <v>678</v>
      </c>
      <c r="G122" s="20" t="s">
        <v>679</v>
      </c>
      <c r="H122" s="20" t="s">
        <v>680</v>
      </c>
      <c r="I122" s="4" t="s">
        <v>1137</v>
      </c>
      <c r="J122" s="7" t="str">
        <f ca="1">IFERROR(__xludf.dummyfunction("index(split(I122,char(9)),1,1)"),"FastTrack")</f>
        <v>FastTrack</v>
      </c>
      <c r="K122" s="7">
        <f ca="1">IFERROR(__xludf.dummyfunction("ifna(index(filter('Посещаемость_баллы'!$A:$L,'Посещаемость_баллы'!$B:$B=$B122,'Посещаемость_баллы'!$C:$C=$C122,'Посещаемость_баллы'!$D:$D=$D122),1,12)*10,0)"),8)</f>
        <v>8</v>
      </c>
      <c r="L122" s="7">
        <f>ROUNDDOWN(IFERROR(VALUE(VLOOKUP(H122,'Онлайн-курс1'!B:F,5,FALSE())),IFERROR(VALUE(VLOOKUP(H122,'Онлайн-курс1'!C:F,4,FALSE())),0))/40*20,0)
+ IFERROR(VALUE(SUBSTITUTE(VLOOKUP(H122,'Онлайн-курс2'!B:I,8,FALSE()),".",",")),IFERROR(VALUE(SUBSTITUTE(VLOOKUP(H122,'Онлайн-курс2'!C:I,7,FALSE()),".",",")),0))*2</f>
        <v>20</v>
      </c>
      <c r="M122" s="8" t="s">
        <v>679</v>
      </c>
      <c r="N122" s="9">
        <v>0</v>
      </c>
      <c r="O122" s="4" t="s">
        <v>681</v>
      </c>
      <c r="P122" s="4">
        <v>0</v>
      </c>
      <c r="Q122" s="10" t="str">
        <f ca="1">IFERROR(__xludf.dummyfunction("iferror(index(QUERY(commits!A$2:$K1001, ""select Count(C) where lower(D) = lower('""&amp;G122&amp;""')""),2,1),""-"")"),"-")</f>
        <v>-</v>
      </c>
      <c r="R122" s="4" t="s">
        <v>54</v>
      </c>
      <c r="S122" s="4" t="s">
        <v>539</v>
      </c>
      <c r="T122" s="4">
        <f ca="1">VLOOKUP(A122,Расчёт_оценок!A:C,3,FALSE())</f>
        <v>0</v>
      </c>
      <c r="U122" s="4">
        <v>2</v>
      </c>
      <c r="V122" s="4" t="s">
        <v>54</v>
      </c>
      <c r="W122" s="4">
        <v>0</v>
      </c>
      <c r="X122" s="4">
        <v>0</v>
      </c>
      <c r="Y122" s="4">
        <f t="shared" si="29"/>
        <v>0</v>
      </c>
      <c r="Z122" s="4">
        <v>0</v>
      </c>
      <c r="AA122" s="4">
        <v>0</v>
      </c>
      <c r="AB122" s="4">
        <v>0</v>
      </c>
      <c r="AC122" s="4"/>
      <c r="AD122" s="4">
        <v>0</v>
      </c>
      <c r="AE122" s="4"/>
      <c r="AF122" s="4"/>
      <c r="AG122" s="4">
        <v>0</v>
      </c>
      <c r="AH122" s="4">
        <f ca="1">IFERROR(__xludf.dummyfunction("if(isna(filter(prs!C:U,prs!I:I=G122,prs!G:G&gt;DATE(2024,3,28),prs!G:G&lt;DATE(2024,4,26))),0,countunique(index(filter(prs!C:U,prs!I:I=G122,prs!G:G&gt;DATE(2024,3,28),prs!G:G&lt;DATE(2024,4,26)),,1)))"),0)</f>
        <v>0</v>
      </c>
      <c r="AI122" s="4">
        <f ca="1">IFERROR(__xludf.dummyfunction("if(isna(filter(prs!C:U,prs!I:I=G122,prs!R:R&lt;&gt;""Empty field"",prs!G:G&gt;DATE(2024,3,28),prs!G:G&lt;DATE(2024,4,26))),0,countunique(index(filter(prs!C:U,prs!I:I=G122,prs!R:R&lt;&gt;""Empty field"",prs!G:G&gt;DATE(2024,3,28),prs!G:G&lt;DATE(2024,4,26)),,1)))"),0)</f>
        <v>0</v>
      </c>
      <c r="AJ122" s="4">
        <f t="shared" ca="1" si="25"/>
        <v>0</v>
      </c>
      <c r="AK122" s="4"/>
      <c r="AL122" s="4">
        <v>6</v>
      </c>
      <c r="AM122" s="4" t="str">
        <f ca="1">IFERROR(__xludf.dummyfunction("ifna(filter(commits_results!H:I,commits_results!B:B=A122,commits_results!A:A=J122),)"),"")</f>
        <v/>
      </c>
      <c r="AN122" s="4"/>
      <c r="AO122" s="4">
        <f t="shared" ca="1" si="26"/>
        <v>0</v>
      </c>
      <c r="AP122" s="4">
        <f ca="1">IFERROR(__xludf.dummyfunction("if(isna(filter(prs!C:U,prs!I:I=G122,prs!G:G&gt;DATE(2024,4,25),prs!G:G&lt;DATE(2024,5,23))),0,countunique(index(filter(prs!C:U,prs!I:I=G122,prs!G:G&gt;DATE(2024,4,25),prs!G:G&lt;DATE(2024,5,23)),,1)))"),0)</f>
        <v>0</v>
      </c>
      <c r="AQ122" s="4">
        <f ca="1">IFERROR(__xludf.dummyfunction("if(isna(filter(prs!C:U,prs!I:I=G122,prs!R:R&lt;&gt;""Empty field"",prs!G:G&gt;DATE(2024,4,25),prs!G:G&lt;DATE(2024,5,23))),0,countunique(index(filter(prs!C:U,prs!I:I=G122,prs!R:R&lt;&gt;""Empty field"",prs!G:G&gt;DATE(2024,4,25),prs!G:G&lt;DATE(2024,5,23)),,1)))"),0)</f>
        <v>0</v>
      </c>
      <c r="AR122" s="4">
        <f t="shared" ca="1" si="27"/>
        <v>0</v>
      </c>
      <c r="AS122" s="4">
        <f ca="1">IFERROR(__xludf.dummyfunction("round( (AO122+AR122) / 6 + filter('Проекты'!BA:BA,'Проекты'!A:A=J122), 1)"),0)</f>
        <v>0</v>
      </c>
      <c r="AT122" s="4">
        <v>7</v>
      </c>
      <c r="AU122" s="4">
        <f ca="1">IFERROR(__xludf.dummyfunction("filter('Проекты'!BD:BD,'Проекты'!A:A=J122) + filter('Проекты'!BE:BE,'Проекты'!A:A=J122)"),0)</f>
        <v>0</v>
      </c>
      <c r="AV122" s="11">
        <f t="shared" ca="1" si="28"/>
        <v>43</v>
      </c>
      <c r="AW122" s="4" t="str">
        <f t="shared" ca="1" si="24"/>
        <v>Неудовлетворительно</v>
      </c>
    </row>
    <row r="123" spans="1:79" ht="15.75" customHeight="1">
      <c r="A123" s="20" t="s">
        <v>682</v>
      </c>
      <c r="B123" s="6" t="s">
        <v>682</v>
      </c>
      <c r="C123" s="6"/>
      <c r="D123" s="20">
        <v>9310</v>
      </c>
      <c r="E123" s="20" t="s">
        <v>683</v>
      </c>
      <c r="F123" s="20" t="s">
        <v>683</v>
      </c>
      <c r="G123" s="20" t="s">
        <v>684</v>
      </c>
      <c r="H123" s="20" t="s">
        <v>685</v>
      </c>
      <c r="I123" s="4" t="s">
        <v>1138</v>
      </c>
      <c r="J123" s="7">
        <f ca="1">IFERROR(__xludf.dummyfunction("index(split(I123,char(9)),1,1)"),15)</f>
        <v>15</v>
      </c>
      <c r="K123" s="7">
        <f ca="1">IFERROR(__xludf.dummyfunction("ifna(index(filter('Посещаемость_баллы'!$A:$L,'Посещаемость_баллы'!$B:$B=$B123,'Посещаемость_баллы'!$C:$C=$C123,'Посещаемость_баллы'!$D:$D=$D123),1,12)*10,0)"),0)</f>
        <v>0</v>
      </c>
      <c r="L123" s="7">
        <f>ROUNDDOWN(IFERROR(VALUE(VLOOKUP(H123,'Онлайн-курс1'!B:F,5,FALSE())),IFERROR(VALUE(VLOOKUP(H123,'Онлайн-курс1'!C:F,4,FALSE())),0))/40*20,0)
+ IFERROR(VALUE(SUBSTITUTE(VLOOKUP(H123,'Онлайн-курс2'!B:I,8,FALSE()),".",",")),IFERROR(VALUE(SUBSTITUTE(VLOOKUP(H123,'Онлайн-курс2'!C:I,7,FALSE()),".",",")),0))*2</f>
        <v>20</v>
      </c>
      <c r="M123" s="8" t="s">
        <v>684</v>
      </c>
      <c r="N123" s="9">
        <v>1</v>
      </c>
      <c r="O123" s="4" t="s">
        <v>686</v>
      </c>
      <c r="P123" s="4">
        <v>0</v>
      </c>
      <c r="Q123" s="10" t="str">
        <f ca="1">IFERROR(__xludf.dummyfunction("iferror(index(QUERY(commits!A$2:$K1001, ""select Count(C) where lower(D) = lower('""&amp;G123&amp;""')""),2,1),""-"")"),"-")</f>
        <v>-</v>
      </c>
      <c r="R123" s="4" t="s">
        <v>578</v>
      </c>
      <c r="S123" s="4" t="s">
        <v>539</v>
      </c>
      <c r="T123" s="4">
        <f ca="1">VLOOKUP(A123,Расчёт_оценок!A:C,3,FALSE())</f>
        <v>6</v>
      </c>
      <c r="U123" s="4">
        <f ca="1">IFERROR(VLOOKUP(J123,Проекты!A:P,16,FALSE()),0)</f>
        <v>4</v>
      </c>
      <c r="V123" s="4" t="s">
        <v>670</v>
      </c>
      <c r="W123" s="4">
        <v>18</v>
      </c>
      <c r="X123" s="4">
        <v>18</v>
      </c>
      <c r="Y123" s="4">
        <f t="shared" si="29"/>
        <v>3</v>
      </c>
      <c r="Z123" s="4">
        <v>0</v>
      </c>
      <c r="AA123" s="4">
        <v>8</v>
      </c>
      <c r="AB123" s="4">
        <v>2</v>
      </c>
      <c r="AC123" s="4">
        <v>4</v>
      </c>
      <c r="AD123" s="4">
        <v>2</v>
      </c>
      <c r="AE123" s="4">
        <v>13</v>
      </c>
      <c r="AF123" s="4">
        <v>13</v>
      </c>
      <c r="AG123" s="4">
        <v>3</v>
      </c>
      <c r="AH123" s="4">
        <f ca="1">IFERROR(__xludf.dummyfunction("if(isna(filter(prs!C:U,prs!I:I=G123,prs!G:G&gt;DATE(2024,3,28),prs!G:G&lt;DATE(2024,4,26))),0,countunique(index(filter(prs!C:U,prs!I:I=G123,prs!G:G&gt;DATE(2024,3,28),prs!G:G&lt;DATE(2024,4,26)),,1)))"),0)</f>
        <v>0</v>
      </c>
      <c r="AI123" s="4">
        <f ca="1">IFERROR(__xludf.dummyfunction("if(isna(filter(prs!C:U,prs!I:I=G123,prs!R:R&lt;&gt;""Empty field"",prs!G:G&gt;DATE(2024,3,28),prs!G:G&lt;DATE(2024,4,26))),0,countunique(index(filter(prs!C:U,prs!I:I=G123,prs!R:R&lt;&gt;""Empty field"",prs!G:G&gt;DATE(2024,3,28),prs!G:G&lt;DATE(2024,4,26)),,1)))"),0)</f>
        <v>0</v>
      </c>
      <c r="AJ123" s="4">
        <f t="shared" ca="1" si="25"/>
        <v>0</v>
      </c>
      <c r="AK123" s="4">
        <f ca="1">IFERROR(__xludf.dummyfunction("min(6,round((AG123+AJ123)/6 + filter('Проекты'!AS:AS,'Проекты'!A:A=J123),1))"),3.3)</f>
        <v>3.3</v>
      </c>
      <c r="AL123" s="4">
        <f ca="1">IFERROR(__xludf.dummyfunction("filter('Проекты'!AT:AT,'Проекты'!A:A=J123)"),2.2)</f>
        <v>2.2000000000000002</v>
      </c>
      <c r="AM123" s="4">
        <f ca="1">IFERROR(__xludf.dummyfunction("ifna(filter(commits_results!H:I,commits_results!B:B=A123,commits_results!A:A=J123),)"),10)</f>
        <v>10</v>
      </c>
      <c r="AN123" s="4">
        <f ca="1">IFERROR(__xludf.dummyfunction("""COMPUTED_VALUE"""),10)</f>
        <v>10</v>
      </c>
      <c r="AO123" s="4">
        <f t="shared" ca="1" si="26"/>
        <v>3</v>
      </c>
      <c r="AP123" s="4">
        <f ca="1">IFERROR(__xludf.dummyfunction("if(isna(filter(prs!C:U,prs!I:I=G123,prs!G:G&gt;DATE(2024,4,25),prs!G:G&lt;DATE(2024,5,23))),0,countunique(index(filter(prs!C:U,prs!I:I=G123,prs!G:G&gt;DATE(2024,4,25),prs!G:G&lt;DATE(2024,5,23)),,1)))"),1)</f>
        <v>1</v>
      </c>
      <c r="AQ123" s="4">
        <f ca="1">IFERROR(__xludf.dummyfunction("if(isna(filter(prs!C:U,prs!I:I=G123,prs!R:R&lt;&gt;""Empty field"",prs!G:G&gt;DATE(2024,4,25),prs!G:G&lt;DATE(2024,5,23))),0,countunique(index(filter(prs!C:U,prs!I:I=G123,prs!R:R&lt;&gt;""Empty field"",prs!G:G&gt;DATE(2024,4,25),prs!G:G&lt;DATE(2024,5,23)),,1)))"),1)</f>
        <v>1</v>
      </c>
      <c r="AR123" s="4">
        <f t="shared" ca="1" si="27"/>
        <v>3</v>
      </c>
      <c r="AS123" s="4">
        <f ca="1">IFERROR(__xludf.dummyfunction("round( (AO123+AR123) / 6 + filter('Проекты'!BA:BA,'Проекты'!A:A=J123), 1)"),1.3)</f>
        <v>1.3</v>
      </c>
      <c r="AT123" s="4">
        <f ca="1">IFERROR(__xludf.dummyfunction("filter('Проекты'!BB:BB,'Проекты'!A:A=J123)"),3.7)</f>
        <v>3.7</v>
      </c>
      <c r="AU123" s="4">
        <f ca="1">IFERROR(__xludf.dummyfunction("filter('Проекты'!BD:BD,'Проекты'!A:A=J123) + filter('Проекты'!BE:BE,'Проекты'!A:A=J123)"),3)</f>
        <v>3</v>
      </c>
      <c r="AV123" s="11">
        <f t="shared" ca="1" si="28"/>
        <v>50</v>
      </c>
      <c r="AW123" s="4" t="str">
        <f t="shared" ca="1" si="24"/>
        <v>Неудовлетворительно</v>
      </c>
    </row>
    <row r="124" spans="1:79" ht="15.75" customHeight="1">
      <c r="A124" s="20" t="s">
        <v>687</v>
      </c>
      <c r="B124" s="6" t="s">
        <v>687</v>
      </c>
      <c r="C124" s="6"/>
      <c r="D124" s="20">
        <v>9310</v>
      </c>
      <c r="E124" s="20" t="s">
        <v>688</v>
      </c>
      <c r="F124" s="20" t="s">
        <v>688</v>
      </c>
      <c r="G124" s="20" t="s">
        <v>689</v>
      </c>
      <c r="H124" s="20" t="s">
        <v>236</v>
      </c>
      <c r="I124" s="4" t="s">
        <v>1139</v>
      </c>
      <c r="J124" s="7" t="str">
        <f ca="1">IFERROR(__xludf.dummyfunction("index(split(I124,char(9)),1,1)"),"FastTrack")</f>
        <v>FastTrack</v>
      </c>
      <c r="K124" s="7">
        <f ca="1">IFERROR(__xludf.dummyfunction("ifna(index(filter('Посещаемость_баллы'!$A:$L,'Посещаемость_баллы'!$B:$B=$B124,'Посещаемость_баллы'!$C:$C=$C124,'Посещаемость_баллы'!$D:$D=$D124),1,12)*10,0)"),0)</f>
        <v>0</v>
      </c>
      <c r="L124" s="7">
        <f>ROUNDDOWN(IFERROR(VALUE(VLOOKUP(H124,'Онлайн-курс1'!B:F,5,FALSE())),IFERROR(VALUE(VLOOKUP(H124,'Онлайн-курс1'!C:F,4,FALSE())),0))/40*20,0)
+ IFERROR(VALUE(SUBSTITUTE(VLOOKUP(H124,'Онлайн-курс2'!B:I,8,FALSE()),".",",")),IFERROR(VALUE(SUBSTITUTE(VLOOKUP(H124,'Онлайн-курс2'!C:I,7,FALSE()),".",",")),0))*2</f>
        <v>20</v>
      </c>
      <c r="M124" s="4" t="s">
        <v>689</v>
      </c>
      <c r="N124" s="9">
        <v>0</v>
      </c>
      <c r="O124" s="4" t="s">
        <v>690</v>
      </c>
      <c r="P124" s="4">
        <v>1</v>
      </c>
      <c r="Q124" s="10" t="str">
        <f ca="1">IFERROR(__xludf.dummyfunction("iferror(index(QUERY(commits!A$2:$K1001, ""select Count(C) where lower(D) = lower('""&amp;G124&amp;""')""),2,1),""-"")"),"-")</f>
        <v>-</v>
      </c>
      <c r="R124" s="4" t="s">
        <v>54</v>
      </c>
      <c r="S124" s="4" t="s">
        <v>539</v>
      </c>
      <c r="T124" s="4">
        <f ca="1">VLOOKUP(A124,Расчёт_оценок!A:C,3,FALSE())</f>
        <v>0</v>
      </c>
      <c r="U124" s="4">
        <v>0</v>
      </c>
      <c r="V124" s="4" t="s">
        <v>54</v>
      </c>
      <c r="W124" s="4">
        <v>0</v>
      </c>
      <c r="X124" s="4">
        <v>0</v>
      </c>
      <c r="Y124" s="4">
        <f t="shared" si="29"/>
        <v>0</v>
      </c>
      <c r="Z124" s="4">
        <v>0</v>
      </c>
      <c r="AA124" s="4">
        <v>0</v>
      </c>
      <c r="AB124" s="4">
        <v>0</v>
      </c>
      <c r="AC124" s="4"/>
      <c r="AD124" s="4">
        <v>0</v>
      </c>
      <c r="AE124" s="4"/>
      <c r="AF124" s="4"/>
      <c r="AG124" s="4">
        <v>0</v>
      </c>
      <c r="AH124" s="4">
        <f ca="1">IFERROR(__xludf.dummyfunction("if(isna(filter(prs!C:U,prs!I:I=G124,prs!G:G&gt;DATE(2024,3,28),prs!G:G&lt;DATE(2024,4,26))),0,countunique(index(filter(prs!C:U,prs!I:I=G124,prs!G:G&gt;DATE(2024,3,28),prs!G:G&lt;DATE(2024,4,26)),,1)))"),0)</f>
        <v>0</v>
      </c>
      <c r="AI124" s="4">
        <f ca="1">IFERROR(__xludf.dummyfunction("if(isna(filter(prs!C:U,prs!I:I=G124,prs!R:R&lt;&gt;""Empty field"",prs!G:G&gt;DATE(2024,3,28),prs!G:G&lt;DATE(2024,4,26))),0,countunique(index(filter(prs!C:U,prs!I:I=G124,prs!R:R&lt;&gt;""Empty field"",prs!G:G&gt;DATE(2024,3,28),prs!G:G&lt;DATE(2024,4,26)),,1)))"),0)</f>
        <v>0</v>
      </c>
      <c r="AJ124" s="4">
        <f t="shared" ca="1" si="25"/>
        <v>0</v>
      </c>
      <c r="AK124" s="4"/>
      <c r="AL124" s="4">
        <v>0</v>
      </c>
      <c r="AM124" s="4" t="str">
        <f ca="1">IFERROR(__xludf.dummyfunction("ifna(filter(commits_results!H:I,commits_results!B:B=A124,commits_results!A:A=J124),)"),"")</f>
        <v/>
      </c>
      <c r="AN124" s="4"/>
      <c r="AO124" s="4">
        <f t="shared" ca="1" si="26"/>
        <v>0</v>
      </c>
      <c r="AP124" s="4">
        <f ca="1">IFERROR(__xludf.dummyfunction("if(isna(filter(prs!C:U,prs!I:I=G124,prs!G:G&gt;DATE(2024,4,25),prs!G:G&lt;DATE(2024,5,23))),0,countunique(index(filter(prs!C:U,prs!I:I=G124,prs!G:G&gt;DATE(2024,4,25),prs!G:G&lt;DATE(2024,5,23)),,1)))"),0)</f>
        <v>0</v>
      </c>
      <c r="AQ124" s="4">
        <f ca="1">IFERROR(__xludf.dummyfunction("if(isna(filter(prs!C:U,prs!I:I=G124,prs!R:R&lt;&gt;""Empty field"",prs!G:G&gt;DATE(2024,4,25),prs!G:G&lt;DATE(2024,5,23))),0,countunique(index(filter(prs!C:U,prs!I:I=G124,prs!R:R&lt;&gt;""Empty field"",prs!G:G&gt;DATE(2024,4,25),prs!G:G&lt;DATE(2024,5,23)),,1)))"),0)</f>
        <v>0</v>
      </c>
      <c r="AR124" s="4">
        <f t="shared" ca="1" si="27"/>
        <v>0</v>
      </c>
      <c r="AS124" s="4">
        <f ca="1">IFERROR(__xludf.dummyfunction("round( (AO124+AR124) / 6 + filter('Проекты'!BA:BA,'Проекты'!A:A=J124), 1)"),0)</f>
        <v>0</v>
      </c>
      <c r="AT124" s="4">
        <v>0</v>
      </c>
      <c r="AU124" s="4">
        <f ca="1">IFERROR(__xludf.dummyfunction("filter('Проекты'!BD:BD,'Проекты'!A:A=J124) + filter('Проекты'!BE:BE,'Проекты'!A:A=J124)"),0)</f>
        <v>0</v>
      </c>
      <c r="AV124" s="11">
        <f t="shared" ca="1" si="28"/>
        <v>20</v>
      </c>
      <c r="AW124" s="4" t="str">
        <f t="shared" ca="1" si="24"/>
        <v>Неудовлетворительно</v>
      </c>
    </row>
    <row r="125" spans="1:79" ht="15.75" customHeight="1">
      <c r="A125" s="20" t="s">
        <v>691</v>
      </c>
      <c r="B125" s="6" t="s">
        <v>691</v>
      </c>
      <c r="C125" s="6"/>
      <c r="D125" s="20">
        <v>9310</v>
      </c>
      <c r="E125" s="20" t="s">
        <v>692</v>
      </c>
      <c r="F125" s="20" t="s">
        <v>692</v>
      </c>
      <c r="G125" s="20" t="s">
        <v>693</v>
      </c>
      <c r="H125" s="20" t="s">
        <v>476</v>
      </c>
      <c r="I125" s="4" t="s">
        <v>1140</v>
      </c>
      <c r="J125" s="7" t="str">
        <f ca="1">IFERROR(__xludf.dummyfunction("index(split(I125,char(9)),1,1)"),"FastTrack")</f>
        <v>FastTrack</v>
      </c>
      <c r="K125" s="7">
        <f ca="1">IFERROR(__xludf.dummyfunction("ifna(index(filter('Посещаемость_баллы'!$A:$L,'Посещаемость_баллы'!$B:$B=$B125,'Посещаемость_баллы'!$C:$C=$C125,'Посещаемость_баллы'!$D:$D=$D125),1,12)*10,0)"),0)</f>
        <v>0</v>
      </c>
      <c r="L125" s="7">
        <f>ROUNDDOWN(IFERROR(VALUE(VLOOKUP(H125,'Онлайн-курс1'!B:F,5,FALSE())),IFERROR(VALUE(VLOOKUP(H125,'Онлайн-курс1'!C:F,4,FALSE())),0))/40*20,0)
+ IFERROR(VALUE(SUBSTITUTE(VLOOKUP(H125,'Онлайн-курс2'!B:I,8,FALSE()),".",",")),IFERROR(VALUE(SUBSTITUTE(VLOOKUP(H125,'Онлайн-курс2'!C:I,7,FALSE()),".",",")),0))*2</f>
        <v>20</v>
      </c>
      <c r="M125" s="4" t="s">
        <v>693</v>
      </c>
      <c r="N125" s="9">
        <v>0</v>
      </c>
      <c r="O125" s="4" t="s">
        <v>694</v>
      </c>
      <c r="P125" s="4">
        <v>1</v>
      </c>
      <c r="Q125" s="10" t="str">
        <f ca="1">IFERROR(__xludf.dummyfunction("iferror(index(QUERY(commits!A$2:$K1001, ""select Count(C) where lower(D) = lower('""&amp;G125&amp;""')""),2,1),""-"")"),"-")</f>
        <v>-</v>
      </c>
      <c r="R125" s="4" t="s">
        <v>54</v>
      </c>
      <c r="S125" s="4" t="s">
        <v>539</v>
      </c>
      <c r="T125" s="4">
        <f ca="1">VLOOKUP(A125,Расчёт_оценок!A:C,3,FALSE())</f>
        <v>0</v>
      </c>
      <c r="U125" s="4">
        <v>0</v>
      </c>
      <c r="V125" s="4" t="s">
        <v>54</v>
      </c>
      <c r="W125" s="4">
        <v>0</v>
      </c>
      <c r="X125" s="4">
        <v>0</v>
      </c>
      <c r="Y125" s="4">
        <f t="shared" si="29"/>
        <v>0</v>
      </c>
      <c r="Z125" s="4">
        <v>0</v>
      </c>
      <c r="AA125" s="4">
        <v>0</v>
      </c>
      <c r="AB125" s="4">
        <v>0</v>
      </c>
      <c r="AC125" s="4"/>
      <c r="AD125" s="4">
        <v>0</v>
      </c>
      <c r="AE125" s="4"/>
      <c r="AF125" s="4"/>
      <c r="AG125" s="4">
        <v>0</v>
      </c>
      <c r="AH125" s="4">
        <f ca="1">IFERROR(__xludf.dummyfunction("if(isna(filter(prs!C:U,prs!I:I=G125,prs!G:G&gt;DATE(2024,3,28),prs!G:G&lt;DATE(2024,4,26))),0,countunique(index(filter(prs!C:U,prs!I:I=G125,prs!G:G&gt;DATE(2024,3,28),prs!G:G&lt;DATE(2024,4,26)),,1)))"),0)</f>
        <v>0</v>
      </c>
      <c r="AI125" s="4">
        <f ca="1">IFERROR(__xludf.dummyfunction("if(isna(filter(prs!C:U,prs!I:I=G125,prs!R:R&lt;&gt;""Empty field"",prs!G:G&gt;DATE(2024,3,28),prs!G:G&lt;DATE(2024,4,26))),0,countunique(index(filter(prs!C:U,prs!I:I=G125,prs!R:R&lt;&gt;""Empty field"",prs!G:G&gt;DATE(2024,3,28),prs!G:G&lt;DATE(2024,4,26)),,1)))"),0)</f>
        <v>0</v>
      </c>
      <c r="AJ125" s="4">
        <f t="shared" ca="1" si="25"/>
        <v>0</v>
      </c>
      <c r="AK125" s="4"/>
      <c r="AL125" s="4">
        <v>0</v>
      </c>
      <c r="AM125" s="4" t="str">
        <f ca="1">IFERROR(__xludf.dummyfunction("ifna(filter(commits_results!H:I,commits_results!B:B=A125,commits_results!A:A=J125),)"),"")</f>
        <v/>
      </c>
      <c r="AN125" s="4"/>
      <c r="AO125" s="4">
        <f t="shared" ca="1" si="26"/>
        <v>0</v>
      </c>
      <c r="AP125" s="4">
        <f ca="1">IFERROR(__xludf.dummyfunction("if(isna(filter(prs!C:U,prs!I:I=G125,prs!G:G&gt;DATE(2024,4,25),prs!G:G&lt;DATE(2024,5,23))),0,countunique(index(filter(prs!C:U,prs!I:I=G125,prs!G:G&gt;DATE(2024,4,25),prs!G:G&lt;DATE(2024,5,23)),,1)))"),0)</f>
        <v>0</v>
      </c>
      <c r="AQ125" s="4">
        <f ca="1">IFERROR(__xludf.dummyfunction("if(isna(filter(prs!C:U,prs!I:I=G125,prs!R:R&lt;&gt;""Empty field"",prs!G:G&gt;DATE(2024,4,25),prs!G:G&lt;DATE(2024,5,23))),0,countunique(index(filter(prs!C:U,prs!I:I=G125,prs!R:R&lt;&gt;""Empty field"",prs!G:G&gt;DATE(2024,4,25),prs!G:G&lt;DATE(2024,5,23)),,1)))"),0)</f>
        <v>0</v>
      </c>
      <c r="AR125" s="4">
        <f t="shared" ca="1" si="27"/>
        <v>0</v>
      </c>
      <c r="AS125" s="4">
        <f ca="1">IFERROR(__xludf.dummyfunction("round( (AO125+AR125) / 6 + filter('Проекты'!BA:BA,'Проекты'!A:A=J125), 1)"),0)</f>
        <v>0</v>
      </c>
      <c r="AT125" s="4">
        <v>0</v>
      </c>
      <c r="AU125" s="4">
        <f ca="1">IFERROR(__xludf.dummyfunction("filter('Проекты'!BD:BD,'Проекты'!A:A=J125) + filter('Проекты'!BE:BE,'Проекты'!A:A=J125)"),0)</f>
        <v>0</v>
      </c>
      <c r="AV125" s="11">
        <f t="shared" ca="1" si="28"/>
        <v>20</v>
      </c>
      <c r="AW125" s="4" t="str">
        <f t="shared" ca="1" si="24"/>
        <v>Неудовлетворительно</v>
      </c>
    </row>
    <row r="126" spans="1:79" ht="15.75" customHeight="1">
      <c r="A126" s="20" t="s">
        <v>695</v>
      </c>
      <c r="B126" s="6" t="s">
        <v>695</v>
      </c>
      <c r="C126" s="6"/>
      <c r="D126" s="20">
        <v>9310</v>
      </c>
      <c r="E126" s="20" t="s">
        <v>696</v>
      </c>
      <c r="F126" s="20" t="s">
        <v>696</v>
      </c>
      <c r="G126" s="20" t="s">
        <v>697</v>
      </c>
      <c r="H126" s="20" t="s">
        <v>698</v>
      </c>
      <c r="I126" s="4" t="s">
        <v>1141</v>
      </c>
      <c r="J126" s="7">
        <f ca="1">IFERROR(__xludf.dummyfunction("index(split(I126,char(9)),1,1)"),12)</f>
        <v>12</v>
      </c>
      <c r="K126" s="7">
        <f ca="1">IFERROR(__xludf.dummyfunction("ifna(index(filter('Посещаемость_баллы'!$A:$L,'Посещаемость_баллы'!$B:$B=$B126,'Посещаемость_баллы'!$C:$C=$C126,'Посещаемость_баллы'!$D:$D=$D126),1,12)*10,0)"),10)</f>
        <v>10</v>
      </c>
      <c r="L126" s="7">
        <f>ROUNDDOWN(IFERROR(VALUE(VLOOKUP(H126,'Онлайн-курс1'!B:F,5,FALSE())),IFERROR(VALUE(VLOOKUP(H126,'Онлайн-курс1'!C:F,4,FALSE())),0))/40*20,0)
+ IFERROR(VALUE(SUBSTITUTE(VLOOKUP(H126,'Онлайн-курс2'!B:I,8,FALSE()),".",",")),IFERROR(VALUE(SUBSTITUTE(VLOOKUP(H126,'Онлайн-курс2'!C:I,7,FALSE()),".",",")),0))*2</f>
        <v>20</v>
      </c>
      <c r="M126" s="8" t="s">
        <v>697</v>
      </c>
      <c r="N126" s="9">
        <v>1</v>
      </c>
      <c r="O126" s="4" t="s">
        <v>699</v>
      </c>
      <c r="P126" s="4">
        <v>0</v>
      </c>
      <c r="Q126" s="10" t="str">
        <f ca="1">IFERROR(__xludf.dummyfunction("iferror(index(QUERY(commits!A$2:$K1001, ""select Count(C) where lower(D) = lower('""&amp;G126&amp;""')""),2,1),""-"")"),"-")</f>
        <v>-</v>
      </c>
      <c r="R126" s="4" t="s">
        <v>700</v>
      </c>
      <c r="S126" s="4" t="s">
        <v>539</v>
      </c>
      <c r="T126" s="4">
        <f ca="1">VLOOKUP(A126,Расчёт_оценок!A:C,3,FALSE())</f>
        <v>6</v>
      </c>
      <c r="U126" s="4">
        <f ca="1">IFERROR(VLOOKUP(J126,Проекты!A:P,16,FALSE()),0)</f>
        <v>4</v>
      </c>
      <c r="V126" s="4" t="s">
        <v>701</v>
      </c>
      <c r="W126" s="4">
        <v>5</v>
      </c>
      <c r="X126" s="4">
        <v>20</v>
      </c>
      <c r="Y126" s="4">
        <f t="shared" si="29"/>
        <v>3</v>
      </c>
      <c r="Z126" s="4">
        <v>2</v>
      </c>
      <c r="AA126" s="4">
        <v>6</v>
      </c>
      <c r="AB126" s="4">
        <v>2</v>
      </c>
      <c r="AC126" s="4">
        <v>4.5</v>
      </c>
      <c r="AD126" s="4">
        <v>3.8</v>
      </c>
      <c r="AE126" s="4">
        <v>13</v>
      </c>
      <c r="AF126" s="4">
        <v>13</v>
      </c>
      <c r="AG126" s="4">
        <v>3</v>
      </c>
      <c r="AH126" s="4">
        <f ca="1">IFERROR(__xludf.dummyfunction("if(isna(filter(prs!C:U,prs!I:I=G126,prs!G:G&gt;DATE(2024,3,28),prs!G:G&lt;DATE(2024,4,26))),0,countunique(index(filter(prs!C:U,prs!I:I=G126,prs!G:G&gt;DATE(2024,3,28),prs!G:G&lt;DATE(2024,4,26)),,1)))"),0)</f>
        <v>0</v>
      </c>
      <c r="AI126" s="4">
        <f ca="1">IFERROR(__xludf.dummyfunction("if(isna(filter(prs!C:U,prs!I:I=G126,prs!R:R&lt;&gt;""Empty field"",prs!G:G&gt;DATE(2024,3,28),prs!G:G&lt;DATE(2024,4,26))),0,countunique(index(filter(prs!C:U,prs!I:I=G126,prs!R:R&lt;&gt;""Empty field"",prs!G:G&gt;DATE(2024,3,28),prs!G:G&lt;DATE(2024,4,26)),,1)))"),0)</f>
        <v>0</v>
      </c>
      <c r="AJ126" s="4">
        <f t="shared" ca="1" si="25"/>
        <v>0</v>
      </c>
      <c r="AK126" s="4">
        <f ca="1">IFERROR(__xludf.dummyfunction("min(6,round((AG126+AJ126)/6 + filter('Проекты'!AS:AS,'Проекты'!A:A=J126),1))"),4.8)</f>
        <v>4.8</v>
      </c>
      <c r="AL126" s="4">
        <f ca="1">IFERROR(__xludf.dummyfunction("filter('Проекты'!AT:AT,'Проекты'!A:A=J126)"),3.3)</f>
        <v>3.3</v>
      </c>
      <c r="AM126" s="4">
        <f ca="1">IFERROR(__xludf.dummyfunction("ifna(filter(commits_results!H:I,commits_results!B:B=A126,commits_results!A:A=J126),)"),4)</f>
        <v>4</v>
      </c>
      <c r="AN126" s="4">
        <f ca="1">IFERROR(__xludf.dummyfunction("""COMPUTED_VALUE"""),4)</f>
        <v>4</v>
      </c>
      <c r="AO126" s="4">
        <f t="shared" ca="1" si="26"/>
        <v>3</v>
      </c>
      <c r="AP126" s="4">
        <f ca="1">IFERROR(__xludf.dummyfunction("if(isna(filter(prs!C:U,prs!I:I=G126,prs!G:G&gt;DATE(2024,4,25),prs!G:G&lt;DATE(2024,5,23))),0,countunique(index(filter(prs!C:U,prs!I:I=G126,prs!G:G&gt;DATE(2024,4,25),prs!G:G&lt;DATE(2024,5,23)),,1)))"),2)</f>
        <v>2</v>
      </c>
      <c r="AQ126" s="4">
        <f ca="1">IFERROR(__xludf.dummyfunction("if(isna(filter(prs!C:U,prs!I:I=G126,prs!R:R&lt;&gt;""Empty field"",prs!G:G&gt;DATE(2024,4,25),prs!G:G&lt;DATE(2024,5,23))),0,countunique(index(filter(prs!C:U,prs!I:I=G126,prs!R:R&lt;&gt;""Empty field"",prs!G:G&gt;DATE(2024,4,25),prs!G:G&lt;DATE(2024,5,23)),,1)))"),2)</f>
        <v>2</v>
      </c>
      <c r="AR126" s="4">
        <f t="shared" ca="1" si="27"/>
        <v>3</v>
      </c>
      <c r="AS126" s="4">
        <f ca="1">IFERROR(__xludf.dummyfunction("round( (AO126+AR126) / 6 + filter('Проекты'!BA:BA,'Проекты'!A:A=J126), 1)"),5.3)</f>
        <v>5.3</v>
      </c>
      <c r="AT126" s="4">
        <f ca="1">IFERROR(__xludf.dummyfunction("filter('Проекты'!BB:BB,'Проекты'!A:A=J126)"),1.1)</f>
        <v>1.1000000000000001</v>
      </c>
      <c r="AU126" s="4">
        <f ca="1">IFERROR(__xludf.dummyfunction("filter('Проекты'!BD:BD,'Проекты'!A:A=J126) + filter('Проекты'!BE:BE,'Проекты'!A:A=J126)"),7)</f>
        <v>7</v>
      </c>
      <c r="AV126" s="11">
        <f t="shared" ca="1" si="28"/>
        <v>70</v>
      </c>
      <c r="AW126" s="4" t="str">
        <f t="shared" ca="1" si="24"/>
        <v>Удовлетворительно</v>
      </c>
    </row>
    <row r="127" spans="1:79" ht="15.75" customHeight="1">
      <c r="A127" s="20" t="s">
        <v>702</v>
      </c>
      <c r="B127" s="6" t="s">
        <v>702</v>
      </c>
      <c r="C127" s="6"/>
      <c r="D127" s="20">
        <v>9310</v>
      </c>
      <c r="E127" s="20" t="s">
        <v>703</v>
      </c>
      <c r="F127" s="20" t="s">
        <v>703</v>
      </c>
      <c r="G127" s="20" t="s">
        <v>704</v>
      </c>
      <c r="H127" s="20" t="s">
        <v>705</v>
      </c>
      <c r="I127" s="4" t="s">
        <v>1142</v>
      </c>
      <c r="J127" s="7">
        <f ca="1">IFERROR(__xludf.dummyfunction("index(split(I127,char(9)),1,1)"),8)</f>
        <v>8</v>
      </c>
      <c r="K127" s="7">
        <f ca="1">IFERROR(__xludf.dummyfunction("ifna(index(filter('Посещаемость_баллы'!$A:$L,'Посещаемость_баллы'!$B:$B=$B127,'Посещаемость_баллы'!$C:$C=$C127,'Посещаемость_баллы'!$D:$D=$D127),1,12)*10,0)"),2)</f>
        <v>2</v>
      </c>
      <c r="L127" s="7">
        <f>ROUNDDOWN(IFERROR(VALUE(VLOOKUP(H127,'Онлайн-курс1'!B:F,5,FALSE())),IFERROR(VALUE(VLOOKUP(H127,'Онлайн-курс1'!C:F,4,FALSE())),0))/40*20,0)
+ IFERROR(VALUE(SUBSTITUTE(VLOOKUP(H127,'Онлайн-курс2'!B:I,8,FALSE()),".",",")),IFERROR(VALUE(SUBSTITUTE(VLOOKUP(H127,'Онлайн-курс2'!C:I,7,FALSE()),".",",")),0))*2</f>
        <v>0</v>
      </c>
      <c r="M127" s="8" t="s">
        <v>704</v>
      </c>
      <c r="N127" s="9">
        <v>1</v>
      </c>
      <c r="O127" s="4" t="s">
        <v>706</v>
      </c>
      <c r="P127" s="4">
        <v>0</v>
      </c>
      <c r="Q127" s="10" t="str">
        <f ca="1">IFERROR(__xludf.dummyfunction("iferror(index(QUERY(commits!A$2:$K1001, ""select Count(C) where lower(D) = lower('""&amp;G127&amp;""')""),2,1),""-"")"),"-")</f>
        <v>-</v>
      </c>
      <c r="R127" s="4" t="s">
        <v>578</v>
      </c>
      <c r="S127" s="4" t="s">
        <v>539</v>
      </c>
      <c r="T127" s="4">
        <f ca="1">VLOOKUP(A127,Расчёт_оценок!A:C,3,FALSE())</f>
        <v>6</v>
      </c>
      <c r="U127" s="4">
        <f ca="1">IFERROR(VLOOKUP(J127,Проекты!A:P,16,FALSE()),0)</f>
        <v>4</v>
      </c>
      <c r="V127" s="4" t="s">
        <v>620</v>
      </c>
      <c r="W127" s="4">
        <v>27</v>
      </c>
      <c r="X127" s="4">
        <v>27</v>
      </c>
      <c r="Y127" s="4">
        <v>3</v>
      </c>
      <c r="Z127" s="4">
        <v>4</v>
      </c>
      <c r="AA127" s="4">
        <v>16</v>
      </c>
      <c r="AB127" s="4">
        <v>2</v>
      </c>
      <c r="AC127" s="4">
        <v>4.5</v>
      </c>
      <c r="AD127" s="4">
        <v>2.6</v>
      </c>
      <c r="AE127" s="4">
        <v>32</v>
      </c>
      <c r="AF127" s="4">
        <v>36</v>
      </c>
      <c r="AG127" s="4">
        <v>3</v>
      </c>
      <c r="AH127" s="4">
        <f ca="1">IFERROR(__xludf.dummyfunction("if(isna(filter(prs!C:U,prs!I:I=G127,prs!G:G&gt;DATE(2024,3,28),prs!G:G&lt;DATE(2024,4,26))),0,countunique(index(filter(prs!C:U,prs!I:I=G127,prs!G:G&gt;DATE(2024,3,28),prs!G:G&lt;DATE(2024,4,26)),,1)))"),12)</f>
        <v>12</v>
      </c>
      <c r="AI127" s="4">
        <f ca="1">IFERROR(__xludf.dummyfunction("if(isna(filter(prs!C:U,prs!I:I=G127,prs!R:R&lt;&gt;""Empty field"",prs!G:G&gt;DATE(2024,3,28),prs!G:G&lt;DATE(2024,4,26))),0,countunique(index(filter(prs!C:U,prs!I:I=G127,prs!R:R&lt;&gt;""Empty field"",prs!G:G&gt;DATE(2024,3,28),prs!G:G&lt;DATE(2024,4,26)),,1)))"),6)</f>
        <v>6</v>
      </c>
      <c r="AJ127" s="4">
        <f t="shared" ca="1" si="25"/>
        <v>3</v>
      </c>
      <c r="AK127" s="4">
        <f ca="1">IFERROR(__xludf.dummyfunction("min(6,round((AG127+AJ127)/6 + filter('Проекты'!AS:AS,'Проекты'!A:A=J127),1))"),5.6)</f>
        <v>5.6</v>
      </c>
      <c r="AL127" s="4">
        <f ca="1">IFERROR(__xludf.dummyfunction("filter('Проекты'!AT:AT,'Проекты'!A:A=J127)"),3.7)</f>
        <v>3.7</v>
      </c>
      <c r="AM127" s="4">
        <f ca="1">IFERROR(__xludf.dummyfunction("ifna(filter(commits_results!H:I,commits_results!B:B=A127,commits_results!A:A=J127),)"),18)</f>
        <v>18</v>
      </c>
      <c r="AN127" s="4">
        <f ca="1">IFERROR(__xludf.dummyfunction("""COMPUTED_VALUE"""),22)</f>
        <v>22</v>
      </c>
      <c r="AO127" s="4">
        <f t="shared" ca="1" si="26"/>
        <v>3</v>
      </c>
      <c r="AP127" s="4">
        <f ca="1">IFERROR(__xludf.dummyfunction("if(isna(filter(prs!C:U,prs!I:I=G127,prs!G:G&gt;DATE(2024,4,25),prs!G:G&lt;DATE(2024,5,23))),0,countunique(index(filter(prs!C:U,prs!I:I=G127,prs!G:G&gt;DATE(2024,4,25),prs!G:G&lt;DATE(2024,5,23)),,1)))"),14)</f>
        <v>14</v>
      </c>
      <c r="AQ127" s="4">
        <f ca="1">IFERROR(__xludf.dummyfunction("if(isna(filter(prs!C:U,prs!I:I=G127,prs!R:R&lt;&gt;""Empty field"",prs!G:G&gt;DATE(2024,4,25),prs!G:G&lt;DATE(2024,5,23))),0,countunique(index(filter(prs!C:U,prs!I:I=G127,prs!R:R&lt;&gt;""Empty field"",prs!G:G&gt;DATE(2024,4,25),prs!G:G&lt;DATE(2024,5,23)),,1)))"),8)</f>
        <v>8</v>
      </c>
      <c r="AR127" s="4">
        <f t="shared" ca="1" si="27"/>
        <v>3</v>
      </c>
      <c r="AS127" s="4">
        <f ca="1">IFERROR(__xludf.dummyfunction("round( (AO127+AR127) / 6 + filter('Проекты'!BA:BA,'Проекты'!A:A=J127), 1)"),6)</f>
        <v>6</v>
      </c>
      <c r="AT127" s="4">
        <f ca="1">IFERROR(__xludf.dummyfunction("filter('Проекты'!BB:BB,'Проекты'!A:A=J127)"),2.4)</f>
        <v>2.4</v>
      </c>
      <c r="AU127" s="4">
        <f ca="1">IFERROR(__xludf.dummyfunction("filter('Проекты'!BD:BD,'Проекты'!A:A=J127) + filter('Проекты'!BE:BE,'Проекты'!A:A=J127)"),7)</f>
        <v>7</v>
      </c>
      <c r="AV127" s="11">
        <f t="shared" ca="1" si="28"/>
        <v>44</v>
      </c>
      <c r="AW127" s="4" t="str">
        <f t="shared" ca="1" si="24"/>
        <v>Неудовлетворительно</v>
      </c>
    </row>
    <row r="128" spans="1:79" ht="15.75" customHeight="1">
      <c r="A128" s="20" t="s">
        <v>707</v>
      </c>
      <c r="B128" s="6" t="s">
        <v>707</v>
      </c>
      <c r="C128" s="6"/>
      <c r="D128" s="20">
        <v>9310</v>
      </c>
      <c r="E128" s="20" t="s">
        <v>708</v>
      </c>
      <c r="F128" s="20" t="s">
        <v>708</v>
      </c>
      <c r="G128" s="20" t="s">
        <v>709</v>
      </c>
      <c r="H128" s="20" t="s">
        <v>710</v>
      </c>
      <c r="I128" s="4" t="s">
        <v>1143</v>
      </c>
      <c r="J128" s="7" t="str">
        <f ca="1">IFERROR(__xludf.dummyfunction("index(split(I128,char(9)),1,1)"),"FastTrack")</f>
        <v>FastTrack</v>
      </c>
      <c r="K128" s="7">
        <f ca="1">IFERROR(__xludf.dummyfunction("ifna(index(filter('Посещаемость_баллы'!$A:$L,'Посещаемость_баллы'!$B:$B=$B128,'Посещаемость_баллы'!$C:$C=$C128,'Посещаемость_баллы'!$D:$D=$D128),1,12)*10,0)"),0)</f>
        <v>0</v>
      </c>
      <c r="L128" s="7">
        <f>ROUNDDOWN(IFERROR(VALUE(VLOOKUP(H128,'Онлайн-курс1'!B:F,5,FALSE())),IFERROR(VALUE(VLOOKUP(H128,'Онлайн-курс1'!C:F,4,FALSE())),0))/40*20,0)
+ IFERROR(VALUE(SUBSTITUTE(VLOOKUP(H128,'Онлайн-курс2'!B:I,8,FALSE()),".",",")),IFERROR(VALUE(SUBSTITUTE(VLOOKUP(H128,'Онлайн-курс2'!C:I,7,FALSE()),".",",")),0))*2</f>
        <v>20</v>
      </c>
      <c r="M128" s="8" t="s">
        <v>709</v>
      </c>
      <c r="N128" s="9">
        <v>1</v>
      </c>
      <c r="O128" s="4" t="s">
        <v>711</v>
      </c>
      <c r="P128" s="4">
        <v>0</v>
      </c>
      <c r="Q128" s="10" t="str">
        <f ca="1">IFERROR(__xludf.dummyfunction("iferror(index(QUERY(commits!A$2:$K1001, ""select Count(C) where lower(D) = lower('""&amp;G128&amp;""')""),2,1),""-"")"),"-")</f>
        <v>-</v>
      </c>
      <c r="R128" s="4" t="s">
        <v>71</v>
      </c>
      <c r="S128" s="4" t="s">
        <v>577</v>
      </c>
      <c r="T128" s="4">
        <f ca="1">VLOOKUP(A128,Расчёт_оценок!A:C,3,FALSE())</f>
        <v>0</v>
      </c>
      <c r="U128" s="4">
        <v>10</v>
      </c>
      <c r="V128" s="4" t="s">
        <v>103</v>
      </c>
      <c r="W128" s="4">
        <v>0</v>
      </c>
      <c r="X128" s="4">
        <v>0</v>
      </c>
      <c r="Y128" s="4">
        <v>0</v>
      </c>
      <c r="Z128" s="4">
        <v>3</v>
      </c>
      <c r="AA128" s="4">
        <v>0</v>
      </c>
      <c r="AB128" s="4">
        <v>0</v>
      </c>
      <c r="AC128" s="4"/>
      <c r="AD128" s="4">
        <v>10</v>
      </c>
      <c r="AE128" s="4"/>
      <c r="AF128" s="4"/>
      <c r="AG128" s="4">
        <v>0</v>
      </c>
      <c r="AH128" s="4">
        <f ca="1">IFERROR(__xludf.dummyfunction("if(isna(filter(prs!C:U,prs!I:I=G128,prs!G:G&gt;DATE(2024,3,28),prs!G:G&lt;DATE(2024,4,26))),0,countunique(index(filter(prs!C:U,prs!I:I=G128,prs!G:G&gt;DATE(2024,3,28),prs!G:G&lt;DATE(2024,4,26)),,1)))"),3)</f>
        <v>3</v>
      </c>
      <c r="AI128" s="4">
        <f ca="1">IFERROR(__xludf.dummyfunction("if(isna(filter(prs!C:U,prs!I:I=G128,prs!R:R&lt;&gt;""Empty field"",prs!G:G&gt;DATE(2024,3,28),prs!G:G&lt;DATE(2024,4,26))),0,countunique(index(filter(prs!C:U,prs!I:I=G128,prs!R:R&lt;&gt;""Empty field"",prs!G:G&gt;DATE(2024,3,28),prs!G:G&lt;DATE(2024,4,26)),,1)))"),0)</f>
        <v>0</v>
      </c>
      <c r="AJ128" s="4">
        <f t="shared" ca="1" si="25"/>
        <v>0</v>
      </c>
      <c r="AK128" s="4"/>
      <c r="AL128" s="4">
        <v>10</v>
      </c>
      <c r="AM128" s="4" t="str">
        <f ca="1">IFERROR(__xludf.dummyfunction("ifna(filter(commits_results!H:I,commits_results!B:B=A128,commits_results!A:A=J128),)"),"")</f>
        <v/>
      </c>
      <c r="AN128" s="4"/>
      <c r="AO128" s="4">
        <f t="shared" ca="1" si="26"/>
        <v>0</v>
      </c>
      <c r="AP128" s="4">
        <f ca="1">IFERROR(__xludf.dummyfunction("if(isna(filter(prs!C:U,prs!I:I=G128,prs!G:G&gt;DATE(2024,4,25),prs!G:G&lt;DATE(2024,5,23))),0,countunique(index(filter(prs!C:U,prs!I:I=G128,prs!G:G&gt;DATE(2024,4,25),prs!G:G&lt;DATE(2024,5,23)),,1)))"),4)</f>
        <v>4</v>
      </c>
      <c r="AQ128" s="4">
        <f ca="1">IFERROR(__xludf.dummyfunction("if(isna(filter(prs!C:U,prs!I:I=G128,prs!R:R&lt;&gt;""Empty field"",prs!G:G&gt;DATE(2024,4,25),prs!G:G&lt;DATE(2024,5,23))),0,countunique(index(filter(prs!C:U,prs!I:I=G128,prs!R:R&lt;&gt;""Empty field"",prs!G:G&gt;DATE(2024,4,25),prs!G:G&lt;DATE(2024,5,23)),,1)))"),0)</f>
        <v>0</v>
      </c>
      <c r="AR128" s="4">
        <f t="shared" ca="1" si="27"/>
        <v>0</v>
      </c>
      <c r="AS128" s="4">
        <f ca="1">IFERROR(__xludf.dummyfunction("round( (AO128+AR128) / 6 + filter('Проекты'!BA:BA,'Проекты'!A:A=J128), 1)"),0)</f>
        <v>0</v>
      </c>
      <c r="AT128" s="4">
        <v>10</v>
      </c>
      <c r="AU128" s="4">
        <f ca="1">IFERROR(__xludf.dummyfunction("filter('Проекты'!BD:BD,'Проекты'!A:A=J128) + filter('Проекты'!BE:BE,'Проекты'!A:A=J128)"),0)</f>
        <v>0</v>
      </c>
      <c r="AV128" s="11">
        <f t="shared" ca="1" si="28"/>
        <v>60</v>
      </c>
      <c r="AW128" s="4" t="str">
        <f t="shared" ca="1" si="24"/>
        <v>Неудовлетворительно</v>
      </c>
    </row>
    <row r="129" spans="1:79" ht="15.75" customHeight="1">
      <c r="A129" s="20" t="s">
        <v>712</v>
      </c>
      <c r="B129" s="6" t="s">
        <v>712</v>
      </c>
      <c r="C129" s="6"/>
      <c r="D129" s="20">
        <v>9310</v>
      </c>
      <c r="E129" s="20" t="s">
        <v>713</v>
      </c>
      <c r="F129" s="20" t="s">
        <v>713</v>
      </c>
      <c r="G129" s="20" t="s">
        <v>714</v>
      </c>
      <c r="H129" s="20" t="s">
        <v>366</v>
      </c>
      <c r="I129" s="4" t="s">
        <v>1144</v>
      </c>
      <c r="J129" s="7" t="str">
        <f ca="1">IFERROR(__xludf.dummyfunction("index(split(I129,char(9)),1,1)"),"FastTrack")</f>
        <v>FastTrack</v>
      </c>
      <c r="K129" s="7">
        <f ca="1">IFERROR(__xludf.dummyfunction("ifna(index(filter('Посещаемость_баллы'!$A:$L,'Посещаемость_баллы'!$B:$B=$B129,'Посещаемость_баллы'!$C:$C=$C129,'Посещаемость_баллы'!$D:$D=$D129),1,12)*10,0)"),0)</f>
        <v>0</v>
      </c>
      <c r="L129" s="7">
        <f>ROUNDDOWN(IFERROR(VALUE(VLOOKUP(H129,'Онлайн-курс1'!B:F,5,FALSE())),IFERROR(VALUE(VLOOKUP(H129,'Онлайн-курс1'!C:F,4,FALSE())),0))/40*20,0)
+ IFERROR(VALUE(SUBSTITUTE(VLOOKUP(H129,'Онлайн-курс2'!B:I,8,FALSE()),".",",")),IFERROR(VALUE(SUBSTITUTE(VLOOKUP(H129,'Онлайн-курс2'!C:I,7,FALSE()),".",",")),0))*2</f>
        <v>20</v>
      </c>
      <c r="M129" s="8" t="s">
        <v>714</v>
      </c>
      <c r="N129" s="9">
        <v>1</v>
      </c>
      <c r="O129" s="4" t="s">
        <v>715</v>
      </c>
      <c r="P129" s="4">
        <v>0</v>
      </c>
      <c r="Q129" s="10" t="str">
        <f ca="1">IFERROR(__xludf.dummyfunction("iferror(index(QUERY(commits!A$2:$K1001, ""select Count(C) where lower(D) = lower('""&amp;G129&amp;""')""),2,1),""-"")"),"-")</f>
        <v>-</v>
      </c>
      <c r="R129" s="4" t="s">
        <v>54</v>
      </c>
      <c r="S129" s="4" t="s">
        <v>539</v>
      </c>
      <c r="T129" s="4">
        <f ca="1">VLOOKUP(A129,Расчёт_оценок!A:C,3,FALSE())</f>
        <v>0</v>
      </c>
      <c r="U129" s="4">
        <v>3</v>
      </c>
      <c r="V129" s="4" t="s">
        <v>54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/>
      <c r="AD129" s="4">
        <v>0</v>
      </c>
      <c r="AE129" s="4"/>
      <c r="AF129" s="4"/>
      <c r="AG129" s="4">
        <v>0</v>
      </c>
      <c r="AH129" s="4">
        <f ca="1">IFERROR(__xludf.dummyfunction("if(isna(filter(prs!C:U,prs!I:I=G129,prs!G:G&gt;DATE(2024,3,28),prs!G:G&lt;DATE(2024,4,26))),0,countunique(index(filter(prs!C:U,prs!I:I=G129,prs!G:G&gt;DATE(2024,3,28),prs!G:G&lt;DATE(2024,4,26)),,1)))"),0)</f>
        <v>0</v>
      </c>
      <c r="AI129" s="4">
        <f ca="1">IFERROR(__xludf.dummyfunction("if(isna(filter(prs!C:U,prs!I:I=G129,prs!R:R&lt;&gt;""Empty field"",prs!G:G&gt;DATE(2024,3,28),prs!G:G&lt;DATE(2024,4,26))),0,countunique(index(filter(prs!C:U,prs!I:I=G129,prs!R:R&lt;&gt;""Empty field"",prs!G:G&gt;DATE(2024,3,28),prs!G:G&lt;DATE(2024,4,26)),,1)))"),0)</f>
        <v>0</v>
      </c>
      <c r="AJ129" s="4">
        <f t="shared" ca="1" si="25"/>
        <v>0</v>
      </c>
      <c r="AK129" s="4"/>
      <c r="AL129" s="4">
        <v>0</v>
      </c>
      <c r="AM129" s="4" t="str">
        <f ca="1">IFERROR(__xludf.dummyfunction("ifna(filter(commits_results!H:I,commits_results!B:B=A129,commits_results!A:A=J129),)"),"")</f>
        <v/>
      </c>
      <c r="AN129" s="4"/>
      <c r="AO129" s="4">
        <f t="shared" ca="1" si="26"/>
        <v>0</v>
      </c>
      <c r="AP129" s="4">
        <f ca="1">IFERROR(__xludf.dummyfunction("if(isna(filter(prs!C:U,prs!I:I=G129,prs!G:G&gt;DATE(2024,4,25),prs!G:G&lt;DATE(2024,5,23))),0,countunique(index(filter(prs!C:U,prs!I:I=G129,prs!G:G&gt;DATE(2024,4,25),prs!G:G&lt;DATE(2024,5,23)),,1)))"),0)</f>
        <v>0</v>
      </c>
      <c r="AQ129" s="4">
        <f ca="1">IFERROR(__xludf.dummyfunction("if(isna(filter(prs!C:U,prs!I:I=G129,prs!R:R&lt;&gt;""Empty field"",prs!G:G&gt;DATE(2024,4,25),prs!G:G&lt;DATE(2024,5,23))),0,countunique(index(filter(prs!C:U,prs!I:I=G129,prs!R:R&lt;&gt;""Empty field"",prs!G:G&gt;DATE(2024,4,25),prs!G:G&lt;DATE(2024,5,23)),,1)))"),0)</f>
        <v>0</v>
      </c>
      <c r="AR129" s="4">
        <f t="shared" ca="1" si="27"/>
        <v>0</v>
      </c>
      <c r="AS129" s="4">
        <f ca="1">IFERROR(__xludf.dummyfunction("round( (AO129+AR129) / 6 + filter('Проекты'!BA:BA,'Проекты'!A:A=J129), 1)"),0)</f>
        <v>0</v>
      </c>
      <c r="AT129" s="4">
        <v>0</v>
      </c>
      <c r="AU129" s="4">
        <f ca="1">IFERROR(__xludf.dummyfunction("filter('Проекты'!BD:BD,'Проекты'!A:A=J129) + filter('Проекты'!BE:BE,'Проекты'!A:A=J129)"),0)</f>
        <v>0</v>
      </c>
      <c r="AV129" s="11">
        <f t="shared" ca="1" si="28"/>
        <v>23</v>
      </c>
      <c r="AW129" s="4" t="str">
        <f t="shared" ca="1" si="24"/>
        <v>Неудовлетворительно</v>
      </c>
    </row>
    <row r="130" spans="1:79" ht="15.75" customHeight="1">
      <c r="A130" s="20" t="s">
        <v>716</v>
      </c>
      <c r="B130" s="6" t="s">
        <v>716</v>
      </c>
      <c r="C130" s="6"/>
      <c r="D130" s="20">
        <v>9310</v>
      </c>
      <c r="E130" s="20" t="s">
        <v>717</v>
      </c>
      <c r="F130" s="20" t="s">
        <v>717</v>
      </c>
      <c r="G130" s="20" t="s">
        <v>718</v>
      </c>
      <c r="H130" s="20" t="s">
        <v>719</v>
      </c>
      <c r="I130" s="4" t="s">
        <v>1145</v>
      </c>
      <c r="J130" s="7" t="str">
        <f ca="1">IFERROR(__xludf.dummyfunction("index(split(I130,char(9)),1,1)"),"FastTrack")</f>
        <v>FastTrack</v>
      </c>
      <c r="K130" s="7">
        <f ca="1">IFERROR(__xludf.dummyfunction("ifna(index(filter('Посещаемость_баллы'!$A:$L,'Посещаемость_баллы'!$B:$B=$B130,'Посещаемость_баллы'!$C:$C=$C130,'Посещаемость_баллы'!$D:$D=$D130),1,12)*10,0)"),0)</f>
        <v>0</v>
      </c>
      <c r="L130" s="7">
        <f>ROUNDDOWN(IFERROR(VALUE(VLOOKUP(H130,'Онлайн-курс1'!B:F,5,FALSE())),IFERROR(VALUE(VLOOKUP(H130,'Онлайн-курс1'!C:F,4,FALSE())),0))/40*20,0)
+ IFERROR(VALUE(SUBSTITUTE(VLOOKUP(H130,'Онлайн-курс2'!B:I,8,FALSE()),".",",")),IFERROR(VALUE(SUBSTITUTE(VLOOKUP(H130,'Онлайн-курс2'!C:I,7,FALSE()),".",",")),0))*2</f>
        <v>20</v>
      </c>
      <c r="M130" s="8" t="s">
        <v>718</v>
      </c>
      <c r="N130" s="9">
        <v>1</v>
      </c>
      <c r="O130" s="4" t="s">
        <v>720</v>
      </c>
      <c r="P130" s="4">
        <v>0</v>
      </c>
      <c r="Q130" s="10" t="str">
        <f ca="1">IFERROR(__xludf.dummyfunction("iferror(index(QUERY(commits!A$2:$K1001, ""select Count(C) where lower(D) = lower('""&amp;G130&amp;""')""),2,1),""-"")"),"-")</f>
        <v>-</v>
      </c>
      <c r="R130" s="4" t="s">
        <v>71</v>
      </c>
      <c r="S130" s="4" t="s">
        <v>577</v>
      </c>
      <c r="T130" s="4">
        <f ca="1">VLOOKUP(A130,Расчёт_оценок!A:C,3,FALSE())</f>
        <v>0</v>
      </c>
      <c r="U130" s="4">
        <v>10</v>
      </c>
      <c r="V130" s="4" t="s">
        <v>331</v>
      </c>
      <c r="W130" s="4">
        <v>0</v>
      </c>
      <c r="X130" s="4">
        <v>0</v>
      </c>
      <c r="Y130" s="4">
        <v>0</v>
      </c>
      <c r="Z130" s="4">
        <v>8</v>
      </c>
      <c r="AA130" s="4">
        <v>0</v>
      </c>
      <c r="AB130" s="4">
        <v>0</v>
      </c>
      <c r="AC130" s="4"/>
      <c r="AD130" s="4">
        <v>10</v>
      </c>
      <c r="AE130" s="4"/>
      <c r="AF130" s="4"/>
      <c r="AG130" s="4">
        <v>0</v>
      </c>
      <c r="AH130" s="4">
        <f ca="1">IFERROR(__xludf.dummyfunction("if(isna(filter(prs!C:U,prs!I:I=G130,prs!G:G&gt;DATE(2024,3,28),prs!G:G&lt;DATE(2024,4,26))),0,countunique(index(filter(prs!C:U,prs!I:I=G130,prs!G:G&gt;DATE(2024,3,28),prs!G:G&lt;DATE(2024,4,26)),,1)))"),1)</f>
        <v>1</v>
      </c>
      <c r="AI130" s="4">
        <f ca="1">IFERROR(__xludf.dummyfunction("if(isna(filter(prs!C:U,prs!I:I=G130,prs!R:R&lt;&gt;""Empty field"",prs!G:G&gt;DATE(2024,3,28),prs!G:G&lt;DATE(2024,4,26))),0,countunique(index(filter(prs!C:U,prs!I:I=G130,prs!R:R&lt;&gt;""Empty field"",prs!G:G&gt;DATE(2024,3,28),prs!G:G&lt;DATE(2024,4,26)),,1)))"),0)</f>
        <v>0</v>
      </c>
      <c r="AJ130" s="4">
        <f t="shared" ca="1" si="25"/>
        <v>0</v>
      </c>
      <c r="AK130" s="4"/>
      <c r="AL130" s="4">
        <v>10</v>
      </c>
      <c r="AM130" s="4" t="str">
        <f ca="1">IFERROR(__xludf.dummyfunction("ifna(filter(commits_results!H:I,commits_results!B:B=A130,commits_results!A:A=J130),)"),"")</f>
        <v/>
      </c>
      <c r="AN130" s="4"/>
      <c r="AO130" s="4">
        <f t="shared" ca="1" si="26"/>
        <v>0</v>
      </c>
      <c r="AP130" s="4">
        <f ca="1">IFERROR(__xludf.dummyfunction("if(isna(filter(prs!C:U,prs!I:I=G130,prs!G:G&gt;DATE(2024,4,25),prs!G:G&lt;DATE(2024,5,23))),0,countunique(index(filter(prs!C:U,prs!I:I=G130,prs!G:G&gt;DATE(2024,4,25),prs!G:G&lt;DATE(2024,5,23)),,1)))"),2)</f>
        <v>2</v>
      </c>
      <c r="AQ130" s="4">
        <f ca="1">IFERROR(__xludf.dummyfunction("if(isna(filter(prs!C:U,prs!I:I=G130,prs!R:R&lt;&gt;""Empty field"",prs!G:G&gt;DATE(2024,4,25),prs!G:G&lt;DATE(2024,5,23))),0,countunique(index(filter(prs!C:U,prs!I:I=G130,prs!R:R&lt;&gt;""Empty field"",prs!G:G&gt;DATE(2024,4,25),prs!G:G&lt;DATE(2024,5,23)),,1)))"),0)</f>
        <v>0</v>
      </c>
      <c r="AR130" s="4">
        <f t="shared" ca="1" si="27"/>
        <v>0</v>
      </c>
      <c r="AS130" s="4">
        <f ca="1">IFERROR(__xludf.dummyfunction("round( (AO130+AR130) / 6 + filter('Проекты'!BA:BA,'Проекты'!A:A=J130), 1)"),0)</f>
        <v>0</v>
      </c>
      <c r="AT130" s="4">
        <v>10</v>
      </c>
      <c r="AU130" s="4">
        <f ca="1">IFERROR(__xludf.dummyfunction("filter('Проекты'!BD:BD,'Проекты'!A:A=J130) + filter('Проекты'!BE:BE,'Проекты'!A:A=J130)"),0)</f>
        <v>0</v>
      </c>
      <c r="AV130" s="11">
        <f t="shared" ca="1" si="28"/>
        <v>60</v>
      </c>
      <c r="AW130" s="4" t="str">
        <f t="shared" ca="1" si="24"/>
        <v>Неудовлетворительно</v>
      </c>
    </row>
    <row r="131" spans="1:79" ht="15.75" customHeight="1">
      <c r="A131" s="19" t="s">
        <v>721</v>
      </c>
      <c r="B131" s="15" t="s">
        <v>721</v>
      </c>
      <c r="C131" s="15"/>
      <c r="D131" s="19">
        <v>9310</v>
      </c>
      <c r="E131" s="19" t="s">
        <v>722</v>
      </c>
      <c r="F131" s="19" t="s">
        <v>722</v>
      </c>
      <c r="G131" s="19" t="s">
        <v>723</v>
      </c>
      <c r="H131" s="19" t="s">
        <v>439</v>
      </c>
      <c r="I131" s="4" t="s">
        <v>1146</v>
      </c>
      <c r="J131" s="21" t="str">
        <f ca="1">IFERROR(__xludf.dummyfunction("index(split(I131,char(9)),1,1)"),"#VALUE!")</f>
        <v>#VALUE!</v>
      </c>
      <c r="K131" s="7">
        <f ca="1">IFERROR(__xludf.dummyfunction("ifna(index(filter('Посещаемость_баллы'!$A:$L,'Посещаемость_баллы'!$B:$B=$B131,'Посещаемость_баллы'!$C:$C=$C131,'Посещаемость_баллы'!$D:$D=$D131),1,12)*10,0)"),0)</f>
        <v>0</v>
      </c>
      <c r="L131" s="7">
        <f>ROUNDDOWN(IFERROR(VALUE(VLOOKUP(H131,'Онлайн-курс1'!B:F,5,FALSE())),IFERROR(VALUE(VLOOKUP(H131,'Онлайн-курс1'!C:F,4,FALSE())),0))/40*20,0)
+ IFERROR(VALUE(SUBSTITUTE(VLOOKUP(H131,'Онлайн-курс2'!B:I,8,FALSE()),".",",")),IFERROR(VALUE(SUBSTITUTE(VLOOKUP(H131,'Онлайн-курс2'!C:I,7,FALSE()),".",",")),0))*2</f>
        <v>19.559999999999999</v>
      </c>
      <c r="M131" s="16" t="s">
        <v>723</v>
      </c>
      <c r="N131" s="17">
        <v>0</v>
      </c>
      <c r="O131" s="16" t="s">
        <v>724</v>
      </c>
      <c r="P131" s="16">
        <v>1</v>
      </c>
      <c r="Q131" s="22" t="str">
        <f ca="1">IFERROR(__xludf.dummyfunction("iferror(index(QUERY(commits!A$2:$K1001, ""select Count(C) where lower(D) = lower('""&amp;G131&amp;""')""),2,1),""-"")"),"-")</f>
        <v>-</v>
      </c>
      <c r="R131" s="4" t="s">
        <v>54</v>
      </c>
      <c r="S131" s="4" t="s">
        <v>539</v>
      </c>
      <c r="T131" s="4">
        <f ca="1">VLOOKUP(A131,Расчёт_оценок!A:C,3,FALSE())</f>
        <v>0</v>
      </c>
      <c r="U131" s="4">
        <f ca="1">IFERROR(VLOOKUP(J131,Проекты!A:P,16,FALSE()),0)</f>
        <v>0</v>
      </c>
      <c r="V131" s="4" t="s">
        <v>54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/>
      <c r="AD131" s="4">
        <v>0</v>
      </c>
      <c r="AE131" s="4"/>
      <c r="AF131" s="4"/>
      <c r="AG131" s="4">
        <v>0</v>
      </c>
      <c r="AH131" s="4">
        <f ca="1">IFERROR(__xludf.dummyfunction("if(isna(filter(prs!C:U,prs!I:I=G131,prs!G:G&gt;DATE(2024,3,28),prs!G:G&lt;DATE(2024,4,26))),0,countunique(index(filter(prs!C:U,prs!I:I=G131,prs!G:G&gt;DATE(2024,3,28),prs!G:G&lt;DATE(2024,4,26)),,1)))"),0)</f>
        <v>0</v>
      </c>
      <c r="AI131" s="4">
        <f ca="1">IFERROR(__xludf.dummyfunction("if(isna(filter(prs!C:U,prs!I:I=G131,prs!R:R&lt;&gt;""Empty field"",prs!G:G&gt;DATE(2024,3,28),prs!G:G&lt;DATE(2024,4,26))),0,countunique(index(filter(prs!C:U,prs!I:I=G131,prs!R:R&lt;&gt;""Empty field"",prs!G:G&gt;DATE(2024,3,28),prs!G:G&lt;DATE(2024,4,26)),,1)))"),0)</f>
        <v>0</v>
      </c>
      <c r="AJ131" s="4">
        <f t="shared" ref="AJ131:AJ137" ca="1" si="30">IF(AI131&gt;$AA$140,3,IFERROR(ROUND((3*AI131/AH131) * IF(AI131&lt;$AB$140,0.5,1),2),0))</f>
        <v>0</v>
      </c>
      <c r="AK131" s="4"/>
      <c r="AL131" s="4">
        <v>0</v>
      </c>
      <c r="AM131" s="4" t="str">
        <f ca="1">IFERROR(__xludf.dummyfunction("ifna(filter(commits_results!H:I,commits_results!B:B=A131,commits_results!A:A=J131),)"),"")</f>
        <v/>
      </c>
      <c r="AN131" s="4"/>
      <c r="AO131" s="4">
        <f t="shared" ref="AO131:AO137" ca="1" si="31">IF(AN131&gt;$W$140,3,IFERROR(ROUND(3*(AM131/AN131) * IF(AM131&lt;$Y$140,0.5,1),2),0))</f>
        <v>0</v>
      </c>
      <c r="AP131" s="4">
        <f ca="1">IFERROR(__xludf.dummyfunction("if(isna(filter(prs!C:U,prs!I:I=G131,prs!G:G&gt;DATE(2024,4,25),prs!G:G&lt;DATE(2024,5,23))),0,countunique(index(filter(prs!C:U,prs!I:I=G131,prs!G:G&gt;DATE(2024,4,25),prs!G:G&lt;DATE(2024,5,23)),,1)))"),0)</f>
        <v>0</v>
      </c>
      <c r="AQ131" s="4">
        <f ca="1">IFERROR(__xludf.dummyfunction("if(isna(filter(prs!C:U,prs!I:I=G131,prs!R:R&lt;&gt;""Empty field"",prs!G:G&gt;DATE(2024,4,25),prs!G:G&lt;DATE(2024,5,23))),0,countunique(index(filter(prs!C:U,prs!I:I=G131,prs!R:R&lt;&gt;""Empty field"",prs!G:G&gt;DATE(2024,4,25),prs!G:G&lt;DATE(2024,5,23)),,1)))"),0)</f>
        <v>0</v>
      </c>
      <c r="AR131" s="4">
        <f t="shared" ref="AR131:AR137" ca="1" si="32">IF(AQ131&gt;$AA$140,3,IFERROR(ROUND((3*AQ131/AP131) * IF(AQ131&lt;$AB$140,0.5,1),2),0))</f>
        <v>0</v>
      </c>
      <c r="AS131" s="4">
        <f ca="1">IFERROR(__xludf.dummyfunction("round( (AO131+AR131) / 6 + filter('Проекты'!BA:BA,'Проекты'!A:A=J131), 1)"),0)</f>
        <v>0</v>
      </c>
      <c r="AT131" s="4">
        <f ca="1">IFERROR(__xludf.dummyfunction("filter('Проекты'!BB:BB,'Проекты'!A:A=J131)"),0)</f>
        <v>0</v>
      </c>
      <c r="AU131" s="4">
        <f ca="1">IFERROR(__xludf.dummyfunction("filter('Проекты'!BD:BD,'Проекты'!A:A=J131) + filter('Проекты'!BE:BE,'Проекты'!A:A=J131)"),0)</f>
        <v>0</v>
      </c>
      <c r="AV131" s="11">
        <f t="shared" ref="AV131:AV137" ca="1" si="33">ROUNDUP(SUM(K131:L131,T131:U131,AC131:AD131,AK131:AL131,AS131:AT131,AU131),0)</f>
        <v>20</v>
      </c>
      <c r="AW131" s="4" t="str">
        <f t="shared" ca="1" si="24"/>
        <v>Неудовлетворительно</v>
      </c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</row>
    <row r="132" spans="1:79" ht="15.75" customHeight="1">
      <c r="A132" s="20" t="s">
        <v>725</v>
      </c>
      <c r="B132" s="6" t="s">
        <v>725</v>
      </c>
      <c r="C132" s="6"/>
      <c r="D132" s="20">
        <v>9310</v>
      </c>
      <c r="E132" s="20" t="s">
        <v>726</v>
      </c>
      <c r="F132" s="20" t="s">
        <v>726</v>
      </c>
      <c r="G132" s="20" t="s">
        <v>727</v>
      </c>
      <c r="H132" s="20" t="s">
        <v>518</v>
      </c>
      <c r="I132" s="4" t="s">
        <v>1147</v>
      </c>
      <c r="J132" s="7" t="str">
        <f ca="1">IFERROR(__xludf.dummyfunction("index(split(I132,char(9)),1,1)"),"FastTrack")</f>
        <v>FastTrack</v>
      </c>
      <c r="K132" s="7">
        <f ca="1">IFERROR(__xludf.dummyfunction("ifna(index(filter('Посещаемость_баллы'!$A:$L,'Посещаемость_баллы'!$B:$B=$B132,'Посещаемость_баллы'!$C:$C=$C132,'Посещаемость_баллы'!$D:$D=$D132),1,12)*10,0)"),0)</f>
        <v>0</v>
      </c>
      <c r="L132" s="7">
        <f>ROUNDDOWN(IFERROR(VALUE(VLOOKUP(H132,'Онлайн-курс1'!B:F,5,FALSE())),IFERROR(VALUE(VLOOKUP(H132,'Онлайн-курс1'!C:F,4,FALSE())),0))/40*20,0)
+ IFERROR(VALUE(SUBSTITUTE(VLOOKUP(H132,'Онлайн-курс2'!B:I,8,FALSE()),".",",")),IFERROR(VALUE(SUBSTITUTE(VLOOKUP(H132,'Онлайн-курс2'!C:I,7,FALSE()),".",",")),0))*2</f>
        <v>19.559999999999999</v>
      </c>
      <c r="M132" s="8" t="s">
        <v>727</v>
      </c>
      <c r="N132" s="9">
        <v>0</v>
      </c>
      <c r="O132" s="4" t="s">
        <v>728</v>
      </c>
      <c r="P132" s="4">
        <v>0</v>
      </c>
      <c r="Q132" s="10" t="str">
        <f ca="1">IFERROR(__xludf.dummyfunction("iferror(index(QUERY(commits!A$2:$K1001, ""select Count(C) where lower(D) = lower('""&amp;G132&amp;""')""),2,1),""-"")"),"-")</f>
        <v>-</v>
      </c>
      <c r="R132" s="4" t="s">
        <v>54</v>
      </c>
      <c r="S132" s="4" t="s">
        <v>539</v>
      </c>
      <c r="T132" s="4">
        <f ca="1">VLOOKUP(A132,Расчёт_оценок!A:C,3,FALSE())</f>
        <v>0</v>
      </c>
      <c r="U132" s="4">
        <v>3</v>
      </c>
      <c r="V132" s="4" t="s">
        <v>54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/>
      <c r="AD132" s="4">
        <v>0</v>
      </c>
      <c r="AE132" s="4"/>
      <c r="AF132" s="4"/>
      <c r="AG132" s="4">
        <v>0</v>
      </c>
      <c r="AH132" s="4">
        <f ca="1">IFERROR(__xludf.dummyfunction("if(isna(filter(prs!C:U,prs!I:I=G132,prs!G:G&gt;DATE(2024,3,28),prs!G:G&lt;DATE(2024,4,26))),0,countunique(index(filter(prs!C:U,prs!I:I=G132,prs!G:G&gt;DATE(2024,3,28),prs!G:G&lt;DATE(2024,4,26)),,1)))"),0)</f>
        <v>0</v>
      </c>
      <c r="AI132" s="4">
        <f ca="1">IFERROR(__xludf.dummyfunction("if(isna(filter(prs!C:U,prs!I:I=G132,prs!R:R&lt;&gt;""Empty field"",prs!G:G&gt;DATE(2024,3,28),prs!G:G&lt;DATE(2024,4,26))),0,countunique(index(filter(prs!C:U,prs!I:I=G132,prs!R:R&lt;&gt;""Empty field"",prs!G:G&gt;DATE(2024,3,28),prs!G:G&lt;DATE(2024,4,26)),,1)))"),0)</f>
        <v>0</v>
      </c>
      <c r="AJ132" s="4">
        <f t="shared" ca="1" si="30"/>
        <v>0</v>
      </c>
      <c r="AK132" s="4"/>
      <c r="AL132" s="4">
        <v>0</v>
      </c>
      <c r="AM132" s="4" t="str">
        <f ca="1">IFERROR(__xludf.dummyfunction("ifna(filter(commits_results!H:I,commits_results!B:B=A132,commits_results!A:A=J132),)"),"")</f>
        <v/>
      </c>
      <c r="AN132" s="4"/>
      <c r="AO132" s="4">
        <f t="shared" ca="1" si="31"/>
        <v>0</v>
      </c>
      <c r="AP132" s="4">
        <f ca="1">IFERROR(__xludf.dummyfunction("if(isna(filter(prs!C:U,prs!I:I=G132,prs!G:G&gt;DATE(2024,4,25),prs!G:G&lt;DATE(2024,5,23))),0,countunique(index(filter(prs!C:U,prs!I:I=G132,prs!G:G&gt;DATE(2024,4,25),prs!G:G&lt;DATE(2024,5,23)),,1)))"),0)</f>
        <v>0</v>
      </c>
      <c r="AQ132" s="4">
        <f ca="1">IFERROR(__xludf.dummyfunction("if(isna(filter(prs!C:U,prs!I:I=G132,prs!R:R&lt;&gt;""Empty field"",prs!G:G&gt;DATE(2024,4,25),prs!G:G&lt;DATE(2024,5,23))),0,countunique(index(filter(prs!C:U,prs!I:I=G132,prs!R:R&lt;&gt;""Empty field"",prs!G:G&gt;DATE(2024,4,25),prs!G:G&lt;DATE(2024,5,23)),,1)))"),0)</f>
        <v>0</v>
      </c>
      <c r="AR132" s="4">
        <f t="shared" ca="1" si="32"/>
        <v>0</v>
      </c>
      <c r="AS132" s="4">
        <f ca="1">IFERROR(__xludf.dummyfunction("round( (AO132+AR132) / 6 + filter('Проекты'!BA:BA,'Проекты'!A:A=J132), 1)"),0)</f>
        <v>0</v>
      </c>
      <c r="AT132" s="4">
        <v>0</v>
      </c>
      <c r="AU132" s="4">
        <f ca="1">IFERROR(__xludf.dummyfunction("filter('Проекты'!BD:BD,'Проекты'!A:A=J132) + filter('Проекты'!BE:BE,'Проекты'!A:A=J132)"),0)</f>
        <v>0</v>
      </c>
      <c r="AV132" s="11">
        <f t="shared" ca="1" si="33"/>
        <v>23</v>
      </c>
      <c r="AW132" s="4" t="str">
        <f t="shared" ca="1" si="24"/>
        <v>Неудовлетворительно</v>
      </c>
    </row>
    <row r="133" spans="1:79" ht="15.75" customHeight="1">
      <c r="A133" s="20" t="s">
        <v>729</v>
      </c>
      <c r="B133" s="6" t="s">
        <v>729</v>
      </c>
      <c r="C133" s="6"/>
      <c r="D133" s="20">
        <v>9310</v>
      </c>
      <c r="E133" s="20" t="s">
        <v>730</v>
      </c>
      <c r="F133" s="20" t="s">
        <v>730</v>
      </c>
      <c r="G133" s="20" t="s">
        <v>731</v>
      </c>
      <c r="H133" s="20" t="s">
        <v>732</v>
      </c>
      <c r="I133" s="4" t="s">
        <v>1148</v>
      </c>
      <c r="J133" s="7">
        <f ca="1">IFERROR(__xludf.dummyfunction("index(split(I133,char(9)),1,1)"),19)</f>
        <v>19</v>
      </c>
      <c r="K133" s="7">
        <f ca="1">IFERROR(__xludf.dummyfunction("ifna(index(filter('Посещаемость_баллы'!$A:$L,'Посещаемость_баллы'!$B:$B=$B133,'Посещаемость_баллы'!$C:$C=$C133,'Посещаемость_баллы'!$D:$D=$D133),1,12)*10,0)"),0)</f>
        <v>0</v>
      </c>
      <c r="L133" s="7">
        <f>ROUNDDOWN(IFERROR(VALUE(VLOOKUP(H133,'Онлайн-курс1'!B:F,5,FALSE())),IFERROR(VALUE(VLOOKUP(H133,'Онлайн-курс1'!C:F,4,FALSE())),0))/40*20,0)
+ IFERROR(VALUE(SUBSTITUTE(VLOOKUP(H133,'Онлайн-курс2'!B:I,8,FALSE()),".",",")),IFERROR(VALUE(SUBSTITUTE(VLOOKUP(H133,'Онлайн-курс2'!C:I,7,FALSE()),".",",")),0))*2</f>
        <v>20</v>
      </c>
      <c r="M133" s="8" t="s">
        <v>731</v>
      </c>
      <c r="N133" s="9">
        <v>1</v>
      </c>
      <c r="O133" s="4" t="s">
        <v>733</v>
      </c>
      <c r="P133" s="4">
        <v>0</v>
      </c>
      <c r="Q133" s="10" t="str">
        <f ca="1">IFERROR(__xludf.dummyfunction("iferror(index(QUERY(commits!A$2:$K1001, ""select Count(C) where lower(D) = lower('""&amp;G133&amp;""')""),2,1),""-"")"),"-")</f>
        <v>-</v>
      </c>
      <c r="R133" s="4" t="s">
        <v>734</v>
      </c>
      <c r="S133" s="4" t="s">
        <v>539</v>
      </c>
      <c r="T133" s="4">
        <f ca="1">VLOOKUP(A133,Расчёт_оценок!A:C,3,FALSE())</f>
        <v>6</v>
      </c>
      <c r="U133" s="4">
        <f ca="1">IFERROR(VLOOKUP(J133,Проекты!A:P,16,FALSE()),0)</f>
        <v>4</v>
      </c>
      <c r="V133" s="4" t="s">
        <v>735</v>
      </c>
      <c r="W133" s="4">
        <v>10</v>
      </c>
      <c r="X133" s="4">
        <v>10</v>
      </c>
      <c r="Y133" s="4">
        <v>3</v>
      </c>
      <c r="Z133" s="4">
        <v>0</v>
      </c>
      <c r="AA133" s="4">
        <v>13</v>
      </c>
      <c r="AB133" s="4">
        <v>2</v>
      </c>
      <c r="AC133" s="4">
        <v>4</v>
      </c>
      <c r="AD133" s="4">
        <v>4</v>
      </c>
      <c r="AE133" s="4">
        <v>11</v>
      </c>
      <c r="AF133" s="4">
        <v>11</v>
      </c>
      <c r="AG133" s="4">
        <v>3</v>
      </c>
      <c r="AH133" s="4">
        <f ca="1">IFERROR(__xludf.dummyfunction("if(isna(filter(prs!C:U,prs!I:I=G133,prs!G:G&gt;DATE(2024,3,28),prs!G:G&lt;DATE(2024,4,26))),0,countunique(index(filter(prs!C:U,prs!I:I=G133,prs!G:G&gt;DATE(2024,3,28),prs!G:G&lt;DATE(2024,4,26)),,1)))"),0)</f>
        <v>0</v>
      </c>
      <c r="AI133" s="4">
        <f ca="1">IFERROR(__xludf.dummyfunction("if(isna(filter(prs!C:U,prs!I:I=G133,prs!R:R&lt;&gt;""Empty field"",prs!G:G&gt;DATE(2024,3,28),prs!G:G&lt;DATE(2024,4,26))),0,countunique(index(filter(prs!C:U,prs!I:I=G133,prs!R:R&lt;&gt;""Empty field"",prs!G:G&gt;DATE(2024,3,28),prs!G:G&lt;DATE(2024,4,26)),,1)))"),0)</f>
        <v>0</v>
      </c>
      <c r="AJ133" s="4">
        <f t="shared" ca="1" si="30"/>
        <v>0</v>
      </c>
      <c r="AK133" s="4">
        <f ca="1">IFERROR(__xludf.dummyfunction("min(6,round((AG133+AJ133)/6 + filter('Проекты'!AS:AS,'Проекты'!A:A=J133),1))"),5.5)</f>
        <v>5.5</v>
      </c>
      <c r="AL133" s="4">
        <f ca="1">IFERROR(__xludf.dummyfunction("filter('Проекты'!AT:AT,'Проекты'!A:A=J133)"),4)</f>
        <v>4</v>
      </c>
      <c r="AM133" s="4">
        <f ca="1">IFERROR(__xludf.dummyfunction("ifna(filter(commits_results!H:I,commits_results!B:B=A133,commits_results!A:A=J133),)"),11)</f>
        <v>11</v>
      </c>
      <c r="AN133" s="4">
        <f ca="1">IFERROR(__xludf.dummyfunction("""COMPUTED_VALUE"""),11)</f>
        <v>11</v>
      </c>
      <c r="AO133" s="4">
        <f t="shared" ca="1" si="31"/>
        <v>3</v>
      </c>
      <c r="AP133" s="4">
        <f ca="1">IFERROR(__xludf.dummyfunction("if(isna(filter(prs!C:U,prs!I:I=G133,prs!G:G&gt;DATE(2024,4,25),prs!G:G&lt;DATE(2024,5,23))),0,countunique(index(filter(prs!C:U,prs!I:I=G133,prs!G:G&gt;DATE(2024,4,25),prs!G:G&lt;DATE(2024,5,23)),,1)))"),0)</f>
        <v>0</v>
      </c>
      <c r="AQ133" s="4">
        <f ca="1">IFERROR(__xludf.dummyfunction("if(isna(filter(prs!C:U,prs!I:I=G133,prs!R:R&lt;&gt;""Empty field"",prs!G:G&gt;DATE(2024,4,25),prs!G:G&lt;DATE(2024,5,23))),0,countunique(index(filter(prs!C:U,prs!I:I=G133,prs!R:R&lt;&gt;""Empty field"",prs!G:G&gt;DATE(2024,4,25),prs!G:G&lt;DATE(2024,5,23)),,1)))"),0)</f>
        <v>0</v>
      </c>
      <c r="AR133" s="4">
        <f t="shared" ca="1" si="32"/>
        <v>0</v>
      </c>
      <c r="AS133" s="4">
        <f ca="1">IFERROR(__xludf.dummyfunction("round( (AO133+AR133) / 6 + filter('Проекты'!BA:BA,'Проекты'!A:A=J133), 1)"),5.5)</f>
        <v>5.5</v>
      </c>
      <c r="AT133" s="4">
        <f ca="1">IFERROR(__xludf.dummyfunction("filter('Проекты'!BB:BB,'Проекты'!A:A=J133)"),4)</f>
        <v>4</v>
      </c>
      <c r="AU133" s="4">
        <f ca="1">IFERROR(__xludf.dummyfunction("filter('Проекты'!BD:BD,'Проекты'!A:A=J133) + filter('Проекты'!BE:BE,'Проекты'!A:A=J133)"),0)</f>
        <v>0</v>
      </c>
      <c r="AV133" s="11">
        <f t="shared" ca="1" si="33"/>
        <v>57</v>
      </c>
      <c r="AW133" s="4" t="str">
        <f t="shared" ca="1" si="24"/>
        <v>Неудовлетворительно</v>
      </c>
    </row>
    <row r="134" spans="1:79" ht="15.75" customHeight="1">
      <c r="A134" s="20" t="s">
        <v>736</v>
      </c>
      <c r="B134" s="6" t="s">
        <v>736</v>
      </c>
      <c r="C134" s="6"/>
      <c r="D134" s="20">
        <v>9310</v>
      </c>
      <c r="E134" s="20" t="s">
        <v>737</v>
      </c>
      <c r="F134" s="20" t="s">
        <v>737</v>
      </c>
      <c r="G134" s="20" t="s">
        <v>738</v>
      </c>
      <c r="H134" s="20" t="s">
        <v>739</v>
      </c>
      <c r="I134" s="4" t="s">
        <v>1149</v>
      </c>
      <c r="J134" s="7">
        <f ca="1">IFERROR(__xludf.dummyfunction("index(split(I134,char(9)),1,1)"),17)</f>
        <v>17</v>
      </c>
      <c r="K134" s="7">
        <f ca="1">IFERROR(__xludf.dummyfunction("ifna(index(filter('Посещаемость_баллы'!$A:$L,'Посещаемость_баллы'!$B:$B=$B134,'Посещаемость_баллы'!$C:$C=$C134,'Посещаемость_баллы'!$D:$D=$D134),1,12)*10,0)"),10)</f>
        <v>10</v>
      </c>
      <c r="L134" s="7">
        <f>ROUNDDOWN(IFERROR(VALUE(VLOOKUP(H134,'Онлайн-курс1'!B:F,5,FALSE())),IFERROR(VALUE(VLOOKUP(H134,'Онлайн-курс1'!C:F,4,FALSE())),0))/40*20,0)
+ IFERROR(VALUE(SUBSTITUTE(VLOOKUP(H134,'Онлайн-курс2'!B:I,8,FALSE()),".",",")),IFERROR(VALUE(SUBSTITUTE(VLOOKUP(H134,'Онлайн-курс2'!C:I,7,FALSE()),".",",")),0))*2</f>
        <v>20</v>
      </c>
      <c r="M134" s="8" t="s">
        <v>738</v>
      </c>
      <c r="N134" s="9">
        <v>1</v>
      </c>
      <c r="O134" s="4" t="s">
        <v>740</v>
      </c>
      <c r="P134" s="4">
        <v>0</v>
      </c>
      <c r="Q134" s="10" t="str">
        <f ca="1">IFERROR(__xludf.dummyfunction("iferror(index(QUERY(commits!A$2:$K1001, ""select Count(C) where lower(D) = lower('""&amp;G134&amp;""')""),2,1),""-"")"),"-")</f>
        <v>-</v>
      </c>
      <c r="R134" s="4" t="s">
        <v>148</v>
      </c>
      <c r="S134" s="4" t="s">
        <v>539</v>
      </c>
      <c r="T134" s="4">
        <f ca="1">VLOOKUP(A134,Расчёт_оценок!A:C,3,FALSE())</f>
        <v>5</v>
      </c>
      <c r="U134" s="4">
        <f ca="1">IFERROR(VLOOKUP(J134,Проекты!A:P,16,FALSE()),0)</f>
        <v>4</v>
      </c>
      <c r="V134" s="4" t="s">
        <v>741</v>
      </c>
      <c r="W134" s="4">
        <v>0</v>
      </c>
      <c r="X134" s="4">
        <v>2</v>
      </c>
      <c r="Y134" s="4">
        <v>0</v>
      </c>
      <c r="Z134" s="4">
        <v>0</v>
      </c>
      <c r="AA134" s="4">
        <v>3</v>
      </c>
      <c r="AB134" s="4">
        <v>0</v>
      </c>
      <c r="AC134" s="4">
        <v>1.17</v>
      </c>
      <c r="AD134" s="4">
        <v>0.2</v>
      </c>
      <c r="AE134" s="4">
        <v>17</v>
      </c>
      <c r="AF134" s="4">
        <v>17</v>
      </c>
      <c r="AG134" s="4">
        <v>3</v>
      </c>
      <c r="AH134" s="4">
        <f ca="1">IFERROR(__xludf.dummyfunction("if(isna(filter(prs!C:U,prs!I:I=G134,prs!G:G&gt;DATE(2024,3,28),prs!G:G&lt;DATE(2024,4,26))),0,countunique(index(filter(prs!C:U,prs!I:I=G134,prs!G:G&gt;DATE(2024,3,28),prs!G:G&lt;DATE(2024,4,26)),,1)))"),0)</f>
        <v>0</v>
      </c>
      <c r="AI134" s="4">
        <f ca="1">IFERROR(__xludf.dummyfunction("if(isna(filter(prs!C:U,prs!I:I=G134,prs!R:R&lt;&gt;""Empty field"",prs!G:G&gt;DATE(2024,3,28),prs!G:G&lt;DATE(2024,4,26))),0,countunique(index(filter(prs!C:U,prs!I:I=G134,prs!R:R&lt;&gt;""Empty field"",prs!G:G&gt;DATE(2024,3,28),prs!G:G&lt;DATE(2024,4,26)),,1)))"),0)</f>
        <v>0</v>
      </c>
      <c r="AJ134" s="4">
        <f t="shared" ca="1" si="30"/>
        <v>0</v>
      </c>
      <c r="AK134" s="4">
        <f ca="1">IFERROR(__xludf.dummyfunction("min(6,round((AG134+AJ134)/6 + filter('Проекты'!AS:AS,'Проекты'!A:A=J134),1))"),2.8)</f>
        <v>2.8</v>
      </c>
      <c r="AL134" s="4">
        <f ca="1">IFERROR(__xludf.dummyfunction("filter('Проекты'!AT:AT,'Проекты'!A:A=J134)"),1.3)</f>
        <v>1.3</v>
      </c>
      <c r="AM134" s="4">
        <f ca="1">IFERROR(__xludf.dummyfunction("ifna(filter(commits_results!H:I,commits_results!B:B=A134,commits_results!A:A=J134),)"),3)</f>
        <v>3</v>
      </c>
      <c r="AN134" s="4">
        <f ca="1">IFERROR(__xludf.dummyfunction("""COMPUTED_VALUE"""),3)</f>
        <v>3</v>
      </c>
      <c r="AO134" s="4">
        <f t="shared" ca="1" si="31"/>
        <v>3</v>
      </c>
      <c r="AP134" s="4">
        <f ca="1">IFERROR(__xludf.dummyfunction("if(isna(filter(prs!C:U,prs!I:I=G134,prs!G:G&gt;DATE(2024,4,25),prs!G:G&lt;DATE(2024,5,23))),0,countunique(index(filter(prs!C:U,prs!I:I=G134,prs!G:G&gt;DATE(2024,4,25),prs!G:G&lt;DATE(2024,5,23)),,1)))"),0)</f>
        <v>0</v>
      </c>
      <c r="AQ134" s="4">
        <f ca="1">IFERROR(__xludf.dummyfunction("if(isna(filter(prs!C:U,prs!I:I=G134,prs!R:R&lt;&gt;""Empty field"",prs!G:G&gt;DATE(2024,4,25),prs!G:G&lt;DATE(2024,5,23))),0,countunique(index(filter(prs!C:U,prs!I:I=G134,prs!R:R&lt;&gt;""Empty field"",prs!G:G&gt;DATE(2024,4,25),prs!G:G&lt;DATE(2024,5,23)),,1)))"),0)</f>
        <v>0</v>
      </c>
      <c r="AR134" s="4">
        <f t="shared" ca="1" si="32"/>
        <v>0</v>
      </c>
      <c r="AS134" s="4">
        <f ca="1">IFERROR(__xludf.dummyfunction("round( (AO134+AR134) / 6 + filter('Проекты'!BA:BA,'Проекты'!A:A=J134), 1)"),0.5)</f>
        <v>0.5</v>
      </c>
      <c r="AT134" s="4">
        <f ca="1">IFERROR(__xludf.dummyfunction("filter('Проекты'!BB:BB,'Проекты'!A:A=J134)"),0.5)</f>
        <v>0.5</v>
      </c>
      <c r="AU134" s="4">
        <f ca="1">IFERROR(__xludf.dummyfunction("filter('Проекты'!BD:BD,'Проекты'!A:A=J134) + filter('Проекты'!BE:BE,'Проекты'!A:A=J134)"),0)</f>
        <v>0</v>
      </c>
      <c r="AV134" s="11">
        <f t="shared" ca="1" si="33"/>
        <v>46</v>
      </c>
      <c r="AW134" s="4" t="str">
        <f t="shared" ca="1" si="24"/>
        <v>Неудовлетворительно</v>
      </c>
    </row>
    <row r="135" spans="1:79" ht="15.75" customHeight="1">
      <c r="A135" s="20" t="s">
        <v>742</v>
      </c>
      <c r="B135" s="6" t="s">
        <v>742</v>
      </c>
      <c r="C135" s="6"/>
      <c r="D135" s="20">
        <v>9310</v>
      </c>
      <c r="E135" s="20" t="s">
        <v>743</v>
      </c>
      <c r="F135" s="20" t="s">
        <v>743</v>
      </c>
      <c r="G135" s="20" t="s">
        <v>744</v>
      </c>
      <c r="H135" s="20" t="s">
        <v>745</v>
      </c>
      <c r="I135" s="4" t="s">
        <v>1150</v>
      </c>
      <c r="J135" s="7">
        <f ca="1">IFERROR(__xludf.dummyfunction("index(split(I135,char(9)),1,1)"),13)</f>
        <v>13</v>
      </c>
      <c r="K135" s="7">
        <f ca="1">IFERROR(__xludf.dummyfunction("ifna(index(filter('Посещаемость_баллы'!$A:$L,'Посещаемость_баллы'!$B:$B=$B135,'Посещаемость_баллы'!$C:$C=$C135,'Посещаемость_баллы'!$D:$D=$D135),1,12)*10,0)"),6)</f>
        <v>6</v>
      </c>
      <c r="L135" s="7">
        <f>ROUNDDOWN(IFERROR(VALUE(VLOOKUP(H135,'Онлайн-курс1'!B:F,5,FALSE())),IFERROR(VALUE(VLOOKUP(H135,'Онлайн-курс1'!C:F,4,FALSE())),0))/40*20,0)
+ IFERROR(VALUE(SUBSTITUTE(VLOOKUP(H135,'Онлайн-курс2'!B:I,8,FALSE()),".",",")),IFERROR(VALUE(SUBSTITUTE(VLOOKUP(H135,'Онлайн-курс2'!C:I,7,FALSE()),".",",")),0))*2</f>
        <v>20</v>
      </c>
      <c r="M135" s="8" t="s">
        <v>744</v>
      </c>
      <c r="N135" s="9">
        <v>1</v>
      </c>
      <c r="O135" s="4" t="s">
        <v>746</v>
      </c>
      <c r="P135" s="4">
        <v>0</v>
      </c>
      <c r="Q135" s="10" t="str">
        <f ca="1">IFERROR(__xludf.dummyfunction("iferror(index(QUERY(commits!A$2:$K1001, ""select Count(C) where lower(D) = lower('""&amp;G135&amp;""')""),2,1),""-"")"),"-")</f>
        <v>-</v>
      </c>
      <c r="R135" s="4" t="s">
        <v>39</v>
      </c>
      <c r="S135" s="4" t="s">
        <v>552</v>
      </c>
      <c r="T135" s="4">
        <f ca="1">VLOOKUP(A135,Расчёт_оценок!A:C,3,FALSE())</f>
        <v>3</v>
      </c>
      <c r="U135" s="4">
        <f ca="1">IFERROR(VLOOKUP(J135,Проекты!A:P,16,FALSE()),0)</f>
        <v>4</v>
      </c>
      <c r="V135" s="4" t="s">
        <v>747</v>
      </c>
      <c r="W135" s="4">
        <v>8</v>
      </c>
      <c r="X135" s="4">
        <v>8</v>
      </c>
      <c r="Y135" s="4">
        <v>3</v>
      </c>
      <c r="Z135" s="4">
        <v>8</v>
      </c>
      <c r="AA135" s="4">
        <v>8</v>
      </c>
      <c r="AB135" s="4">
        <v>2</v>
      </c>
      <c r="AC135" s="4">
        <v>4.75</v>
      </c>
      <c r="AD135" s="4">
        <v>4</v>
      </c>
      <c r="AE135" s="4">
        <v>13</v>
      </c>
      <c r="AF135" s="4">
        <v>13</v>
      </c>
      <c r="AG135" s="4">
        <v>3</v>
      </c>
      <c r="AH135" s="4">
        <f ca="1">IFERROR(__xludf.dummyfunction("if(isna(filter(prs!C:U,prs!I:I=G135,prs!G:G&gt;DATE(2024,3,28),prs!G:G&lt;DATE(2024,4,26))),0,countunique(index(filter(prs!C:U,prs!I:I=G135,prs!G:G&gt;DATE(2024,3,28),prs!G:G&lt;DATE(2024,4,26)),,1)))"),6)</f>
        <v>6</v>
      </c>
      <c r="AI135" s="4">
        <f ca="1">IFERROR(__xludf.dummyfunction("if(isna(filter(prs!C:U,prs!I:I=G135,prs!R:R&lt;&gt;""Empty field"",prs!G:G&gt;DATE(2024,3,28),prs!G:G&lt;DATE(2024,4,26))),0,countunique(index(filter(prs!C:U,prs!I:I=G135,prs!R:R&lt;&gt;""Empty field"",prs!G:G&gt;DATE(2024,3,28),prs!G:G&lt;DATE(2024,4,26)),,1)))"),6)</f>
        <v>6</v>
      </c>
      <c r="AJ135" s="4">
        <f t="shared" ca="1" si="30"/>
        <v>3</v>
      </c>
      <c r="AK135" s="4">
        <f ca="1">IFERROR(__xludf.dummyfunction("min(6,round((AG135+AJ135)/6 + filter('Проекты'!AS:AS,'Проекты'!A:A=J135),1))"),5)</f>
        <v>5</v>
      </c>
      <c r="AL135" s="4">
        <f ca="1">IFERROR(__xludf.dummyfunction("filter('Проекты'!AT:AT,'Проекты'!A:A=J135)"),3.5)</f>
        <v>3.5</v>
      </c>
      <c r="AM135" s="4">
        <f ca="1">IFERROR(__xludf.dummyfunction("ifna(filter(commits_results!H:I,commits_results!B:B=A135,commits_results!A:A=J135),)"),13)</f>
        <v>13</v>
      </c>
      <c r="AN135" s="4">
        <f ca="1">IFERROR(__xludf.dummyfunction("""COMPUTED_VALUE"""),24)</f>
        <v>24</v>
      </c>
      <c r="AO135" s="4">
        <f t="shared" ca="1" si="31"/>
        <v>3</v>
      </c>
      <c r="AP135" s="4">
        <f ca="1">IFERROR(__xludf.dummyfunction("if(isna(filter(prs!C:U,prs!I:I=G135,prs!G:G&gt;DATE(2024,4,25),prs!G:G&lt;DATE(2024,5,23))),0,countunique(index(filter(prs!C:U,prs!I:I=G135,prs!G:G&gt;DATE(2024,4,25),prs!G:G&lt;DATE(2024,5,23)),,1)))"),3)</f>
        <v>3</v>
      </c>
      <c r="AQ135" s="4">
        <f ca="1">IFERROR(__xludf.dummyfunction("if(isna(filter(prs!C:U,prs!I:I=G135,prs!R:R&lt;&gt;""Empty field"",prs!G:G&gt;DATE(2024,4,25),prs!G:G&lt;DATE(2024,5,23))),0,countunique(index(filter(prs!C:U,prs!I:I=G135,prs!R:R&lt;&gt;""Empty field"",prs!G:G&gt;DATE(2024,4,25),prs!G:G&lt;DATE(2024,5,23)),,1)))"),3)</f>
        <v>3</v>
      </c>
      <c r="AR135" s="4">
        <f t="shared" ca="1" si="32"/>
        <v>3</v>
      </c>
      <c r="AS135" s="4">
        <f ca="1">IFERROR(__xludf.dummyfunction("round( (AO135+AR135) / 6 + filter('Проекты'!BA:BA,'Проекты'!A:A=J135), 1)"),5.8)</f>
        <v>5.8</v>
      </c>
      <c r="AT135" s="4">
        <f ca="1">IFERROR(__xludf.dummyfunction("filter('Проекты'!BB:BB,'Проекты'!A:A=J135)"),3.2)</f>
        <v>3.2</v>
      </c>
      <c r="AU135" s="4">
        <f ca="1">IFERROR(__xludf.dummyfunction("filter('Проекты'!BD:BD,'Проекты'!A:A=J135) + filter('Проекты'!BE:BE,'Проекты'!A:A=J135)"),0)</f>
        <v>0</v>
      </c>
      <c r="AV135" s="11">
        <f t="shared" ca="1" si="33"/>
        <v>60</v>
      </c>
      <c r="AW135" s="4" t="str">
        <f t="shared" ca="1" si="24"/>
        <v>Неудовлетворительно</v>
      </c>
      <c r="AX135" s="12"/>
    </row>
    <row r="136" spans="1:79" ht="15.75" customHeight="1">
      <c r="A136" s="20" t="s">
        <v>748</v>
      </c>
      <c r="B136" s="6" t="s">
        <v>748</v>
      </c>
      <c r="C136" s="6"/>
      <c r="D136" s="20">
        <v>9310</v>
      </c>
      <c r="E136" s="20" t="s">
        <v>749</v>
      </c>
      <c r="F136" s="20" t="s">
        <v>749</v>
      </c>
      <c r="G136" s="20" t="s">
        <v>750</v>
      </c>
      <c r="H136" s="20" t="s">
        <v>582</v>
      </c>
      <c r="I136" s="4" t="s">
        <v>1151</v>
      </c>
      <c r="J136" s="7">
        <f ca="1">IFERROR(__xludf.dummyfunction("index(split(I136,char(9)),1,1)"),5)</f>
        <v>5</v>
      </c>
      <c r="K136" s="7">
        <f ca="1">IFERROR(__xludf.dummyfunction("ifna(index(filter('Посещаемость_баллы'!$A:$L,'Посещаемость_баллы'!$B:$B=$B136,'Посещаемость_баллы'!$C:$C=$C136,'Посещаемость_баллы'!$D:$D=$D136),1,12)*10,0)"),0)</f>
        <v>0</v>
      </c>
      <c r="L136" s="7">
        <f>ROUNDDOWN(IFERROR(VALUE(VLOOKUP(H136,'Онлайн-курс1'!B:F,5,FALSE())),IFERROR(VALUE(VLOOKUP(H136,'Онлайн-курс1'!C:F,4,FALSE())),0))/40*20,0)
+ IFERROR(VALUE(SUBSTITUTE(VLOOKUP(H136,'Онлайн-курс2'!B:I,8,FALSE()),".",",")),IFERROR(VALUE(SUBSTITUTE(VLOOKUP(H136,'Онлайн-курс2'!C:I,7,FALSE()),".",",")),0))*2</f>
        <v>20</v>
      </c>
      <c r="M136" s="8" t="s">
        <v>750</v>
      </c>
      <c r="N136" s="9">
        <v>1</v>
      </c>
      <c r="O136" s="4" t="s">
        <v>751</v>
      </c>
      <c r="P136" s="4">
        <v>0</v>
      </c>
      <c r="Q136" s="10" t="str">
        <f ca="1">IFERROR(__xludf.dummyfunction("iferror(index(QUERY(commits!A$2:$K1001, ""select Count(C) where lower(D) = lower('""&amp;G136&amp;""')""),2,1),""-"")"),"-")</f>
        <v>-</v>
      </c>
      <c r="R136" s="4" t="s">
        <v>752</v>
      </c>
      <c r="S136" s="4" t="s">
        <v>552</v>
      </c>
      <c r="T136" s="4">
        <f ca="1">VLOOKUP(A136,Расчёт_оценок!A:C,3,FALSE())</f>
        <v>6</v>
      </c>
      <c r="U136" s="4">
        <f ca="1">IFERROR(VLOOKUP(J136,Проекты!A:P,16,FALSE()),0)</f>
        <v>4</v>
      </c>
      <c r="V136" s="4" t="s">
        <v>753</v>
      </c>
      <c r="W136" s="4">
        <v>27</v>
      </c>
      <c r="X136" s="4">
        <v>27</v>
      </c>
      <c r="Y136" s="4">
        <v>3</v>
      </c>
      <c r="Z136" s="4">
        <v>6</v>
      </c>
      <c r="AA136" s="4">
        <v>13</v>
      </c>
      <c r="AB136" s="4">
        <v>2</v>
      </c>
      <c r="AC136" s="4">
        <v>3.75</v>
      </c>
      <c r="AD136" s="4">
        <v>2.8</v>
      </c>
      <c r="AE136" s="4">
        <v>2</v>
      </c>
      <c r="AF136" s="4">
        <v>2</v>
      </c>
      <c r="AG136" s="4">
        <v>1.5</v>
      </c>
      <c r="AH136" s="4">
        <f ca="1">IFERROR(__xludf.dummyfunction("if(isna(filter(prs!C:U,prs!I:I=G136,prs!G:G&gt;DATE(2024,3,28),prs!G:G&lt;DATE(2024,4,26))),0,countunique(index(filter(prs!C:U,prs!I:I=G136,prs!G:G&gt;DATE(2024,3,28),prs!G:G&lt;DATE(2024,4,26)),,1)))"),2)</f>
        <v>2</v>
      </c>
      <c r="AI136" s="4">
        <f ca="1">IFERROR(__xludf.dummyfunction("if(isna(filter(prs!C:U,prs!I:I=G136,prs!R:R&lt;&gt;""Empty field"",prs!G:G&gt;DATE(2024,3,28),prs!G:G&lt;DATE(2024,4,26))),0,countunique(index(filter(prs!C:U,prs!I:I=G136,prs!R:R&lt;&gt;""Empty field"",prs!G:G&gt;DATE(2024,3,28),prs!G:G&lt;DATE(2024,4,26)),,1)))"),2)</f>
        <v>2</v>
      </c>
      <c r="AJ136" s="4">
        <f t="shared" ca="1" si="30"/>
        <v>3</v>
      </c>
      <c r="AK136" s="4">
        <f ca="1">IFERROR(__xludf.dummyfunction("min(6,round((AG136+AJ136)/6 + filter('Проекты'!AS:AS,'Проекты'!A:A=J136),1))"),5.1)</f>
        <v>5.0999999999999996</v>
      </c>
      <c r="AL136" s="4">
        <f ca="1">IFERROR(__xludf.dummyfunction("filter('Проекты'!AT:AT,'Проекты'!A:A=J136)"),3.5)</f>
        <v>3.5</v>
      </c>
      <c r="AM136" s="4">
        <f ca="1">IFERROR(__xludf.dummyfunction("ifna(filter(commits_results!H:I,commits_results!B:B=A136,commits_results!A:A=J136),)"),4)</f>
        <v>4</v>
      </c>
      <c r="AN136" s="4">
        <f ca="1">IFERROR(__xludf.dummyfunction("""COMPUTED_VALUE"""),4)</f>
        <v>4</v>
      </c>
      <c r="AO136" s="4">
        <f t="shared" ca="1" si="31"/>
        <v>3</v>
      </c>
      <c r="AP136" s="4">
        <f ca="1">IFERROR(__xludf.dummyfunction("if(isna(filter(prs!C:U,prs!I:I=G136,prs!G:G&gt;DATE(2024,4,25),prs!G:G&lt;DATE(2024,5,23))),0,countunique(index(filter(prs!C:U,prs!I:I=G136,prs!G:G&gt;DATE(2024,4,25),prs!G:G&lt;DATE(2024,5,23)),,1)))"),3)</f>
        <v>3</v>
      </c>
      <c r="AQ136" s="4">
        <f ca="1">IFERROR(__xludf.dummyfunction("if(isna(filter(prs!C:U,prs!I:I=G136,prs!R:R&lt;&gt;""Empty field"",prs!G:G&gt;DATE(2024,4,25),prs!G:G&lt;DATE(2024,5,23))),0,countunique(index(filter(prs!C:U,prs!I:I=G136,prs!R:R&lt;&gt;""Empty field"",prs!G:G&gt;DATE(2024,4,25),prs!G:G&lt;DATE(2024,5,23)),,1)))"),3)</f>
        <v>3</v>
      </c>
      <c r="AR136" s="4">
        <f t="shared" ca="1" si="32"/>
        <v>3</v>
      </c>
      <c r="AS136" s="4">
        <f ca="1">IFERROR(__xludf.dummyfunction("round( (AO136+AR136) / 6 + filter('Проекты'!BA:BA,'Проекты'!A:A=J136), 1)"),5.3)</f>
        <v>5.3</v>
      </c>
      <c r="AT136" s="4">
        <f ca="1">IFERROR(__xludf.dummyfunction("filter('Проекты'!BB:BB,'Проекты'!A:A=J136)"),2.7)</f>
        <v>2.7</v>
      </c>
      <c r="AU136" s="4">
        <f ca="1">IFERROR(__xludf.dummyfunction("filter('Проекты'!BD:BD,'Проекты'!A:A=J136) + filter('Проекты'!BE:BE,'Проекты'!A:A=J136)"),0)</f>
        <v>0</v>
      </c>
      <c r="AV136" s="11">
        <f t="shared" ca="1" si="33"/>
        <v>54</v>
      </c>
      <c r="AW136" s="4" t="str">
        <f t="shared" ca="1" si="24"/>
        <v>Неудовлетворительно</v>
      </c>
    </row>
    <row r="137" spans="1:79" ht="15.75" customHeight="1">
      <c r="A137" s="20" t="s">
        <v>754</v>
      </c>
      <c r="B137" s="6" t="s">
        <v>754</v>
      </c>
      <c r="C137" s="6"/>
      <c r="D137" s="20">
        <v>9310</v>
      </c>
      <c r="E137" s="20" t="s">
        <v>755</v>
      </c>
      <c r="F137" s="20" t="s">
        <v>755</v>
      </c>
      <c r="G137" s="20" t="s">
        <v>756</v>
      </c>
      <c r="H137" s="20" t="s">
        <v>757</v>
      </c>
      <c r="I137" s="4" t="s">
        <v>1152</v>
      </c>
      <c r="J137" s="7" t="str">
        <f ca="1">IFERROR(__xludf.dummyfunction("index(split(I137,char(9)),1,1)"),"FastTrack")</f>
        <v>FastTrack</v>
      </c>
      <c r="K137" s="7">
        <f ca="1">IFERROR(__xludf.dummyfunction("ifna(index(filter('Посещаемость_баллы'!$A:$L,'Посещаемость_баллы'!$B:$B=$B137,'Посещаемость_баллы'!$C:$C=$C137,'Посещаемость_баллы'!$D:$D=$D137),1,12)*10,0)"),0)</f>
        <v>0</v>
      </c>
      <c r="L137" s="7">
        <f>ROUNDDOWN(IFERROR(VALUE(VLOOKUP(H137,'Онлайн-курс1'!B:F,5,FALSE())),IFERROR(VALUE(VLOOKUP(H137,'Онлайн-курс1'!C:F,4,FALSE())),0))/40*20,0)
+ IFERROR(VALUE(SUBSTITUTE(VLOOKUP(H137,'Онлайн-курс2'!B:I,8,FALSE()),".",",")),IFERROR(VALUE(SUBSTITUTE(VLOOKUP(H137,'Онлайн-курс2'!C:I,7,FALSE()),".",",")),0))*2</f>
        <v>0</v>
      </c>
      <c r="M137" s="8" t="s">
        <v>756</v>
      </c>
      <c r="N137" s="9">
        <v>0</v>
      </c>
      <c r="O137" s="4" t="s">
        <v>758</v>
      </c>
      <c r="P137" s="4">
        <v>0</v>
      </c>
      <c r="Q137" s="10" t="str">
        <f ca="1">IFERROR(__xludf.dummyfunction("iferror(index(QUERY(commits!A$2:$K1001, ""select Count(C) where lower(D) = lower('""&amp;G137&amp;""')""),2,1),""-"")"),"-")</f>
        <v>-</v>
      </c>
      <c r="R137" s="4" t="s">
        <v>54</v>
      </c>
      <c r="S137" s="4" t="s">
        <v>539</v>
      </c>
      <c r="T137" s="4">
        <f ca="1">VLOOKUP(A137,Расчёт_оценок!A:C,3,FALSE())</f>
        <v>0</v>
      </c>
      <c r="U137" s="4">
        <v>3</v>
      </c>
      <c r="V137" s="4" t="s">
        <v>54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/>
      <c r="AD137" s="4">
        <v>0</v>
      </c>
      <c r="AE137" s="4"/>
      <c r="AF137" s="4"/>
      <c r="AG137" s="4">
        <v>0</v>
      </c>
      <c r="AH137" s="4">
        <f ca="1">IFERROR(__xludf.dummyfunction("if(isna(filter(prs!C:U,prs!I:I=G137,prs!G:G&gt;DATE(2024,3,28),prs!G:G&lt;DATE(2024,4,26))),0,countunique(index(filter(prs!C:U,prs!I:I=G137,prs!G:G&gt;DATE(2024,3,28),prs!G:G&lt;DATE(2024,4,26)),,1)))"),0)</f>
        <v>0</v>
      </c>
      <c r="AI137" s="4">
        <f ca="1">IFERROR(__xludf.dummyfunction("if(isna(filter(prs!C:U,prs!I:I=G137,prs!R:R&lt;&gt;""Empty field"",prs!G:G&gt;DATE(2024,3,28),prs!G:G&lt;DATE(2024,4,26))),0,countunique(index(filter(prs!C:U,prs!I:I=G137,prs!R:R&lt;&gt;""Empty field"",prs!G:G&gt;DATE(2024,3,28),prs!G:G&lt;DATE(2024,4,26)),,1)))"),0)</f>
        <v>0</v>
      </c>
      <c r="AJ137" s="4">
        <f t="shared" ca="1" si="30"/>
        <v>0</v>
      </c>
      <c r="AK137" s="4"/>
      <c r="AL137" s="4">
        <v>0</v>
      </c>
      <c r="AM137" s="4" t="str">
        <f ca="1">IFERROR(__xludf.dummyfunction("ifna(filter(commits_results!H:I,commits_results!B:B=A137,commits_results!A:A=J137),)"),"")</f>
        <v/>
      </c>
      <c r="AN137" s="4"/>
      <c r="AO137" s="4">
        <f t="shared" ca="1" si="31"/>
        <v>0</v>
      </c>
      <c r="AP137" s="4">
        <f ca="1">IFERROR(__xludf.dummyfunction("if(isna(filter(prs!C:U,prs!I:I=G137,prs!G:G&gt;DATE(2024,4,25),prs!G:G&lt;DATE(2024,5,23))),0,countunique(index(filter(prs!C:U,prs!I:I=G137,prs!G:G&gt;DATE(2024,4,25),prs!G:G&lt;DATE(2024,5,23)),,1)))"),0)</f>
        <v>0</v>
      </c>
      <c r="AQ137" s="4">
        <f ca="1">IFERROR(__xludf.dummyfunction("if(isna(filter(prs!C:U,prs!I:I=G137,prs!R:R&lt;&gt;""Empty field"",prs!G:G&gt;DATE(2024,4,25),prs!G:G&lt;DATE(2024,5,23))),0,countunique(index(filter(prs!C:U,prs!I:I=G137,prs!R:R&lt;&gt;""Empty field"",prs!G:G&gt;DATE(2024,4,25),prs!G:G&lt;DATE(2024,5,23)),,1)))"),0)</f>
        <v>0</v>
      </c>
      <c r="AR137" s="4">
        <f t="shared" ca="1" si="32"/>
        <v>0</v>
      </c>
      <c r="AS137" s="4">
        <f ca="1">IFERROR(__xludf.dummyfunction("round( (AO137+AR137) / 6 + filter('Проекты'!BA:BA,'Проекты'!A:A=J137), 1)"),0)</f>
        <v>0</v>
      </c>
      <c r="AT137" s="4">
        <v>0</v>
      </c>
      <c r="AU137" s="4">
        <f ca="1">IFERROR(__xludf.dummyfunction("filter('Проекты'!BD:BD,'Проекты'!A:A=J137) + filter('Проекты'!BE:BE,'Проекты'!A:A=J137)"),0)</f>
        <v>0</v>
      </c>
      <c r="AV137" s="11">
        <f t="shared" ca="1" si="33"/>
        <v>3</v>
      </c>
      <c r="AW137" s="4" t="str">
        <f t="shared" ca="1" si="24"/>
        <v>Неудовлетворительно</v>
      </c>
    </row>
    <row r="138" spans="1:79" ht="15.75" customHeight="1">
      <c r="A138" s="23" t="s">
        <v>759</v>
      </c>
      <c r="B138" s="1" t="s">
        <v>759</v>
      </c>
      <c r="D138" s="23">
        <v>9304</v>
      </c>
      <c r="E138" s="23" t="s">
        <v>760</v>
      </c>
      <c r="F138" s="23" t="s">
        <v>760</v>
      </c>
      <c r="G138" s="1" t="s">
        <v>761</v>
      </c>
      <c r="H138" s="1" t="s">
        <v>376</v>
      </c>
      <c r="I138" s="4" t="s">
        <v>1153</v>
      </c>
      <c r="J138" s="24"/>
      <c r="K138" s="25"/>
      <c r="L138" s="26"/>
      <c r="M138" s="9"/>
      <c r="N138" s="9"/>
      <c r="O138" s="4"/>
      <c r="P138" s="4"/>
      <c r="Q138" s="4"/>
      <c r="R138" s="4"/>
      <c r="S138" s="4"/>
      <c r="T138" s="4"/>
      <c r="AV138" s="27"/>
      <c r="AW138" s="4" t="s">
        <v>762</v>
      </c>
    </row>
    <row r="139" spans="1:79" ht="15.75" customHeight="1">
      <c r="E139" s="23"/>
      <c r="F139" s="23"/>
      <c r="I139" s="4"/>
      <c r="J139" s="24"/>
      <c r="K139" s="25"/>
      <c r="L139" s="26"/>
      <c r="M139" s="9"/>
      <c r="N139" s="9"/>
      <c r="O139" s="4"/>
      <c r="P139" s="4"/>
      <c r="Q139" s="4"/>
      <c r="R139" s="4"/>
      <c r="S139" s="4"/>
      <c r="T139" s="4"/>
      <c r="AV139" s="27"/>
      <c r="AW139" s="4"/>
    </row>
    <row r="140" spans="1:79" ht="15.75" customHeight="1">
      <c r="E140" s="23"/>
      <c r="F140" s="23"/>
      <c r="I140" s="4"/>
      <c r="J140" s="24"/>
      <c r="K140" s="25"/>
      <c r="L140" s="26"/>
      <c r="M140" s="9"/>
      <c r="N140" s="9"/>
      <c r="O140" s="4"/>
      <c r="P140" s="4"/>
      <c r="Q140" s="4"/>
      <c r="R140" s="4"/>
      <c r="S140" s="4"/>
      <c r="T140" s="4"/>
      <c r="AV140" s="27"/>
      <c r="AW140" s="4"/>
    </row>
    <row r="141" spans="1:79" ht="15.75" customHeight="1">
      <c r="E141" s="23"/>
      <c r="F141" s="23"/>
      <c r="I141" s="4"/>
      <c r="J141" s="24"/>
      <c r="K141" s="25"/>
      <c r="L141" s="26"/>
      <c r="M141" s="9"/>
      <c r="N141" s="9"/>
      <c r="O141" s="4"/>
      <c r="P141" s="4"/>
      <c r="Q141" s="4"/>
      <c r="R141" s="4"/>
      <c r="S141" s="4"/>
      <c r="T141" s="4"/>
      <c r="AV141" s="27"/>
      <c r="AW141" s="4"/>
    </row>
    <row r="142" spans="1:79" ht="15.75" customHeight="1">
      <c r="E142" s="23"/>
      <c r="F142" s="23"/>
      <c r="I142" s="4"/>
      <c r="J142" s="24"/>
      <c r="K142" s="25"/>
      <c r="L142" s="26"/>
      <c r="M142" s="9"/>
      <c r="N142" s="9"/>
      <c r="O142" s="4"/>
      <c r="P142" s="4"/>
      <c r="Q142" s="4"/>
      <c r="R142" s="4"/>
      <c r="S142" s="4"/>
      <c r="T142" s="4"/>
      <c r="AV142" s="27"/>
      <c r="AW142" s="4"/>
    </row>
    <row r="143" spans="1:79" ht="15.75" customHeight="1">
      <c r="E143" s="23"/>
      <c r="F143" s="23"/>
      <c r="I143" s="4"/>
      <c r="J143" s="24"/>
      <c r="K143" s="25"/>
      <c r="L143" s="26"/>
      <c r="M143" s="9"/>
      <c r="N143" s="9"/>
      <c r="O143" s="4"/>
      <c r="P143" s="4"/>
      <c r="Q143" s="4"/>
      <c r="R143" s="4"/>
      <c r="S143" s="4"/>
      <c r="T143" s="4"/>
      <c r="AV143" s="27"/>
      <c r="AW143" s="4"/>
    </row>
    <row r="144" spans="1:79" ht="15.75" customHeight="1">
      <c r="E144" s="23"/>
      <c r="F144" s="23"/>
      <c r="I144" s="4"/>
      <c r="J144" s="24"/>
      <c r="K144" s="25"/>
      <c r="L144" s="26"/>
      <c r="M144" s="9"/>
      <c r="N144" s="9"/>
      <c r="O144" s="4"/>
      <c r="P144" s="4"/>
      <c r="Q144" s="4"/>
      <c r="R144" s="4"/>
      <c r="S144" s="4"/>
      <c r="T144" s="4"/>
      <c r="AV144" s="27"/>
      <c r="AW144" s="4"/>
    </row>
    <row r="145" spans="5:49" ht="15.75" customHeight="1">
      <c r="E145" s="23"/>
      <c r="F145" s="23"/>
      <c r="I145" s="4"/>
      <c r="J145" s="24"/>
      <c r="K145" s="25"/>
      <c r="L145" s="26"/>
      <c r="M145" s="9"/>
      <c r="N145" s="9"/>
      <c r="O145" s="4"/>
      <c r="P145" s="4"/>
      <c r="Q145" s="4"/>
      <c r="R145" s="4"/>
      <c r="S145" s="4"/>
      <c r="T145" s="4"/>
      <c r="AV145" s="27"/>
      <c r="AW145" s="4"/>
    </row>
    <row r="146" spans="5:49" ht="15.75" customHeight="1">
      <c r="E146" s="23"/>
      <c r="F146" s="23"/>
      <c r="I146" s="4"/>
      <c r="J146" s="24"/>
      <c r="K146" s="25"/>
      <c r="L146" s="26"/>
      <c r="M146" s="9"/>
      <c r="N146" s="9"/>
      <c r="O146" s="4"/>
      <c r="P146" s="4"/>
      <c r="Q146" s="4"/>
      <c r="R146" s="4"/>
      <c r="S146" s="4"/>
      <c r="T146" s="4"/>
      <c r="AV146" s="27"/>
      <c r="AW146" s="4"/>
    </row>
    <row r="147" spans="5:49" ht="15.75" customHeight="1">
      <c r="E147" s="23"/>
      <c r="F147" s="23"/>
      <c r="I147" s="4"/>
      <c r="J147" s="24"/>
      <c r="K147" s="25"/>
      <c r="L147" s="26"/>
      <c r="M147" s="9"/>
      <c r="N147" s="9"/>
      <c r="O147" s="4"/>
      <c r="P147" s="4"/>
      <c r="Q147" s="4"/>
      <c r="R147" s="4"/>
      <c r="S147" s="4"/>
      <c r="T147" s="4"/>
      <c r="AV147" s="27"/>
      <c r="AW147" s="4"/>
    </row>
    <row r="148" spans="5:49" ht="15.75" customHeight="1">
      <c r="E148" s="23"/>
      <c r="F148" s="23"/>
      <c r="I148" s="4"/>
      <c r="J148" s="24"/>
      <c r="K148" s="25"/>
      <c r="L148" s="26"/>
      <c r="M148" s="9"/>
      <c r="N148" s="9"/>
      <c r="O148" s="4"/>
      <c r="P148" s="4"/>
      <c r="Q148" s="4"/>
      <c r="R148" s="4"/>
      <c r="S148" s="4"/>
      <c r="T148" s="4"/>
      <c r="AV148" s="27"/>
      <c r="AW148" s="4"/>
    </row>
    <row r="149" spans="5:49" ht="15.75" customHeight="1">
      <c r="E149" s="23"/>
      <c r="F149" s="23"/>
      <c r="I149" s="4"/>
      <c r="J149" s="24"/>
      <c r="K149" s="25"/>
      <c r="L149" s="26"/>
      <c r="M149" s="9"/>
      <c r="N149" s="9"/>
      <c r="O149" s="4"/>
      <c r="P149" s="4"/>
      <c r="Q149" s="4"/>
      <c r="R149" s="4"/>
      <c r="S149" s="4"/>
      <c r="T149" s="4"/>
      <c r="AV149" s="27"/>
      <c r="AW149" s="4"/>
    </row>
    <row r="150" spans="5:49" ht="15.75" customHeight="1">
      <c r="E150" s="23"/>
      <c r="F150" s="23"/>
      <c r="I150" s="4"/>
      <c r="J150" s="24"/>
      <c r="K150" s="25"/>
      <c r="L150" s="26"/>
      <c r="M150" s="9"/>
      <c r="N150" s="9"/>
      <c r="O150" s="4"/>
      <c r="P150" s="4"/>
      <c r="Q150" s="4"/>
      <c r="R150" s="4"/>
      <c r="S150" s="4"/>
      <c r="T150" s="4"/>
      <c r="AV150" s="27"/>
      <c r="AW150" s="4"/>
    </row>
    <row r="151" spans="5:49" ht="15.75" customHeight="1">
      <c r="E151" s="23"/>
      <c r="F151" s="23"/>
      <c r="I151" s="4"/>
      <c r="J151" s="24"/>
      <c r="K151" s="25"/>
      <c r="L151" s="26"/>
      <c r="M151" s="9"/>
      <c r="N151" s="9"/>
      <c r="O151" s="4"/>
      <c r="P151" s="4"/>
      <c r="Q151" s="4"/>
      <c r="R151" s="4"/>
      <c r="S151" s="4"/>
      <c r="T151" s="4"/>
      <c r="AV151" s="27"/>
      <c r="AW151" s="4"/>
    </row>
    <row r="152" spans="5:49" ht="15.75" customHeight="1">
      <c r="E152" s="23"/>
      <c r="F152" s="23"/>
      <c r="I152" s="4"/>
      <c r="J152" s="24"/>
      <c r="K152" s="25"/>
      <c r="L152" s="26"/>
      <c r="M152" s="9"/>
      <c r="N152" s="9"/>
      <c r="O152" s="4"/>
      <c r="P152" s="4"/>
      <c r="Q152" s="4"/>
      <c r="R152" s="4"/>
      <c r="S152" s="4"/>
      <c r="T152" s="4"/>
      <c r="AV152" s="27"/>
      <c r="AW152" s="4"/>
    </row>
    <row r="153" spans="5:49" ht="15.75" customHeight="1">
      <c r="E153" s="23"/>
      <c r="F153" s="23"/>
      <c r="I153" s="4"/>
      <c r="J153" s="24"/>
      <c r="K153" s="25"/>
      <c r="L153" s="26"/>
      <c r="M153" s="9"/>
      <c r="N153" s="9"/>
      <c r="O153" s="4"/>
      <c r="P153" s="4"/>
      <c r="Q153" s="4"/>
      <c r="R153" s="4"/>
      <c r="S153" s="4"/>
      <c r="T153" s="4"/>
      <c r="AV153" s="27"/>
      <c r="AW153" s="4"/>
    </row>
    <row r="154" spans="5:49" ht="15.75" customHeight="1">
      <c r="E154" s="23"/>
      <c r="F154" s="23"/>
      <c r="I154" s="4"/>
      <c r="J154" s="24"/>
      <c r="K154" s="25"/>
      <c r="L154" s="26"/>
      <c r="M154" s="9"/>
      <c r="N154" s="9"/>
      <c r="O154" s="4"/>
      <c r="P154" s="4"/>
      <c r="Q154" s="4"/>
      <c r="R154" s="4"/>
      <c r="S154" s="4"/>
      <c r="T154" s="4"/>
      <c r="AV154" s="27"/>
      <c r="AW154" s="4"/>
    </row>
    <row r="155" spans="5:49" ht="15.75" customHeight="1">
      <c r="E155" s="23"/>
      <c r="F155" s="23"/>
      <c r="I155" s="4"/>
      <c r="J155" s="24"/>
      <c r="K155" s="25"/>
      <c r="L155" s="26"/>
      <c r="M155" s="9"/>
      <c r="N155" s="9"/>
      <c r="O155" s="4"/>
      <c r="P155" s="4"/>
      <c r="Q155" s="4"/>
      <c r="R155" s="4"/>
      <c r="S155" s="4"/>
      <c r="T155" s="4"/>
      <c r="AV155" s="27"/>
      <c r="AW155" s="4"/>
    </row>
    <row r="156" spans="5:49" ht="15.75" customHeight="1">
      <c r="E156" s="23"/>
      <c r="F156" s="23"/>
      <c r="I156" s="4"/>
      <c r="J156" s="24"/>
      <c r="K156" s="25"/>
      <c r="L156" s="26"/>
      <c r="M156" s="9"/>
      <c r="N156" s="9"/>
      <c r="O156" s="4"/>
      <c r="P156" s="4"/>
      <c r="Q156" s="4"/>
      <c r="R156" s="4"/>
      <c r="S156" s="4"/>
      <c r="T156" s="4"/>
      <c r="AV156" s="27"/>
      <c r="AW156" s="4"/>
    </row>
    <row r="157" spans="5:49" ht="15.75" customHeight="1">
      <c r="E157" s="23"/>
      <c r="F157" s="23"/>
      <c r="I157" s="4"/>
      <c r="J157" s="24"/>
      <c r="K157" s="25"/>
      <c r="L157" s="26"/>
      <c r="M157" s="9"/>
      <c r="N157" s="9"/>
      <c r="O157" s="4"/>
      <c r="P157" s="4"/>
      <c r="Q157" s="4"/>
      <c r="R157" s="4"/>
      <c r="S157" s="4"/>
      <c r="T157" s="4"/>
      <c r="AV157" s="27"/>
      <c r="AW157" s="4"/>
    </row>
    <row r="158" spans="5:49" ht="15.75" customHeight="1">
      <c r="E158" s="23"/>
      <c r="F158" s="23"/>
      <c r="I158" s="4"/>
      <c r="J158" s="24"/>
      <c r="K158" s="25"/>
      <c r="L158" s="26"/>
      <c r="M158" s="9"/>
      <c r="N158" s="9"/>
      <c r="O158" s="4"/>
      <c r="P158" s="4"/>
      <c r="Q158" s="4"/>
      <c r="R158" s="4"/>
      <c r="S158" s="4"/>
      <c r="T158" s="4"/>
      <c r="AV158" s="27"/>
      <c r="AW158" s="4"/>
    </row>
    <row r="159" spans="5:49" ht="15.75" customHeight="1">
      <c r="E159" s="23"/>
      <c r="F159" s="23"/>
      <c r="I159" s="4"/>
      <c r="J159" s="24"/>
      <c r="K159" s="25"/>
      <c r="L159" s="26"/>
      <c r="M159" s="9"/>
      <c r="N159" s="9"/>
      <c r="O159" s="4"/>
      <c r="P159" s="4"/>
      <c r="Q159" s="4"/>
      <c r="R159" s="4"/>
      <c r="S159" s="4"/>
      <c r="T159" s="4"/>
      <c r="AV159" s="27"/>
      <c r="AW159" s="4"/>
    </row>
    <row r="160" spans="5:49" ht="15.75" customHeight="1">
      <c r="E160" s="23"/>
      <c r="F160" s="23"/>
      <c r="I160" s="4"/>
      <c r="J160" s="24"/>
      <c r="K160" s="25"/>
      <c r="L160" s="26"/>
      <c r="M160" s="9"/>
      <c r="N160" s="9"/>
      <c r="O160" s="4"/>
      <c r="P160" s="4"/>
      <c r="Q160" s="4"/>
      <c r="R160" s="4"/>
      <c r="S160" s="4"/>
      <c r="T160" s="4"/>
      <c r="AV160" s="27"/>
      <c r="AW160" s="4"/>
    </row>
    <row r="161" spans="5:49" ht="15.75" customHeight="1">
      <c r="E161" s="23"/>
      <c r="F161" s="23"/>
      <c r="I161" s="4"/>
      <c r="J161" s="24"/>
      <c r="K161" s="25"/>
      <c r="L161" s="26"/>
      <c r="M161" s="9"/>
      <c r="N161" s="9"/>
      <c r="O161" s="4"/>
      <c r="P161" s="4"/>
      <c r="Q161" s="4"/>
      <c r="R161" s="4"/>
      <c r="S161" s="4"/>
      <c r="T161" s="4"/>
      <c r="AV161" s="27"/>
      <c r="AW161" s="4"/>
    </row>
    <row r="162" spans="5:49" ht="15.75" customHeight="1">
      <c r="E162" s="23"/>
      <c r="F162" s="23"/>
      <c r="I162" s="4"/>
      <c r="J162" s="24"/>
      <c r="K162" s="25"/>
      <c r="L162" s="26"/>
      <c r="M162" s="9"/>
      <c r="N162" s="9"/>
      <c r="O162" s="4"/>
      <c r="P162" s="4"/>
      <c r="Q162" s="4"/>
      <c r="R162" s="4"/>
      <c r="S162" s="4"/>
      <c r="T162" s="4"/>
      <c r="AV162" s="27"/>
      <c r="AW162" s="4"/>
    </row>
    <row r="163" spans="5:49" ht="15.75" customHeight="1">
      <c r="E163" s="23"/>
      <c r="F163" s="23"/>
      <c r="I163" s="4"/>
      <c r="J163" s="24"/>
      <c r="K163" s="25"/>
      <c r="L163" s="26"/>
      <c r="M163" s="9"/>
      <c r="N163" s="9"/>
      <c r="O163" s="4"/>
      <c r="P163" s="4"/>
      <c r="Q163" s="4"/>
      <c r="R163" s="4"/>
      <c r="S163" s="4"/>
      <c r="T163" s="4"/>
      <c r="AV163" s="27"/>
      <c r="AW163" s="4"/>
    </row>
    <row r="164" spans="5:49" ht="15.75" customHeight="1">
      <c r="E164" s="23"/>
      <c r="F164" s="23"/>
      <c r="I164" s="4"/>
      <c r="J164" s="24"/>
      <c r="K164" s="25"/>
      <c r="L164" s="26"/>
      <c r="M164" s="9"/>
      <c r="N164" s="9"/>
      <c r="O164" s="4"/>
      <c r="P164" s="4"/>
      <c r="Q164" s="4"/>
      <c r="R164" s="4"/>
      <c r="S164" s="4"/>
      <c r="T164" s="4"/>
      <c r="AV164" s="27"/>
      <c r="AW164" s="4"/>
    </row>
    <row r="165" spans="5:49" ht="15.75" customHeight="1">
      <c r="E165" s="23"/>
      <c r="F165" s="23"/>
      <c r="I165" s="4"/>
      <c r="J165" s="24"/>
      <c r="K165" s="25"/>
      <c r="L165" s="26"/>
      <c r="M165" s="9"/>
      <c r="N165" s="9"/>
      <c r="O165" s="4"/>
      <c r="P165" s="4"/>
      <c r="Q165" s="4"/>
      <c r="R165" s="4"/>
      <c r="S165" s="4"/>
      <c r="T165" s="4"/>
      <c r="AV165" s="27"/>
      <c r="AW165" s="4"/>
    </row>
    <row r="166" spans="5:49" ht="15.75" customHeight="1">
      <c r="E166" s="23"/>
      <c r="F166" s="23"/>
      <c r="I166" s="4"/>
      <c r="J166" s="24"/>
      <c r="K166" s="25"/>
      <c r="L166" s="26"/>
      <c r="M166" s="9"/>
      <c r="N166" s="9"/>
      <c r="O166" s="4"/>
      <c r="P166" s="4"/>
      <c r="Q166" s="4"/>
      <c r="R166" s="4"/>
      <c r="S166" s="4"/>
      <c r="T166" s="4"/>
      <c r="AV166" s="27"/>
      <c r="AW166" s="4"/>
    </row>
    <row r="167" spans="5:49" ht="15.75" customHeight="1">
      <c r="E167" s="23"/>
      <c r="F167" s="23"/>
      <c r="I167" s="4"/>
      <c r="J167" s="24"/>
      <c r="K167" s="25"/>
      <c r="L167" s="26"/>
      <c r="M167" s="9"/>
      <c r="N167" s="9"/>
      <c r="O167" s="4"/>
      <c r="P167" s="4"/>
      <c r="Q167" s="4"/>
      <c r="R167" s="4"/>
      <c r="S167" s="4"/>
      <c r="T167" s="4"/>
      <c r="AV167" s="27"/>
      <c r="AW167" s="4"/>
    </row>
    <row r="168" spans="5:49" ht="15.75" customHeight="1">
      <c r="E168" s="23"/>
      <c r="F168" s="23"/>
      <c r="I168" s="4"/>
      <c r="J168" s="24"/>
      <c r="K168" s="25"/>
      <c r="L168" s="26"/>
      <c r="M168" s="9"/>
      <c r="N168" s="9"/>
      <c r="O168" s="4"/>
      <c r="P168" s="4"/>
      <c r="Q168" s="4"/>
      <c r="R168" s="4"/>
      <c r="S168" s="4"/>
      <c r="T168" s="4"/>
      <c r="AV168" s="27"/>
      <c r="AW168" s="4"/>
    </row>
    <row r="169" spans="5:49" ht="15.75" customHeight="1">
      <c r="E169" s="23"/>
      <c r="F169" s="23"/>
      <c r="I169" s="4"/>
      <c r="J169" s="24"/>
      <c r="K169" s="25"/>
      <c r="L169" s="26"/>
      <c r="M169" s="9"/>
      <c r="N169" s="9"/>
      <c r="O169" s="4"/>
      <c r="P169" s="4"/>
      <c r="Q169" s="4"/>
      <c r="R169" s="4"/>
      <c r="S169" s="4"/>
      <c r="T169" s="4"/>
      <c r="AV169" s="27"/>
      <c r="AW169" s="4"/>
    </row>
    <row r="170" spans="5:49" ht="15.75" customHeight="1">
      <c r="E170" s="23"/>
      <c r="F170" s="23"/>
      <c r="I170" s="4"/>
      <c r="J170" s="24"/>
      <c r="K170" s="25"/>
      <c r="L170" s="26"/>
      <c r="M170" s="9"/>
      <c r="N170" s="9"/>
      <c r="O170" s="4"/>
      <c r="P170" s="4"/>
      <c r="Q170" s="4"/>
      <c r="R170" s="4"/>
      <c r="S170" s="4"/>
      <c r="T170" s="4"/>
      <c r="AV170" s="27"/>
      <c r="AW170" s="4"/>
    </row>
    <row r="171" spans="5:49" ht="15.75" customHeight="1">
      <c r="E171" s="23"/>
      <c r="F171" s="23"/>
      <c r="I171" s="4"/>
      <c r="J171" s="24"/>
      <c r="K171" s="25"/>
      <c r="L171" s="26"/>
      <c r="M171" s="9"/>
      <c r="N171" s="9"/>
      <c r="O171" s="4"/>
      <c r="P171" s="4"/>
      <c r="Q171" s="4"/>
      <c r="R171" s="4"/>
      <c r="S171" s="4"/>
      <c r="T171" s="4"/>
      <c r="AV171" s="27"/>
      <c r="AW171" s="4"/>
    </row>
    <row r="172" spans="5:49" ht="15.75" customHeight="1">
      <c r="E172" s="23"/>
      <c r="F172" s="23"/>
      <c r="I172" s="4"/>
      <c r="J172" s="24"/>
      <c r="K172" s="25"/>
      <c r="L172" s="26"/>
      <c r="M172" s="9"/>
      <c r="N172" s="9"/>
      <c r="O172" s="4"/>
      <c r="P172" s="4"/>
      <c r="Q172" s="4"/>
      <c r="R172" s="4"/>
      <c r="S172" s="4"/>
      <c r="T172" s="4"/>
      <c r="AV172" s="27"/>
      <c r="AW172" s="4"/>
    </row>
    <row r="173" spans="5:49" ht="15.75" customHeight="1">
      <c r="E173" s="23"/>
      <c r="F173" s="23"/>
      <c r="I173" s="4"/>
      <c r="J173" s="24"/>
      <c r="K173" s="25"/>
      <c r="L173" s="26"/>
      <c r="M173" s="9"/>
      <c r="N173" s="9"/>
      <c r="O173" s="4"/>
      <c r="P173" s="4"/>
      <c r="Q173" s="4"/>
      <c r="R173" s="4"/>
      <c r="S173" s="4"/>
      <c r="T173" s="4"/>
      <c r="AV173" s="27"/>
      <c r="AW173" s="4"/>
    </row>
    <row r="174" spans="5:49" ht="15.75" customHeight="1">
      <c r="E174" s="23"/>
      <c r="F174" s="23"/>
      <c r="I174" s="4"/>
      <c r="J174" s="24"/>
      <c r="K174" s="25"/>
      <c r="L174" s="26"/>
      <c r="M174" s="9"/>
      <c r="N174" s="9"/>
      <c r="O174" s="4"/>
      <c r="P174" s="4"/>
      <c r="Q174" s="4"/>
      <c r="R174" s="4"/>
      <c r="S174" s="4"/>
      <c r="T174" s="4"/>
      <c r="AV174" s="27"/>
      <c r="AW174" s="4"/>
    </row>
    <row r="175" spans="5:49" ht="15.75" customHeight="1">
      <c r="E175" s="23"/>
      <c r="F175" s="23"/>
      <c r="I175" s="4"/>
      <c r="J175" s="24"/>
      <c r="K175" s="25"/>
      <c r="L175" s="26"/>
      <c r="M175" s="9"/>
      <c r="N175" s="9"/>
      <c r="O175" s="4"/>
      <c r="P175" s="4"/>
      <c r="Q175" s="4"/>
      <c r="R175" s="4"/>
      <c r="S175" s="4"/>
      <c r="T175" s="4"/>
      <c r="AV175" s="27"/>
      <c r="AW175" s="4"/>
    </row>
    <row r="176" spans="5:49" ht="15.75" customHeight="1">
      <c r="E176" s="23"/>
      <c r="F176" s="23"/>
      <c r="I176" s="4"/>
      <c r="J176" s="24"/>
      <c r="K176" s="25"/>
      <c r="L176" s="26"/>
      <c r="M176" s="9"/>
      <c r="N176" s="9"/>
      <c r="O176" s="4"/>
      <c r="P176" s="4"/>
      <c r="Q176" s="4"/>
      <c r="R176" s="4"/>
      <c r="S176" s="4"/>
      <c r="T176" s="4"/>
      <c r="AV176" s="27"/>
      <c r="AW176" s="4"/>
    </row>
    <row r="177" spans="5:49" ht="15.75" customHeight="1">
      <c r="E177" s="23"/>
      <c r="F177" s="23"/>
      <c r="I177" s="4"/>
      <c r="J177" s="24"/>
      <c r="K177" s="25"/>
      <c r="L177" s="26"/>
      <c r="M177" s="9"/>
      <c r="N177" s="9"/>
      <c r="O177" s="4"/>
      <c r="P177" s="4"/>
      <c r="Q177" s="4"/>
      <c r="R177" s="4"/>
      <c r="S177" s="4"/>
      <c r="T177" s="4"/>
      <c r="AV177" s="27"/>
      <c r="AW177" s="4"/>
    </row>
    <row r="178" spans="5:49" ht="15.75" customHeight="1">
      <c r="E178" s="23"/>
      <c r="F178" s="23"/>
      <c r="I178" s="4"/>
      <c r="J178" s="24"/>
      <c r="K178" s="25"/>
      <c r="L178" s="26"/>
      <c r="M178" s="9"/>
      <c r="N178" s="9"/>
      <c r="O178" s="4"/>
      <c r="P178" s="4"/>
      <c r="Q178" s="4"/>
      <c r="R178" s="4"/>
      <c r="S178" s="4"/>
      <c r="T178" s="4"/>
      <c r="AV178" s="27"/>
      <c r="AW178" s="4"/>
    </row>
    <row r="179" spans="5:49" ht="15.75" customHeight="1">
      <c r="E179" s="23"/>
      <c r="F179" s="23"/>
      <c r="I179" s="4"/>
      <c r="J179" s="24"/>
      <c r="K179" s="25"/>
      <c r="L179" s="26"/>
      <c r="M179" s="9"/>
      <c r="N179" s="9"/>
      <c r="O179" s="4"/>
      <c r="P179" s="4"/>
      <c r="Q179" s="4"/>
      <c r="R179" s="4"/>
      <c r="S179" s="4"/>
      <c r="T179" s="4"/>
      <c r="AV179" s="27"/>
      <c r="AW179" s="4"/>
    </row>
    <row r="180" spans="5:49" ht="15.75" customHeight="1">
      <c r="E180" s="23"/>
      <c r="F180" s="23"/>
      <c r="I180" s="4"/>
      <c r="J180" s="24"/>
      <c r="K180" s="25"/>
      <c r="L180" s="26"/>
      <c r="M180" s="9"/>
      <c r="N180" s="9"/>
      <c r="O180" s="4"/>
      <c r="P180" s="4"/>
      <c r="Q180" s="4"/>
      <c r="R180" s="4"/>
      <c r="S180" s="4"/>
      <c r="T180" s="4"/>
      <c r="AV180" s="27"/>
      <c r="AW180" s="4"/>
    </row>
    <row r="181" spans="5:49" ht="15.75" customHeight="1">
      <c r="E181" s="23"/>
      <c r="F181" s="23"/>
      <c r="I181" s="4"/>
      <c r="J181" s="24"/>
      <c r="K181" s="25"/>
      <c r="L181" s="26"/>
      <c r="M181" s="9"/>
      <c r="N181" s="9"/>
      <c r="O181" s="4"/>
      <c r="P181" s="4"/>
      <c r="Q181" s="4"/>
      <c r="R181" s="4"/>
      <c r="S181" s="4"/>
      <c r="T181" s="4"/>
      <c r="AV181" s="27"/>
      <c r="AW181" s="4"/>
    </row>
    <row r="182" spans="5:49" ht="15.75" customHeight="1">
      <c r="E182" s="23"/>
      <c r="F182" s="23"/>
      <c r="I182" s="4"/>
      <c r="J182" s="24"/>
      <c r="K182" s="25"/>
      <c r="L182" s="26"/>
      <c r="M182" s="9"/>
      <c r="N182" s="9"/>
      <c r="O182" s="4"/>
      <c r="P182" s="4"/>
      <c r="Q182" s="4"/>
      <c r="R182" s="4"/>
      <c r="S182" s="4"/>
      <c r="T182" s="4"/>
      <c r="AV182" s="27"/>
      <c r="AW182" s="4"/>
    </row>
    <row r="183" spans="5:49" ht="15.75" customHeight="1">
      <c r="E183" s="23"/>
      <c r="F183" s="23"/>
      <c r="I183" s="4"/>
      <c r="J183" s="24"/>
      <c r="K183" s="25"/>
      <c r="L183" s="26"/>
      <c r="M183" s="9"/>
      <c r="N183" s="9"/>
      <c r="O183" s="4"/>
      <c r="P183" s="4"/>
      <c r="Q183" s="4"/>
      <c r="R183" s="4"/>
      <c r="S183" s="4"/>
      <c r="T183" s="4"/>
      <c r="AV183" s="27"/>
      <c r="AW183" s="4"/>
    </row>
    <row r="184" spans="5:49" ht="15.75" customHeight="1">
      <c r="E184" s="23"/>
      <c r="F184" s="23"/>
      <c r="I184" s="4"/>
      <c r="J184" s="24"/>
      <c r="K184" s="25"/>
      <c r="L184" s="26"/>
      <c r="M184" s="9"/>
      <c r="N184" s="9"/>
      <c r="O184" s="4"/>
      <c r="P184" s="4"/>
      <c r="Q184" s="4"/>
      <c r="R184" s="4"/>
      <c r="S184" s="4"/>
      <c r="T184" s="4"/>
      <c r="AV184" s="27"/>
      <c r="AW184" s="4"/>
    </row>
    <row r="185" spans="5:49" ht="15.75" customHeight="1">
      <c r="E185" s="23"/>
      <c r="F185" s="23"/>
      <c r="I185" s="4"/>
      <c r="J185" s="24"/>
      <c r="K185" s="25"/>
      <c r="L185" s="26"/>
      <c r="M185" s="9"/>
      <c r="N185" s="9"/>
      <c r="O185" s="4"/>
      <c r="P185" s="4"/>
      <c r="Q185" s="4"/>
      <c r="R185" s="4"/>
      <c r="S185" s="4"/>
      <c r="T185" s="4"/>
      <c r="AV185" s="27"/>
      <c r="AW185" s="4"/>
    </row>
    <row r="186" spans="5:49" ht="15.75" customHeight="1">
      <c r="E186" s="23"/>
      <c r="F186" s="23"/>
      <c r="I186" s="4"/>
      <c r="J186" s="24"/>
      <c r="K186" s="25"/>
      <c r="L186" s="26"/>
      <c r="M186" s="9"/>
      <c r="N186" s="9"/>
      <c r="O186" s="4"/>
      <c r="P186" s="4"/>
      <c r="Q186" s="4"/>
      <c r="R186" s="4"/>
      <c r="S186" s="4"/>
      <c r="T186" s="4"/>
      <c r="AV186" s="27"/>
      <c r="AW186" s="4"/>
    </row>
    <row r="187" spans="5:49" ht="15.75" customHeight="1">
      <c r="E187" s="23"/>
      <c r="F187" s="23"/>
      <c r="I187" s="4"/>
      <c r="J187" s="24"/>
      <c r="K187" s="25"/>
      <c r="L187" s="26"/>
      <c r="M187" s="9"/>
      <c r="N187" s="9"/>
      <c r="O187" s="4"/>
      <c r="P187" s="4"/>
      <c r="Q187" s="4"/>
      <c r="R187" s="4"/>
      <c r="S187" s="4"/>
      <c r="T187" s="4"/>
      <c r="AV187" s="27"/>
      <c r="AW187" s="4"/>
    </row>
    <row r="188" spans="5:49" ht="15.75" customHeight="1">
      <c r="E188" s="23"/>
      <c r="F188" s="23"/>
      <c r="I188" s="4"/>
      <c r="J188" s="24"/>
      <c r="K188" s="25"/>
      <c r="L188" s="26"/>
      <c r="M188" s="9"/>
      <c r="N188" s="9"/>
      <c r="O188" s="4"/>
      <c r="P188" s="4"/>
      <c r="Q188" s="4"/>
      <c r="R188" s="4"/>
      <c r="S188" s="4"/>
      <c r="T188" s="4"/>
      <c r="AV188" s="27"/>
      <c r="AW188" s="4"/>
    </row>
    <row r="189" spans="5:49" ht="15.75" customHeight="1">
      <c r="E189" s="23"/>
      <c r="F189" s="23"/>
      <c r="I189" s="4"/>
      <c r="J189" s="24"/>
      <c r="K189" s="25"/>
      <c r="L189" s="26"/>
      <c r="M189" s="9"/>
      <c r="N189" s="9"/>
      <c r="O189" s="4"/>
      <c r="P189" s="4"/>
      <c r="Q189" s="4"/>
      <c r="R189" s="4"/>
      <c r="S189" s="4"/>
      <c r="T189" s="4"/>
      <c r="AV189" s="27"/>
      <c r="AW189" s="4"/>
    </row>
    <row r="190" spans="5:49" ht="15.75" customHeight="1">
      <c r="E190" s="23"/>
      <c r="F190" s="23"/>
      <c r="I190" s="4"/>
      <c r="J190" s="24"/>
      <c r="K190" s="25"/>
      <c r="L190" s="26"/>
      <c r="M190" s="9"/>
      <c r="N190" s="9"/>
      <c r="O190" s="4"/>
      <c r="P190" s="4"/>
      <c r="Q190" s="4"/>
      <c r="R190" s="4"/>
      <c r="S190" s="4"/>
      <c r="T190" s="4"/>
      <c r="AV190" s="27"/>
      <c r="AW190" s="4"/>
    </row>
    <row r="191" spans="5:49" ht="15.75" customHeight="1">
      <c r="E191" s="23"/>
      <c r="F191" s="23"/>
      <c r="I191" s="4"/>
      <c r="J191" s="24"/>
      <c r="K191" s="25"/>
      <c r="L191" s="26"/>
      <c r="M191" s="9"/>
      <c r="N191" s="9"/>
      <c r="O191" s="4"/>
      <c r="P191" s="4"/>
      <c r="Q191" s="4"/>
      <c r="R191" s="4"/>
      <c r="S191" s="4"/>
      <c r="T191" s="4"/>
      <c r="AV191" s="27"/>
      <c r="AW191" s="4"/>
    </row>
    <row r="192" spans="5:49" ht="15.75" customHeight="1">
      <c r="E192" s="23"/>
      <c r="F192" s="23"/>
      <c r="I192" s="4"/>
      <c r="J192" s="24"/>
      <c r="K192" s="25"/>
      <c r="L192" s="26"/>
      <c r="M192" s="9"/>
      <c r="N192" s="9"/>
      <c r="O192" s="4"/>
      <c r="P192" s="4"/>
      <c r="Q192" s="4"/>
      <c r="R192" s="4"/>
      <c r="S192" s="4"/>
      <c r="T192" s="4"/>
      <c r="AV192" s="27"/>
      <c r="AW192" s="4"/>
    </row>
    <row r="193" spans="5:49" ht="15.75" customHeight="1">
      <c r="E193" s="23"/>
      <c r="F193" s="23"/>
      <c r="I193" s="4"/>
      <c r="J193" s="24"/>
      <c r="K193" s="25"/>
      <c r="L193" s="26"/>
      <c r="M193" s="9"/>
      <c r="N193" s="9"/>
      <c r="O193" s="4"/>
      <c r="P193" s="4"/>
      <c r="Q193" s="4"/>
      <c r="R193" s="4"/>
      <c r="S193" s="4"/>
      <c r="T193" s="4"/>
      <c r="AV193" s="27"/>
      <c r="AW193" s="4"/>
    </row>
    <row r="194" spans="5:49" ht="15.75" customHeight="1">
      <c r="E194" s="23"/>
      <c r="F194" s="23"/>
      <c r="I194" s="4"/>
      <c r="J194" s="24"/>
      <c r="K194" s="25"/>
      <c r="L194" s="26"/>
      <c r="M194" s="9"/>
      <c r="N194" s="9"/>
      <c r="O194" s="4"/>
      <c r="P194" s="4"/>
      <c r="Q194" s="4"/>
      <c r="R194" s="4"/>
      <c r="S194" s="4"/>
      <c r="T194" s="4"/>
      <c r="AV194" s="27"/>
      <c r="AW194" s="4"/>
    </row>
    <row r="195" spans="5:49" ht="15.75" customHeight="1">
      <c r="E195" s="23"/>
      <c r="F195" s="23"/>
      <c r="I195" s="4"/>
      <c r="J195" s="24"/>
      <c r="K195" s="25"/>
      <c r="L195" s="26"/>
      <c r="M195" s="9"/>
      <c r="N195" s="9"/>
      <c r="O195" s="4"/>
      <c r="P195" s="4"/>
      <c r="Q195" s="4"/>
      <c r="R195" s="4"/>
      <c r="S195" s="4"/>
      <c r="T195" s="4"/>
      <c r="AV195" s="27"/>
      <c r="AW195" s="4"/>
    </row>
    <row r="196" spans="5:49" ht="15.75" customHeight="1">
      <c r="E196" s="23"/>
      <c r="F196" s="23"/>
      <c r="I196" s="4"/>
      <c r="J196" s="24"/>
      <c r="K196" s="25"/>
      <c r="L196" s="26"/>
      <c r="M196" s="9"/>
      <c r="N196" s="9"/>
      <c r="O196" s="4"/>
      <c r="P196" s="4"/>
      <c r="Q196" s="4"/>
      <c r="R196" s="4"/>
      <c r="S196" s="4"/>
      <c r="T196" s="4"/>
      <c r="AV196" s="27"/>
      <c r="AW196" s="4"/>
    </row>
    <row r="197" spans="5:49" ht="15.75" customHeight="1">
      <c r="E197" s="23"/>
      <c r="F197" s="23"/>
      <c r="I197" s="4"/>
      <c r="J197" s="24"/>
      <c r="K197" s="25"/>
      <c r="L197" s="26"/>
      <c r="M197" s="9"/>
      <c r="N197" s="9"/>
      <c r="O197" s="4"/>
      <c r="P197" s="4"/>
      <c r="Q197" s="4"/>
      <c r="R197" s="4"/>
      <c r="S197" s="4"/>
      <c r="T197" s="4"/>
      <c r="AV197" s="27"/>
      <c r="AW197" s="4"/>
    </row>
    <row r="198" spans="5:49" ht="15.75" customHeight="1">
      <c r="E198" s="23"/>
      <c r="F198" s="23"/>
      <c r="I198" s="4"/>
      <c r="J198" s="24"/>
      <c r="K198" s="25"/>
      <c r="L198" s="26"/>
      <c r="M198" s="9"/>
      <c r="N198" s="9"/>
      <c r="O198" s="4"/>
      <c r="P198" s="4"/>
      <c r="Q198" s="4"/>
      <c r="R198" s="4"/>
      <c r="S198" s="4"/>
      <c r="T198" s="4"/>
      <c r="AV198" s="27"/>
      <c r="AW198" s="4"/>
    </row>
    <row r="199" spans="5:49" ht="15.75" customHeight="1">
      <c r="E199" s="23"/>
      <c r="F199" s="23"/>
      <c r="I199" s="4"/>
      <c r="J199" s="24"/>
      <c r="K199" s="25"/>
      <c r="L199" s="26"/>
      <c r="M199" s="9"/>
      <c r="N199" s="9"/>
      <c r="O199" s="4"/>
      <c r="P199" s="4"/>
      <c r="Q199" s="4"/>
      <c r="R199" s="4"/>
      <c r="S199" s="4"/>
      <c r="T199" s="4"/>
      <c r="AV199" s="27"/>
      <c r="AW199" s="4"/>
    </row>
    <row r="200" spans="5:49" ht="15.75" customHeight="1">
      <c r="E200" s="23"/>
      <c r="F200" s="23"/>
      <c r="I200" s="4"/>
      <c r="J200" s="24"/>
      <c r="K200" s="25"/>
      <c r="L200" s="26"/>
      <c r="M200" s="9"/>
      <c r="N200" s="9"/>
      <c r="O200" s="4"/>
      <c r="P200" s="4"/>
      <c r="Q200" s="4"/>
      <c r="R200" s="4"/>
      <c r="S200" s="4"/>
      <c r="T200" s="4"/>
      <c r="AV200" s="27"/>
      <c r="AW200" s="4"/>
    </row>
    <row r="201" spans="5:49" ht="15.75" customHeight="1">
      <c r="E201" s="23"/>
      <c r="F201" s="23"/>
      <c r="I201" s="4"/>
      <c r="J201" s="24"/>
      <c r="K201" s="25"/>
      <c r="L201" s="26"/>
      <c r="M201" s="9"/>
      <c r="N201" s="9"/>
      <c r="O201" s="4"/>
      <c r="P201" s="4"/>
      <c r="Q201" s="4"/>
      <c r="R201" s="4"/>
      <c r="S201" s="4"/>
      <c r="T201" s="4"/>
      <c r="AV201" s="27"/>
      <c r="AW201" s="4"/>
    </row>
    <row r="202" spans="5:49" ht="15.75" customHeight="1">
      <c r="E202" s="23"/>
      <c r="F202" s="23"/>
      <c r="I202" s="4"/>
      <c r="J202" s="24"/>
      <c r="K202" s="25"/>
      <c r="L202" s="26"/>
      <c r="M202" s="9"/>
      <c r="N202" s="9"/>
      <c r="O202" s="4"/>
      <c r="P202" s="4"/>
      <c r="Q202" s="4"/>
      <c r="R202" s="4"/>
      <c r="S202" s="4"/>
      <c r="T202" s="4"/>
      <c r="AV202" s="27"/>
      <c r="AW202" s="4"/>
    </row>
    <row r="203" spans="5:49" ht="15.75" customHeight="1">
      <c r="E203" s="23"/>
      <c r="F203" s="23"/>
      <c r="I203" s="4"/>
      <c r="J203" s="24"/>
      <c r="K203" s="25"/>
      <c r="L203" s="26"/>
      <c r="M203" s="9"/>
      <c r="N203" s="9"/>
      <c r="O203" s="4"/>
      <c r="P203" s="4"/>
      <c r="Q203" s="4"/>
      <c r="R203" s="4"/>
      <c r="S203" s="4"/>
      <c r="T203" s="4"/>
      <c r="AV203" s="27"/>
      <c r="AW203" s="4"/>
    </row>
    <row r="204" spans="5:49" ht="15.75" customHeight="1">
      <c r="E204" s="23"/>
      <c r="F204" s="23"/>
      <c r="I204" s="4"/>
      <c r="J204" s="24"/>
      <c r="K204" s="25"/>
      <c r="L204" s="26"/>
      <c r="M204" s="9"/>
      <c r="N204" s="9"/>
      <c r="O204" s="4"/>
      <c r="P204" s="4"/>
      <c r="Q204" s="4"/>
      <c r="R204" s="4"/>
      <c r="S204" s="4"/>
      <c r="T204" s="4"/>
      <c r="AV204" s="27"/>
      <c r="AW204" s="4"/>
    </row>
    <row r="205" spans="5:49" ht="15.75" customHeight="1">
      <c r="E205" s="23"/>
      <c r="F205" s="23"/>
      <c r="I205" s="4"/>
      <c r="J205" s="24"/>
      <c r="K205" s="25"/>
      <c r="L205" s="26"/>
      <c r="M205" s="9"/>
      <c r="N205" s="9"/>
      <c r="O205" s="4"/>
      <c r="P205" s="4"/>
      <c r="Q205" s="4"/>
      <c r="R205" s="4"/>
      <c r="S205" s="4"/>
      <c r="T205" s="4"/>
      <c r="AV205" s="27"/>
      <c r="AW205" s="4"/>
    </row>
    <row r="206" spans="5:49" ht="15.75" customHeight="1">
      <c r="E206" s="23"/>
      <c r="F206" s="23"/>
      <c r="I206" s="4"/>
      <c r="J206" s="24"/>
      <c r="K206" s="25"/>
      <c r="L206" s="26"/>
      <c r="M206" s="9"/>
      <c r="N206" s="9"/>
      <c r="O206" s="4"/>
      <c r="P206" s="4"/>
      <c r="Q206" s="4"/>
      <c r="R206" s="4"/>
      <c r="S206" s="4"/>
      <c r="T206" s="4"/>
      <c r="AV206" s="27"/>
      <c r="AW206" s="4"/>
    </row>
    <row r="207" spans="5:49" ht="15.75" customHeight="1">
      <c r="E207" s="23"/>
      <c r="F207" s="23"/>
      <c r="I207" s="4"/>
      <c r="J207" s="24"/>
      <c r="K207" s="25"/>
      <c r="L207" s="26"/>
      <c r="M207" s="9"/>
      <c r="N207" s="9"/>
      <c r="O207" s="4"/>
      <c r="P207" s="4"/>
      <c r="Q207" s="4"/>
      <c r="R207" s="4"/>
      <c r="S207" s="4"/>
      <c r="T207" s="4"/>
      <c r="AV207" s="27"/>
      <c r="AW207" s="4"/>
    </row>
    <row r="208" spans="5:49" ht="15.75" customHeight="1">
      <c r="E208" s="23"/>
      <c r="F208" s="23"/>
      <c r="I208" s="4"/>
      <c r="J208" s="24"/>
      <c r="K208" s="25"/>
      <c r="L208" s="26"/>
      <c r="M208" s="9"/>
      <c r="N208" s="9"/>
      <c r="O208" s="4"/>
      <c r="P208" s="4"/>
      <c r="Q208" s="4"/>
      <c r="R208" s="4"/>
      <c r="S208" s="4"/>
      <c r="T208" s="4"/>
      <c r="AV208" s="27"/>
      <c r="AW208" s="4"/>
    </row>
    <row r="209" spans="5:49" ht="15.75" customHeight="1">
      <c r="E209" s="23"/>
      <c r="F209" s="23"/>
      <c r="I209" s="4"/>
      <c r="J209" s="24"/>
      <c r="K209" s="25"/>
      <c r="L209" s="26"/>
      <c r="M209" s="9"/>
      <c r="N209" s="9"/>
      <c r="O209" s="4"/>
      <c r="P209" s="4"/>
      <c r="Q209" s="4"/>
      <c r="R209" s="4"/>
      <c r="S209" s="4"/>
      <c r="T209" s="4"/>
      <c r="AV209" s="27"/>
      <c r="AW209" s="4"/>
    </row>
    <row r="210" spans="5:49" ht="15.75" customHeight="1">
      <c r="E210" s="23"/>
      <c r="F210" s="23"/>
      <c r="I210" s="4"/>
      <c r="J210" s="24"/>
      <c r="K210" s="25"/>
      <c r="L210" s="26"/>
      <c r="M210" s="9"/>
      <c r="N210" s="9"/>
      <c r="O210" s="4"/>
      <c r="P210" s="4"/>
      <c r="Q210" s="4"/>
      <c r="R210" s="4"/>
      <c r="S210" s="4"/>
      <c r="T210" s="4"/>
      <c r="AV210" s="27"/>
      <c r="AW210" s="4"/>
    </row>
    <row r="211" spans="5:49" ht="15.75" customHeight="1">
      <c r="E211" s="23"/>
      <c r="F211" s="23"/>
      <c r="I211" s="4"/>
      <c r="J211" s="24"/>
      <c r="K211" s="25"/>
      <c r="L211" s="26"/>
      <c r="M211" s="9"/>
      <c r="N211" s="9"/>
      <c r="O211" s="4"/>
      <c r="P211" s="4"/>
      <c r="Q211" s="4"/>
      <c r="R211" s="4"/>
      <c r="S211" s="4"/>
      <c r="T211" s="4"/>
      <c r="AV211" s="27"/>
      <c r="AW211" s="4"/>
    </row>
    <row r="212" spans="5:49" ht="15.75" customHeight="1">
      <c r="E212" s="23"/>
      <c r="F212" s="23"/>
      <c r="I212" s="4"/>
      <c r="J212" s="24"/>
      <c r="K212" s="25"/>
      <c r="L212" s="26"/>
      <c r="M212" s="9"/>
      <c r="N212" s="9"/>
      <c r="O212" s="4"/>
      <c r="P212" s="4"/>
      <c r="Q212" s="4"/>
      <c r="R212" s="4"/>
      <c r="S212" s="4"/>
      <c r="T212" s="4"/>
      <c r="AV212" s="27"/>
      <c r="AW212" s="4"/>
    </row>
    <row r="213" spans="5:49" ht="15.75" customHeight="1">
      <c r="E213" s="23"/>
      <c r="F213" s="23"/>
      <c r="I213" s="4"/>
      <c r="J213" s="24"/>
      <c r="K213" s="25"/>
      <c r="L213" s="26"/>
      <c r="M213" s="9"/>
      <c r="N213" s="9"/>
      <c r="O213" s="4"/>
      <c r="P213" s="4"/>
      <c r="Q213" s="4"/>
      <c r="R213" s="4"/>
      <c r="S213" s="4"/>
      <c r="T213" s="4"/>
      <c r="AV213" s="27"/>
      <c r="AW213" s="4"/>
    </row>
    <row r="214" spans="5:49" ht="15.75" customHeight="1">
      <c r="E214" s="23"/>
      <c r="F214" s="23"/>
      <c r="I214" s="4"/>
      <c r="J214" s="24"/>
      <c r="K214" s="25"/>
      <c r="L214" s="26"/>
      <c r="M214" s="9"/>
      <c r="N214" s="9"/>
      <c r="O214" s="4"/>
      <c r="P214" s="4"/>
      <c r="Q214" s="4"/>
      <c r="R214" s="4"/>
      <c r="S214" s="4"/>
      <c r="T214" s="4"/>
      <c r="AV214" s="27"/>
      <c r="AW214" s="4"/>
    </row>
    <row r="215" spans="5:49" ht="15.75" customHeight="1">
      <c r="E215" s="23"/>
      <c r="F215" s="23"/>
      <c r="I215" s="4"/>
      <c r="J215" s="24"/>
      <c r="K215" s="25"/>
      <c r="L215" s="26"/>
      <c r="M215" s="9"/>
      <c r="N215" s="9"/>
      <c r="O215" s="4"/>
      <c r="P215" s="4"/>
      <c r="Q215" s="4"/>
      <c r="R215" s="4"/>
      <c r="S215" s="4"/>
      <c r="T215" s="4"/>
      <c r="AV215" s="27"/>
      <c r="AW215" s="4"/>
    </row>
    <row r="216" spans="5:49" ht="15.75" customHeight="1">
      <c r="E216" s="23"/>
      <c r="F216" s="23"/>
      <c r="I216" s="4"/>
      <c r="J216" s="24"/>
      <c r="K216" s="25"/>
      <c r="L216" s="26"/>
      <c r="M216" s="9"/>
      <c r="N216" s="9"/>
      <c r="O216" s="4"/>
      <c r="P216" s="4"/>
      <c r="Q216" s="4"/>
      <c r="R216" s="4"/>
      <c r="S216" s="4"/>
      <c r="T216" s="4"/>
      <c r="AV216" s="27"/>
      <c r="AW216" s="4"/>
    </row>
    <row r="217" spans="5:49" ht="15.75" customHeight="1">
      <c r="E217" s="23"/>
      <c r="F217" s="23"/>
      <c r="I217" s="4"/>
      <c r="J217" s="24"/>
      <c r="K217" s="25"/>
      <c r="L217" s="26"/>
      <c r="M217" s="9"/>
      <c r="N217" s="9"/>
      <c r="O217" s="4"/>
      <c r="P217" s="4"/>
      <c r="Q217" s="4"/>
      <c r="R217" s="4"/>
      <c r="S217" s="4"/>
      <c r="T217" s="4"/>
      <c r="AV217" s="27"/>
      <c r="AW217" s="4"/>
    </row>
    <row r="218" spans="5:49" ht="15.75" customHeight="1">
      <c r="E218" s="23"/>
      <c r="F218" s="23"/>
      <c r="I218" s="4"/>
      <c r="J218" s="24"/>
      <c r="K218" s="25"/>
      <c r="L218" s="26"/>
      <c r="M218" s="9"/>
      <c r="N218" s="9"/>
      <c r="O218" s="4"/>
      <c r="P218" s="4"/>
      <c r="Q218" s="4"/>
      <c r="R218" s="4"/>
      <c r="S218" s="4"/>
      <c r="T218" s="4"/>
      <c r="AV218" s="27"/>
      <c r="AW218" s="4"/>
    </row>
    <row r="219" spans="5:49" ht="15.75" customHeight="1">
      <c r="E219" s="23"/>
      <c r="F219" s="23"/>
      <c r="I219" s="4"/>
      <c r="J219" s="24"/>
      <c r="K219" s="25"/>
      <c r="L219" s="26"/>
      <c r="M219" s="9"/>
      <c r="N219" s="9"/>
      <c r="O219" s="4"/>
      <c r="P219" s="4"/>
      <c r="Q219" s="4"/>
      <c r="R219" s="4"/>
      <c r="S219" s="4"/>
      <c r="T219" s="4"/>
      <c r="AV219" s="27"/>
      <c r="AW219" s="4"/>
    </row>
    <row r="220" spans="5:49" ht="15.75" customHeight="1">
      <c r="E220" s="23"/>
      <c r="F220" s="23"/>
      <c r="I220" s="4"/>
      <c r="J220" s="24"/>
      <c r="K220" s="25"/>
      <c r="L220" s="26"/>
      <c r="M220" s="9"/>
      <c r="N220" s="9"/>
      <c r="O220" s="4"/>
      <c r="P220" s="4"/>
      <c r="Q220" s="4"/>
      <c r="R220" s="4"/>
      <c r="S220" s="4"/>
      <c r="T220" s="4"/>
      <c r="AV220" s="27"/>
      <c r="AW220" s="4"/>
    </row>
    <row r="221" spans="5:49" ht="15.75" customHeight="1">
      <c r="E221" s="23"/>
      <c r="F221" s="23"/>
      <c r="I221" s="4"/>
      <c r="J221" s="24"/>
      <c r="K221" s="25"/>
      <c r="L221" s="26"/>
      <c r="M221" s="9"/>
      <c r="N221" s="9"/>
      <c r="O221" s="4"/>
      <c r="P221" s="4"/>
      <c r="Q221" s="4"/>
      <c r="R221" s="4"/>
      <c r="S221" s="4"/>
      <c r="T221" s="4"/>
      <c r="AV221" s="27"/>
      <c r="AW221" s="4"/>
    </row>
    <row r="222" spans="5:49" ht="15.75" customHeight="1">
      <c r="E222" s="23"/>
      <c r="F222" s="23"/>
      <c r="I222" s="4"/>
      <c r="J222" s="24"/>
      <c r="K222" s="25"/>
      <c r="L222" s="26"/>
      <c r="M222" s="9"/>
      <c r="N222" s="9"/>
      <c r="O222" s="4"/>
      <c r="P222" s="4"/>
      <c r="Q222" s="4"/>
      <c r="R222" s="4"/>
      <c r="S222" s="4"/>
      <c r="T222" s="4"/>
      <c r="AV222" s="27"/>
      <c r="AW222" s="4"/>
    </row>
    <row r="223" spans="5:49" ht="15.75" customHeight="1">
      <c r="E223" s="23"/>
      <c r="F223" s="23"/>
      <c r="I223" s="4"/>
      <c r="J223" s="24"/>
      <c r="K223" s="25"/>
      <c r="L223" s="26"/>
      <c r="M223" s="9"/>
      <c r="N223" s="9"/>
      <c r="O223" s="4"/>
      <c r="P223" s="4"/>
      <c r="Q223" s="4"/>
      <c r="R223" s="4"/>
      <c r="S223" s="4"/>
      <c r="T223" s="4"/>
      <c r="AV223" s="27"/>
      <c r="AW223" s="4"/>
    </row>
    <row r="224" spans="5:49" ht="15.75" customHeight="1">
      <c r="E224" s="23"/>
      <c r="F224" s="23"/>
      <c r="I224" s="4"/>
      <c r="J224" s="24"/>
      <c r="K224" s="25"/>
      <c r="L224" s="26"/>
      <c r="M224" s="9"/>
      <c r="N224" s="9"/>
      <c r="O224" s="4"/>
      <c r="P224" s="4"/>
      <c r="Q224" s="4"/>
      <c r="R224" s="4"/>
      <c r="S224" s="4"/>
      <c r="T224" s="4"/>
      <c r="AV224" s="27"/>
      <c r="AW224" s="4"/>
    </row>
    <row r="225" spans="5:49" ht="15.75" customHeight="1">
      <c r="E225" s="23"/>
      <c r="F225" s="23"/>
      <c r="I225" s="4"/>
      <c r="J225" s="24"/>
      <c r="K225" s="25"/>
      <c r="L225" s="26"/>
      <c r="M225" s="9"/>
      <c r="N225" s="9"/>
      <c r="O225" s="4"/>
      <c r="P225" s="4"/>
      <c r="Q225" s="4"/>
      <c r="R225" s="4"/>
      <c r="S225" s="4"/>
      <c r="T225" s="4"/>
      <c r="AV225" s="27"/>
      <c r="AW225" s="4"/>
    </row>
    <row r="226" spans="5:49" ht="15.75" customHeight="1">
      <c r="E226" s="23"/>
      <c r="F226" s="23"/>
      <c r="I226" s="4"/>
      <c r="J226" s="24"/>
      <c r="K226" s="25"/>
      <c r="L226" s="26"/>
      <c r="M226" s="9"/>
      <c r="N226" s="9"/>
      <c r="O226" s="4"/>
      <c r="P226" s="4"/>
      <c r="Q226" s="4"/>
      <c r="R226" s="4"/>
      <c r="S226" s="4"/>
      <c r="T226" s="4"/>
      <c r="AV226" s="27"/>
      <c r="AW226" s="4"/>
    </row>
    <row r="227" spans="5:49" ht="15.75" customHeight="1">
      <c r="E227" s="23"/>
      <c r="F227" s="23"/>
      <c r="I227" s="4"/>
      <c r="J227" s="24"/>
      <c r="K227" s="25"/>
      <c r="L227" s="26"/>
      <c r="M227" s="9"/>
      <c r="N227" s="9"/>
      <c r="O227" s="4"/>
      <c r="P227" s="4"/>
      <c r="Q227" s="4"/>
      <c r="R227" s="4"/>
      <c r="S227" s="4"/>
      <c r="T227" s="4"/>
      <c r="AV227" s="27"/>
      <c r="AW227" s="4"/>
    </row>
    <row r="228" spans="5:49" ht="15.75" customHeight="1">
      <c r="E228" s="23"/>
      <c r="F228" s="23"/>
      <c r="I228" s="4"/>
      <c r="J228" s="24"/>
      <c r="K228" s="25"/>
      <c r="L228" s="26"/>
      <c r="M228" s="9"/>
      <c r="N228" s="9"/>
      <c r="O228" s="4"/>
      <c r="P228" s="4"/>
      <c r="Q228" s="4"/>
      <c r="R228" s="4"/>
      <c r="S228" s="4"/>
      <c r="T228" s="4"/>
      <c r="AV228" s="27"/>
      <c r="AW228" s="4"/>
    </row>
    <row r="229" spans="5:49" ht="15.75" customHeight="1">
      <c r="E229" s="23"/>
      <c r="F229" s="23"/>
      <c r="I229" s="4"/>
      <c r="J229" s="24"/>
      <c r="K229" s="25"/>
      <c r="L229" s="26"/>
      <c r="M229" s="9"/>
      <c r="N229" s="9"/>
      <c r="O229" s="4"/>
      <c r="P229" s="4"/>
      <c r="Q229" s="4"/>
      <c r="R229" s="4"/>
      <c r="S229" s="4"/>
      <c r="T229" s="4"/>
      <c r="AV229" s="27"/>
      <c r="AW229" s="4"/>
    </row>
    <row r="230" spans="5:49" ht="15.75" customHeight="1">
      <c r="E230" s="23"/>
      <c r="F230" s="23"/>
      <c r="I230" s="4"/>
      <c r="J230" s="24"/>
      <c r="K230" s="25"/>
      <c r="L230" s="26"/>
      <c r="M230" s="9"/>
      <c r="N230" s="9"/>
      <c r="O230" s="4"/>
      <c r="P230" s="4"/>
      <c r="Q230" s="4"/>
      <c r="R230" s="4"/>
      <c r="S230" s="4"/>
      <c r="T230" s="4"/>
      <c r="AV230" s="27"/>
      <c r="AW230" s="4"/>
    </row>
    <row r="231" spans="5:49" ht="15.75" customHeight="1">
      <c r="E231" s="23"/>
      <c r="F231" s="23"/>
      <c r="I231" s="4"/>
      <c r="J231" s="24"/>
      <c r="K231" s="25"/>
      <c r="L231" s="26"/>
      <c r="M231" s="9"/>
      <c r="N231" s="9"/>
      <c r="O231" s="4"/>
      <c r="P231" s="4"/>
      <c r="Q231" s="4"/>
      <c r="R231" s="4"/>
      <c r="S231" s="4"/>
      <c r="T231" s="4"/>
      <c r="AV231" s="27"/>
      <c r="AW231" s="4"/>
    </row>
    <row r="232" spans="5:49" ht="15.75" customHeight="1">
      <c r="E232" s="23"/>
      <c r="F232" s="23"/>
      <c r="I232" s="4"/>
      <c r="J232" s="24"/>
      <c r="K232" s="25"/>
      <c r="L232" s="26"/>
      <c r="M232" s="9"/>
      <c r="N232" s="9"/>
      <c r="O232" s="4"/>
      <c r="P232" s="4"/>
      <c r="Q232" s="4"/>
      <c r="R232" s="4"/>
      <c r="S232" s="4"/>
      <c r="T232" s="4"/>
      <c r="AV232" s="27"/>
      <c r="AW232" s="4"/>
    </row>
    <row r="233" spans="5:49" ht="15.75" customHeight="1">
      <c r="E233" s="23"/>
      <c r="F233" s="23"/>
      <c r="I233" s="4"/>
      <c r="J233" s="24"/>
      <c r="K233" s="25"/>
      <c r="L233" s="26"/>
      <c r="M233" s="9"/>
      <c r="N233" s="9"/>
      <c r="O233" s="4"/>
      <c r="P233" s="4"/>
      <c r="Q233" s="4"/>
      <c r="R233" s="4"/>
      <c r="S233" s="4"/>
      <c r="T233" s="4"/>
      <c r="AV233" s="27"/>
      <c r="AW233" s="4"/>
    </row>
    <row r="234" spans="5:49" ht="15.75" customHeight="1">
      <c r="E234" s="23"/>
      <c r="F234" s="23"/>
      <c r="I234" s="4"/>
      <c r="J234" s="24"/>
      <c r="K234" s="25"/>
      <c r="L234" s="26"/>
      <c r="M234" s="9"/>
      <c r="N234" s="9"/>
      <c r="O234" s="4"/>
      <c r="P234" s="4"/>
      <c r="Q234" s="4"/>
      <c r="R234" s="4"/>
      <c r="S234" s="4"/>
      <c r="T234" s="4"/>
      <c r="AV234" s="27"/>
      <c r="AW234" s="4"/>
    </row>
    <row r="235" spans="5:49" ht="15.75" customHeight="1">
      <c r="E235" s="23"/>
      <c r="F235" s="23"/>
      <c r="I235" s="4"/>
      <c r="J235" s="24"/>
      <c r="K235" s="25"/>
      <c r="L235" s="26"/>
      <c r="M235" s="9"/>
      <c r="N235" s="9"/>
      <c r="O235" s="4"/>
      <c r="P235" s="4"/>
      <c r="Q235" s="4"/>
      <c r="R235" s="4"/>
      <c r="S235" s="4"/>
      <c r="T235" s="4"/>
      <c r="AV235" s="27"/>
      <c r="AW235" s="4"/>
    </row>
    <row r="236" spans="5:49" ht="15.75" customHeight="1">
      <c r="E236" s="23"/>
      <c r="F236" s="23"/>
      <c r="I236" s="4"/>
      <c r="J236" s="24"/>
      <c r="K236" s="25"/>
      <c r="L236" s="26"/>
      <c r="M236" s="9"/>
      <c r="N236" s="9"/>
      <c r="O236" s="4"/>
      <c r="P236" s="4"/>
      <c r="Q236" s="4"/>
      <c r="R236" s="4"/>
      <c r="S236" s="4"/>
      <c r="T236" s="4"/>
      <c r="AV236" s="27"/>
      <c r="AW236" s="4"/>
    </row>
    <row r="237" spans="5:49" ht="15.75" customHeight="1">
      <c r="E237" s="23"/>
      <c r="F237" s="23"/>
      <c r="I237" s="4"/>
      <c r="J237" s="24"/>
      <c r="K237" s="25"/>
      <c r="L237" s="26"/>
      <c r="M237" s="9"/>
      <c r="N237" s="9"/>
      <c r="O237" s="4"/>
      <c r="P237" s="4"/>
      <c r="Q237" s="4"/>
      <c r="R237" s="4"/>
      <c r="S237" s="4"/>
      <c r="T237" s="4"/>
      <c r="AV237" s="27"/>
      <c r="AW237" s="4"/>
    </row>
    <row r="238" spans="5:49" ht="15.75" customHeight="1">
      <c r="E238" s="23"/>
      <c r="F238" s="23"/>
      <c r="I238" s="4"/>
      <c r="J238" s="24"/>
      <c r="K238" s="25"/>
      <c r="L238" s="26"/>
      <c r="M238" s="9"/>
      <c r="N238" s="9"/>
      <c r="O238" s="4"/>
      <c r="P238" s="4"/>
      <c r="Q238" s="4"/>
      <c r="R238" s="4"/>
      <c r="S238" s="4"/>
      <c r="T238" s="4"/>
      <c r="AV238" s="27"/>
      <c r="AW238" s="4"/>
    </row>
    <row r="239" spans="5:49" ht="15.75" customHeight="1">
      <c r="E239" s="23"/>
      <c r="F239" s="23"/>
      <c r="I239" s="4"/>
      <c r="J239" s="24"/>
      <c r="K239" s="25"/>
      <c r="L239" s="26"/>
      <c r="M239" s="9"/>
      <c r="N239" s="9"/>
      <c r="O239" s="4"/>
      <c r="P239" s="4"/>
      <c r="Q239" s="4"/>
      <c r="R239" s="4"/>
      <c r="S239" s="4"/>
      <c r="T239" s="4"/>
      <c r="AV239" s="27"/>
      <c r="AW239" s="4"/>
    </row>
    <row r="240" spans="5:49" ht="15.75" customHeight="1">
      <c r="E240" s="23"/>
      <c r="F240" s="23"/>
      <c r="I240" s="4"/>
      <c r="J240" s="24"/>
      <c r="K240" s="25"/>
      <c r="L240" s="26"/>
      <c r="M240" s="9"/>
      <c r="N240" s="9"/>
      <c r="O240" s="4"/>
      <c r="P240" s="4"/>
      <c r="Q240" s="4"/>
      <c r="R240" s="4"/>
      <c r="S240" s="4"/>
      <c r="T240" s="4"/>
      <c r="AV240" s="27"/>
      <c r="AW240" s="4"/>
    </row>
    <row r="241" spans="5:49" ht="15.75" customHeight="1">
      <c r="E241" s="23"/>
      <c r="F241" s="23"/>
      <c r="I241" s="4"/>
      <c r="J241" s="24"/>
      <c r="K241" s="25"/>
      <c r="L241" s="26"/>
      <c r="M241" s="9"/>
      <c r="N241" s="9"/>
      <c r="O241" s="4"/>
      <c r="P241" s="4"/>
      <c r="Q241" s="4"/>
      <c r="R241" s="4"/>
      <c r="S241" s="4"/>
      <c r="T241" s="4"/>
      <c r="AV241" s="27"/>
      <c r="AW241" s="4"/>
    </row>
    <row r="242" spans="5:49" ht="15.75" customHeight="1">
      <c r="E242" s="23"/>
      <c r="F242" s="23"/>
      <c r="I242" s="4"/>
      <c r="J242" s="24"/>
      <c r="K242" s="25"/>
      <c r="L242" s="26"/>
      <c r="M242" s="9"/>
      <c r="N242" s="9"/>
      <c r="O242" s="4"/>
      <c r="P242" s="4"/>
      <c r="Q242" s="4"/>
      <c r="R242" s="4"/>
      <c r="S242" s="4"/>
      <c r="T242" s="4"/>
      <c r="AV242" s="27"/>
      <c r="AW242" s="4"/>
    </row>
    <row r="243" spans="5:49" ht="15.75" customHeight="1">
      <c r="E243" s="23"/>
      <c r="F243" s="23"/>
      <c r="I243" s="4"/>
      <c r="J243" s="24"/>
      <c r="K243" s="25"/>
      <c r="L243" s="26"/>
      <c r="M243" s="9"/>
      <c r="N243" s="9"/>
      <c r="O243" s="4"/>
      <c r="P243" s="4"/>
      <c r="Q243" s="4"/>
      <c r="R243" s="4"/>
      <c r="S243" s="4"/>
      <c r="T243" s="4"/>
      <c r="AV243" s="27"/>
      <c r="AW243" s="4"/>
    </row>
    <row r="244" spans="5:49" ht="15.75" customHeight="1">
      <c r="E244" s="23"/>
      <c r="F244" s="23"/>
      <c r="I244" s="4"/>
      <c r="J244" s="24"/>
      <c r="K244" s="25"/>
      <c r="L244" s="26"/>
      <c r="M244" s="9"/>
      <c r="N244" s="9"/>
      <c r="O244" s="4"/>
      <c r="P244" s="4"/>
      <c r="Q244" s="4"/>
      <c r="R244" s="4"/>
      <c r="S244" s="4"/>
      <c r="T244" s="4"/>
      <c r="AV244" s="27"/>
      <c r="AW244" s="4"/>
    </row>
    <row r="245" spans="5:49" ht="15.75" customHeight="1">
      <c r="E245" s="23"/>
      <c r="F245" s="23"/>
      <c r="I245" s="4"/>
      <c r="J245" s="24"/>
      <c r="K245" s="25"/>
      <c r="L245" s="26"/>
      <c r="M245" s="9"/>
      <c r="N245" s="9"/>
      <c r="O245" s="4"/>
      <c r="P245" s="4"/>
      <c r="Q245" s="4"/>
      <c r="R245" s="4"/>
      <c r="S245" s="4"/>
      <c r="T245" s="4"/>
      <c r="AV245" s="27"/>
      <c r="AW245" s="4"/>
    </row>
    <row r="246" spans="5:49" ht="15.75" customHeight="1">
      <c r="E246" s="23"/>
      <c r="F246" s="23"/>
      <c r="I246" s="4"/>
      <c r="J246" s="24"/>
      <c r="K246" s="25"/>
      <c r="L246" s="26"/>
      <c r="M246" s="9"/>
      <c r="N246" s="9"/>
      <c r="O246" s="4"/>
      <c r="P246" s="4"/>
      <c r="Q246" s="4"/>
      <c r="R246" s="4"/>
      <c r="S246" s="4"/>
      <c r="T246" s="4"/>
      <c r="AV246" s="27"/>
      <c r="AW246" s="4"/>
    </row>
    <row r="247" spans="5:49" ht="15.75" customHeight="1">
      <c r="E247" s="23"/>
      <c r="F247" s="23"/>
      <c r="I247" s="4"/>
      <c r="J247" s="24"/>
      <c r="K247" s="25"/>
      <c r="L247" s="26"/>
      <c r="M247" s="9"/>
      <c r="N247" s="9"/>
      <c r="O247" s="4"/>
      <c r="P247" s="4"/>
      <c r="Q247" s="4"/>
      <c r="R247" s="4"/>
      <c r="S247" s="4"/>
      <c r="T247" s="4"/>
      <c r="AV247" s="27"/>
      <c r="AW247" s="4"/>
    </row>
    <row r="248" spans="5:49" ht="15.75" customHeight="1">
      <c r="E248" s="23"/>
      <c r="F248" s="23"/>
      <c r="I248" s="4"/>
      <c r="J248" s="24"/>
      <c r="K248" s="25"/>
      <c r="L248" s="26"/>
      <c r="M248" s="9"/>
      <c r="N248" s="9"/>
      <c r="O248" s="4"/>
      <c r="P248" s="4"/>
      <c r="Q248" s="4"/>
      <c r="R248" s="4"/>
      <c r="S248" s="4"/>
      <c r="T248" s="4"/>
      <c r="AV248" s="27"/>
      <c r="AW248" s="4"/>
    </row>
    <row r="249" spans="5:49" ht="15.75" customHeight="1">
      <c r="E249" s="23"/>
      <c r="F249" s="23"/>
      <c r="I249" s="4"/>
      <c r="J249" s="24"/>
      <c r="K249" s="25"/>
      <c r="L249" s="26"/>
      <c r="M249" s="9"/>
      <c r="N249" s="9"/>
      <c r="O249" s="4"/>
      <c r="P249" s="4"/>
      <c r="Q249" s="4"/>
      <c r="R249" s="4"/>
      <c r="S249" s="4"/>
      <c r="T249" s="4"/>
      <c r="AV249" s="27"/>
      <c r="AW249" s="4"/>
    </row>
    <row r="250" spans="5:49" ht="15.75" customHeight="1">
      <c r="E250" s="23"/>
      <c r="F250" s="23"/>
      <c r="I250" s="4"/>
      <c r="J250" s="24"/>
      <c r="K250" s="25"/>
      <c r="L250" s="26"/>
      <c r="M250" s="9"/>
      <c r="N250" s="9"/>
      <c r="O250" s="4"/>
      <c r="P250" s="4"/>
      <c r="Q250" s="4"/>
      <c r="R250" s="4"/>
      <c r="S250" s="4"/>
      <c r="T250" s="4"/>
      <c r="AV250" s="27"/>
      <c r="AW250" s="4"/>
    </row>
    <row r="251" spans="5:49" ht="15.75" customHeight="1">
      <c r="E251" s="23"/>
      <c r="F251" s="23"/>
      <c r="I251" s="4"/>
      <c r="J251" s="24"/>
      <c r="K251" s="25"/>
      <c r="L251" s="26"/>
      <c r="M251" s="9"/>
      <c r="N251" s="9"/>
      <c r="O251" s="4"/>
      <c r="P251" s="4"/>
      <c r="Q251" s="4"/>
      <c r="R251" s="4"/>
      <c r="S251" s="4"/>
      <c r="T251" s="4"/>
      <c r="AV251" s="27"/>
      <c r="AW251" s="4"/>
    </row>
    <row r="252" spans="5:49" ht="15.75" customHeight="1">
      <c r="E252" s="23"/>
      <c r="F252" s="23"/>
      <c r="I252" s="4"/>
      <c r="J252" s="24"/>
      <c r="K252" s="25"/>
      <c r="L252" s="26"/>
      <c r="M252" s="9"/>
      <c r="N252" s="9"/>
      <c r="O252" s="4"/>
      <c r="P252" s="4"/>
      <c r="Q252" s="4"/>
      <c r="R252" s="4"/>
      <c r="S252" s="4"/>
      <c r="T252" s="4"/>
      <c r="AV252" s="27"/>
      <c r="AW252" s="4"/>
    </row>
    <row r="253" spans="5:49" ht="15.75" customHeight="1">
      <c r="E253" s="23"/>
      <c r="F253" s="23"/>
      <c r="I253" s="4"/>
      <c r="J253" s="24"/>
      <c r="K253" s="25"/>
      <c r="L253" s="26"/>
      <c r="M253" s="9"/>
      <c r="N253" s="9"/>
      <c r="O253" s="4"/>
      <c r="P253" s="4"/>
      <c r="Q253" s="4"/>
      <c r="R253" s="4"/>
      <c r="S253" s="4"/>
      <c r="T253" s="4"/>
      <c r="AV253" s="27"/>
      <c r="AW253" s="4"/>
    </row>
    <row r="254" spans="5:49" ht="15.75" customHeight="1">
      <c r="E254" s="23"/>
      <c r="F254" s="23"/>
      <c r="I254" s="4"/>
      <c r="J254" s="24"/>
      <c r="K254" s="25"/>
      <c r="L254" s="26"/>
      <c r="M254" s="9"/>
      <c r="N254" s="9"/>
      <c r="O254" s="4"/>
      <c r="P254" s="4"/>
      <c r="Q254" s="4"/>
      <c r="R254" s="4"/>
      <c r="S254" s="4"/>
      <c r="T254" s="4"/>
      <c r="AV254" s="27"/>
      <c r="AW254" s="4"/>
    </row>
    <row r="255" spans="5:49" ht="15.75" customHeight="1">
      <c r="E255" s="23"/>
      <c r="F255" s="23"/>
      <c r="I255" s="4"/>
      <c r="J255" s="24"/>
      <c r="K255" s="25"/>
      <c r="L255" s="26"/>
      <c r="M255" s="9"/>
      <c r="N255" s="9"/>
      <c r="O255" s="4"/>
      <c r="P255" s="4"/>
      <c r="Q255" s="4"/>
      <c r="R255" s="4"/>
      <c r="S255" s="4"/>
      <c r="T255" s="4"/>
      <c r="AV255" s="27"/>
      <c r="AW255" s="4"/>
    </row>
    <row r="256" spans="5:49" ht="15.75" customHeight="1">
      <c r="E256" s="23"/>
      <c r="F256" s="23"/>
      <c r="I256" s="4"/>
      <c r="J256" s="24"/>
      <c r="K256" s="25"/>
      <c r="L256" s="26"/>
      <c r="M256" s="9"/>
      <c r="N256" s="9"/>
      <c r="O256" s="4"/>
      <c r="P256" s="4"/>
      <c r="Q256" s="4"/>
      <c r="R256" s="4"/>
      <c r="S256" s="4"/>
      <c r="T256" s="4"/>
      <c r="AV256" s="27"/>
      <c r="AW256" s="4"/>
    </row>
    <row r="257" spans="5:49" ht="15.75" customHeight="1">
      <c r="E257" s="23"/>
      <c r="F257" s="23"/>
      <c r="I257" s="4"/>
      <c r="J257" s="24"/>
      <c r="K257" s="25"/>
      <c r="L257" s="26"/>
      <c r="M257" s="9"/>
      <c r="N257" s="9"/>
      <c r="O257" s="4"/>
      <c r="P257" s="4"/>
      <c r="Q257" s="4"/>
      <c r="R257" s="4"/>
      <c r="S257" s="4"/>
      <c r="T257" s="4"/>
      <c r="AV257" s="27"/>
      <c r="AW257" s="4"/>
    </row>
    <row r="258" spans="5:49" ht="15.75" customHeight="1">
      <c r="E258" s="23"/>
      <c r="F258" s="23"/>
      <c r="I258" s="4"/>
      <c r="J258" s="24"/>
      <c r="K258" s="25"/>
      <c r="L258" s="26"/>
      <c r="M258" s="9"/>
      <c r="N258" s="9"/>
      <c r="O258" s="4"/>
      <c r="P258" s="4"/>
      <c r="Q258" s="4"/>
      <c r="R258" s="4"/>
      <c r="S258" s="4"/>
      <c r="T258" s="4"/>
      <c r="AV258" s="27"/>
      <c r="AW258" s="4"/>
    </row>
    <row r="259" spans="5:49" ht="15.75" customHeight="1">
      <c r="E259" s="23"/>
      <c r="F259" s="23"/>
      <c r="I259" s="4"/>
      <c r="J259" s="24"/>
      <c r="K259" s="25"/>
      <c r="L259" s="26"/>
      <c r="M259" s="9"/>
      <c r="N259" s="9"/>
      <c r="O259" s="4"/>
      <c r="P259" s="4"/>
      <c r="Q259" s="4"/>
      <c r="R259" s="4"/>
      <c r="S259" s="4"/>
      <c r="T259" s="4"/>
      <c r="AV259" s="27"/>
      <c r="AW259" s="4"/>
    </row>
    <row r="260" spans="5:49" ht="15.75" customHeight="1">
      <c r="E260" s="23"/>
      <c r="F260" s="23"/>
      <c r="I260" s="4"/>
      <c r="J260" s="24"/>
      <c r="K260" s="25"/>
      <c r="L260" s="26"/>
      <c r="M260" s="9"/>
      <c r="N260" s="9"/>
      <c r="O260" s="4"/>
      <c r="P260" s="4"/>
      <c r="Q260" s="4"/>
      <c r="R260" s="4"/>
      <c r="S260" s="4"/>
      <c r="T260" s="4"/>
      <c r="AV260" s="27"/>
      <c r="AW260" s="4"/>
    </row>
    <row r="261" spans="5:49" ht="15.75" customHeight="1">
      <c r="E261" s="23"/>
      <c r="F261" s="23"/>
      <c r="I261" s="4"/>
      <c r="J261" s="24"/>
      <c r="K261" s="25"/>
      <c r="L261" s="26"/>
      <c r="M261" s="9"/>
      <c r="N261" s="9"/>
      <c r="O261" s="4"/>
      <c r="P261" s="4"/>
      <c r="Q261" s="4"/>
      <c r="R261" s="4"/>
      <c r="S261" s="4"/>
      <c r="T261" s="4"/>
      <c r="AV261" s="27"/>
      <c r="AW261" s="4"/>
    </row>
    <row r="262" spans="5:49" ht="15.75" customHeight="1">
      <c r="E262" s="23"/>
      <c r="F262" s="23"/>
      <c r="I262" s="4"/>
      <c r="J262" s="24"/>
      <c r="K262" s="25"/>
      <c r="L262" s="26"/>
      <c r="M262" s="9"/>
      <c r="N262" s="9"/>
      <c r="O262" s="4"/>
      <c r="P262" s="4"/>
      <c r="Q262" s="4"/>
      <c r="R262" s="4"/>
      <c r="S262" s="4"/>
      <c r="T262" s="4"/>
      <c r="AV262" s="27"/>
      <c r="AW262" s="4"/>
    </row>
    <row r="263" spans="5:49" ht="15.75" customHeight="1">
      <c r="E263" s="23"/>
      <c r="F263" s="23"/>
      <c r="I263" s="4"/>
      <c r="J263" s="24"/>
      <c r="K263" s="25"/>
      <c r="L263" s="26"/>
      <c r="M263" s="9"/>
      <c r="N263" s="9"/>
      <c r="O263" s="4"/>
      <c r="P263" s="4"/>
      <c r="Q263" s="4"/>
      <c r="R263" s="4"/>
      <c r="S263" s="4"/>
      <c r="T263" s="4"/>
      <c r="AV263" s="27"/>
      <c r="AW263" s="4"/>
    </row>
    <row r="264" spans="5:49" ht="15.75" customHeight="1">
      <c r="E264" s="23"/>
      <c r="F264" s="23"/>
      <c r="I264" s="4"/>
      <c r="J264" s="24"/>
      <c r="K264" s="25"/>
      <c r="L264" s="26"/>
      <c r="M264" s="9"/>
      <c r="N264" s="9"/>
      <c r="O264" s="4"/>
      <c r="P264" s="4"/>
      <c r="Q264" s="4"/>
      <c r="R264" s="4"/>
      <c r="S264" s="4"/>
      <c r="T264" s="4"/>
      <c r="AV264" s="27"/>
      <c r="AW264" s="4"/>
    </row>
    <row r="265" spans="5:49" ht="15.75" customHeight="1">
      <c r="E265" s="23"/>
      <c r="F265" s="23"/>
      <c r="I265" s="4"/>
      <c r="J265" s="24"/>
      <c r="K265" s="25"/>
      <c r="L265" s="26"/>
      <c r="M265" s="9"/>
      <c r="N265" s="9"/>
      <c r="O265" s="4"/>
      <c r="P265" s="4"/>
      <c r="Q265" s="4"/>
      <c r="R265" s="4"/>
      <c r="S265" s="4"/>
      <c r="T265" s="4"/>
      <c r="AV265" s="27"/>
      <c r="AW265" s="4"/>
    </row>
    <row r="266" spans="5:49" ht="15.75" customHeight="1">
      <c r="E266" s="23"/>
      <c r="F266" s="23"/>
      <c r="I266" s="4"/>
      <c r="J266" s="24"/>
      <c r="K266" s="25"/>
      <c r="L266" s="26"/>
      <c r="M266" s="9"/>
      <c r="N266" s="9"/>
      <c r="O266" s="4"/>
      <c r="P266" s="4"/>
      <c r="Q266" s="4"/>
      <c r="R266" s="4"/>
      <c r="S266" s="4"/>
      <c r="T266" s="4"/>
      <c r="AV266" s="27"/>
      <c r="AW266" s="4"/>
    </row>
    <row r="267" spans="5:49" ht="15.75" customHeight="1">
      <c r="E267" s="23"/>
      <c r="F267" s="23"/>
      <c r="I267" s="4"/>
      <c r="J267" s="24"/>
      <c r="K267" s="25"/>
      <c r="L267" s="26"/>
      <c r="M267" s="9"/>
      <c r="N267" s="9"/>
      <c r="O267" s="4"/>
      <c r="P267" s="4"/>
      <c r="Q267" s="4"/>
      <c r="R267" s="4"/>
      <c r="S267" s="4"/>
      <c r="T267" s="4"/>
      <c r="AV267" s="27"/>
      <c r="AW267" s="4"/>
    </row>
    <row r="268" spans="5:49" ht="15.75" customHeight="1">
      <c r="E268" s="23"/>
      <c r="F268" s="23"/>
      <c r="I268" s="4"/>
      <c r="J268" s="24"/>
      <c r="K268" s="25"/>
      <c r="L268" s="26"/>
      <c r="M268" s="9"/>
      <c r="N268" s="9"/>
      <c r="O268" s="4"/>
      <c r="P268" s="4"/>
      <c r="Q268" s="4"/>
      <c r="R268" s="4"/>
      <c r="S268" s="4"/>
      <c r="T268" s="4"/>
      <c r="AV268" s="27"/>
      <c r="AW268" s="4"/>
    </row>
    <row r="269" spans="5:49" ht="15.75" customHeight="1">
      <c r="E269" s="23"/>
      <c r="F269" s="23"/>
      <c r="I269" s="4"/>
      <c r="J269" s="24"/>
      <c r="K269" s="25"/>
      <c r="L269" s="26"/>
      <c r="M269" s="9"/>
      <c r="N269" s="9"/>
      <c r="O269" s="4"/>
      <c r="P269" s="4"/>
      <c r="Q269" s="4"/>
      <c r="R269" s="4"/>
      <c r="S269" s="4"/>
      <c r="T269" s="4"/>
      <c r="AV269" s="27"/>
      <c r="AW269" s="4"/>
    </row>
    <row r="270" spans="5:49" ht="15.75" customHeight="1">
      <c r="E270" s="23"/>
      <c r="F270" s="23"/>
      <c r="I270" s="4"/>
      <c r="J270" s="24"/>
      <c r="K270" s="25"/>
      <c r="L270" s="26"/>
      <c r="M270" s="9"/>
      <c r="N270" s="9"/>
      <c r="O270" s="4"/>
      <c r="P270" s="4"/>
      <c r="Q270" s="4"/>
      <c r="R270" s="4"/>
      <c r="S270" s="4"/>
      <c r="T270" s="4"/>
      <c r="AV270" s="27"/>
      <c r="AW270" s="4"/>
    </row>
    <row r="271" spans="5:49" ht="15.75" customHeight="1">
      <c r="E271" s="23"/>
      <c r="F271" s="23"/>
      <c r="I271" s="4"/>
      <c r="J271" s="24"/>
      <c r="K271" s="25"/>
      <c r="L271" s="26"/>
      <c r="M271" s="9"/>
      <c r="N271" s="9"/>
      <c r="O271" s="4"/>
      <c r="P271" s="4"/>
      <c r="Q271" s="4"/>
      <c r="R271" s="4"/>
      <c r="S271" s="4"/>
      <c r="T271" s="4"/>
      <c r="AV271" s="27"/>
      <c r="AW271" s="4"/>
    </row>
    <row r="272" spans="5:49" ht="15.75" customHeight="1">
      <c r="E272" s="23"/>
      <c r="F272" s="23"/>
      <c r="I272" s="4"/>
      <c r="J272" s="24"/>
      <c r="K272" s="25"/>
      <c r="L272" s="26"/>
      <c r="M272" s="9"/>
      <c r="N272" s="9"/>
      <c r="O272" s="4"/>
      <c r="P272" s="4"/>
      <c r="Q272" s="4"/>
      <c r="R272" s="4"/>
      <c r="S272" s="4"/>
      <c r="T272" s="4"/>
      <c r="AV272" s="27"/>
      <c r="AW272" s="4"/>
    </row>
    <row r="273" spans="5:49" ht="15.75" customHeight="1">
      <c r="E273" s="23"/>
      <c r="F273" s="23"/>
      <c r="I273" s="4"/>
      <c r="J273" s="24"/>
      <c r="K273" s="25"/>
      <c r="L273" s="26"/>
      <c r="M273" s="9"/>
      <c r="N273" s="9"/>
      <c r="O273" s="4"/>
      <c r="P273" s="4"/>
      <c r="Q273" s="4"/>
      <c r="R273" s="4"/>
      <c r="S273" s="4"/>
      <c r="T273" s="4"/>
      <c r="AV273" s="27"/>
      <c r="AW273" s="4"/>
    </row>
    <row r="274" spans="5:49" ht="15.75" customHeight="1">
      <c r="E274" s="23"/>
      <c r="F274" s="23"/>
      <c r="I274" s="4"/>
      <c r="J274" s="24"/>
      <c r="K274" s="25"/>
      <c r="L274" s="26"/>
      <c r="M274" s="9"/>
      <c r="N274" s="9"/>
      <c r="O274" s="4"/>
      <c r="P274" s="4"/>
      <c r="Q274" s="4"/>
      <c r="R274" s="4"/>
      <c r="S274" s="4"/>
      <c r="T274" s="4"/>
      <c r="AV274" s="27"/>
      <c r="AW274" s="4"/>
    </row>
    <row r="275" spans="5:49" ht="15.75" customHeight="1">
      <c r="E275" s="23"/>
      <c r="F275" s="23"/>
      <c r="I275" s="4"/>
      <c r="J275" s="24"/>
      <c r="K275" s="25"/>
      <c r="L275" s="26"/>
      <c r="M275" s="9"/>
      <c r="N275" s="9"/>
      <c r="O275" s="4"/>
      <c r="P275" s="4"/>
      <c r="Q275" s="4"/>
      <c r="R275" s="4"/>
      <c r="S275" s="4"/>
      <c r="T275" s="4"/>
      <c r="AV275" s="27"/>
      <c r="AW275" s="4"/>
    </row>
    <row r="276" spans="5:49" ht="15.75" customHeight="1">
      <c r="E276" s="23"/>
      <c r="F276" s="23"/>
      <c r="I276" s="4"/>
      <c r="J276" s="24"/>
      <c r="K276" s="25"/>
      <c r="L276" s="26"/>
      <c r="M276" s="9"/>
      <c r="N276" s="9"/>
      <c r="O276" s="4"/>
      <c r="P276" s="4"/>
      <c r="Q276" s="4"/>
      <c r="R276" s="4"/>
      <c r="S276" s="4"/>
      <c r="T276" s="4"/>
      <c r="AV276" s="27"/>
      <c r="AW276" s="4"/>
    </row>
    <row r="277" spans="5:49" ht="15.75" customHeight="1">
      <c r="E277" s="23"/>
      <c r="F277" s="23"/>
      <c r="I277" s="4"/>
      <c r="J277" s="24"/>
      <c r="K277" s="25"/>
      <c r="L277" s="26"/>
      <c r="M277" s="9"/>
      <c r="N277" s="9"/>
      <c r="O277" s="4"/>
      <c r="P277" s="4"/>
      <c r="Q277" s="4"/>
      <c r="R277" s="4"/>
      <c r="S277" s="4"/>
      <c r="T277" s="4"/>
      <c r="AV277" s="27"/>
      <c r="AW277" s="4"/>
    </row>
    <row r="278" spans="5:49" ht="15.75" customHeight="1">
      <c r="E278" s="23"/>
      <c r="F278" s="23"/>
      <c r="I278" s="4"/>
      <c r="J278" s="24"/>
      <c r="K278" s="25"/>
      <c r="L278" s="26"/>
      <c r="M278" s="9"/>
      <c r="N278" s="9"/>
      <c r="O278" s="4"/>
      <c r="P278" s="4"/>
      <c r="Q278" s="4"/>
      <c r="R278" s="4"/>
      <c r="S278" s="4"/>
      <c r="T278" s="4"/>
      <c r="AV278" s="27"/>
      <c r="AW278" s="4"/>
    </row>
    <row r="279" spans="5:49" ht="15.75" customHeight="1">
      <c r="E279" s="23"/>
      <c r="F279" s="23"/>
      <c r="I279" s="4"/>
      <c r="J279" s="24"/>
      <c r="K279" s="25"/>
      <c r="L279" s="26"/>
      <c r="M279" s="9"/>
      <c r="N279" s="9"/>
      <c r="O279" s="4"/>
      <c r="P279" s="4"/>
      <c r="Q279" s="4"/>
      <c r="R279" s="4"/>
      <c r="S279" s="4"/>
      <c r="T279" s="4"/>
      <c r="AV279" s="27"/>
      <c r="AW279" s="4"/>
    </row>
    <row r="280" spans="5:49" ht="15.75" customHeight="1">
      <c r="E280" s="23"/>
      <c r="F280" s="23"/>
      <c r="I280" s="4"/>
      <c r="J280" s="24"/>
      <c r="K280" s="25"/>
      <c r="L280" s="26"/>
      <c r="M280" s="9"/>
      <c r="N280" s="9"/>
      <c r="O280" s="4"/>
      <c r="P280" s="4"/>
      <c r="Q280" s="4"/>
      <c r="R280" s="4"/>
      <c r="S280" s="4"/>
      <c r="T280" s="4"/>
      <c r="AV280" s="27"/>
      <c r="AW280" s="4"/>
    </row>
    <row r="281" spans="5:49" ht="15.75" customHeight="1">
      <c r="E281" s="23"/>
      <c r="F281" s="23"/>
      <c r="I281" s="4"/>
      <c r="J281" s="24"/>
      <c r="K281" s="25"/>
      <c r="L281" s="26"/>
      <c r="M281" s="9"/>
      <c r="N281" s="9"/>
      <c r="O281" s="4"/>
      <c r="P281" s="4"/>
      <c r="Q281" s="4"/>
      <c r="R281" s="4"/>
      <c r="S281" s="4"/>
      <c r="T281" s="4"/>
      <c r="AV281" s="27"/>
      <c r="AW281" s="4"/>
    </row>
    <row r="282" spans="5:49" ht="15.75" customHeight="1">
      <c r="E282" s="23"/>
      <c r="F282" s="23"/>
      <c r="I282" s="4"/>
      <c r="J282" s="24"/>
      <c r="K282" s="25"/>
      <c r="L282" s="26"/>
      <c r="M282" s="9"/>
      <c r="N282" s="9"/>
      <c r="O282" s="4"/>
      <c r="P282" s="4"/>
      <c r="Q282" s="4"/>
      <c r="R282" s="4"/>
      <c r="S282" s="4"/>
      <c r="T282" s="4"/>
      <c r="AV282" s="27"/>
      <c r="AW282" s="4"/>
    </row>
    <row r="283" spans="5:49" ht="15.75" customHeight="1">
      <c r="E283" s="23"/>
      <c r="F283" s="23"/>
      <c r="I283" s="4"/>
      <c r="J283" s="24"/>
      <c r="K283" s="25"/>
      <c r="L283" s="26"/>
      <c r="M283" s="9"/>
      <c r="N283" s="9"/>
      <c r="O283" s="4"/>
      <c r="P283" s="4"/>
      <c r="Q283" s="4"/>
      <c r="R283" s="4"/>
      <c r="S283" s="4"/>
      <c r="T283" s="4"/>
      <c r="AV283" s="27"/>
      <c r="AW283" s="4"/>
    </row>
    <row r="284" spans="5:49" ht="15.75" customHeight="1">
      <c r="E284" s="23"/>
      <c r="F284" s="23"/>
      <c r="I284" s="4"/>
      <c r="J284" s="24"/>
      <c r="K284" s="25"/>
      <c r="L284" s="26"/>
      <c r="M284" s="9"/>
      <c r="N284" s="9"/>
      <c r="O284" s="4"/>
      <c r="P284" s="4"/>
      <c r="Q284" s="4"/>
      <c r="R284" s="4"/>
      <c r="S284" s="4"/>
      <c r="T284" s="4"/>
      <c r="AV284" s="27"/>
      <c r="AW284" s="4"/>
    </row>
    <row r="285" spans="5:49" ht="15.75" customHeight="1">
      <c r="E285" s="23"/>
      <c r="F285" s="23"/>
      <c r="I285" s="4"/>
      <c r="J285" s="24"/>
      <c r="K285" s="25"/>
      <c r="L285" s="26"/>
      <c r="M285" s="9"/>
      <c r="N285" s="9"/>
      <c r="O285" s="4"/>
      <c r="P285" s="4"/>
      <c r="Q285" s="4"/>
      <c r="R285" s="4"/>
      <c r="S285" s="4"/>
      <c r="T285" s="4"/>
      <c r="AV285" s="27"/>
      <c r="AW285" s="4"/>
    </row>
    <row r="286" spans="5:49" ht="15.75" customHeight="1">
      <c r="E286" s="23"/>
      <c r="F286" s="23"/>
      <c r="I286" s="4"/>
      <c r="J286" s="24"/>
      <c r="K286" s="25"/>
      <c r="L286" s="26"/>
      <c r="M286" s="9"/>
      <c r="N286" s="9"/>
      <c r="O286" s="4"/>
      <c r="P286" s="4"/>
      <c r="Q286" s="4"/>
      <c r="R286" s="4"/>
      <c r="S286" s="4"/>
      <c r="T286" s="4"/>
      <c r="AV286" s="27"/>
      <c r="AW286" s="4"/>
    </row>
    <row r="287" spans="5:49" ht="15.75" customHeight="1">
      <c r="E287" s="23"/>
      <c r="F287" s="23"/>
      <c r="I287" s="4"/>
      <c r="J287" s="24"/>
      <c r="K287" s="25"/>
      <c r="L287" s="26"/>
      <c r="M287" s="9"/>
      <c r="N287" s="9"/>
      <c r="O287" s="4"/>
      <c r="P287" s="4"/>
      <c r="Q287" s="4"/>
      <c r="R287" s="4"/>
      <c r="S287" s="4"/>
      <c r="T287" s="4"/>
      <c r="AV287" s="27"/>
      <c r="AW287" s="4"/>
    </row>
    <row r="288" spans="5:49" ht="15.75" customHeight="1">
      <c r="E288" s="23"/>
      <c r="F288" s="23"/>
      <c r="I288" s="4"/>
      <c r="J288" s="24"/>
      <c r="K288" s="25"/>
      <c r="L288" s="26"/>
      <c r="M288" s="9"/>
      <c r="N288" s="9"/>
      <c r="O288" s="4"/>
      <c r="P288" s="4"/>
      <c r="Q288" s="4"/>
      <c r="R288" s="4"/>
      <c r="S288" s="4"/>
      <c r="T288" s="4"/>
      <c r="AV288" s="27"/>
      <c r="AW288" s="4"/>
    </row>
    <row r="289" spans="5:49" ht="15.75" customHeight="1">
      <c r="E289" s="23"/>
      <c r="F289" s="23"/>
      <c r="I289" s="4"/>
      <c r="J289" s="24"/>
      <c r="K289" s="25"/>
      <c r="L289" s="26"/>
      <c r="M289" s="9"/>
      <c r="N289" s="9"/>
      <c r="O289" s="4"/>
      <c r="P289" s="4"/>
      <c r="Q289" s="4"/>
      <c r="R289" s="4"/>
      <c r="S289" s="4"/>
      <c r="T289" s="4"/>
      <c r="AV289" s="27"/>
      <c r="AW289" s="4"/>
    </row>
    <row r="290" spans="5:49" ht="15.75" customHeight="1">
      <c r="E290" s="23"/>
      <c r="F290" s="23"/>
      <c r="I290" s="4"/>
      <c r="J290" s="24"/>
      <c r="K290" s="25"/>
      <c r="L290" s="26"/>
      <c r="M290" s="9"/>
      <c r="N290" s="9"/>
      <c r="O290" s="4"/>
      <c r="P290" s="4"/>
      <c r="Q290" s="4"/>
      <c r="R290" s="4"/>
      <c r="S290" s="4"/>
      <c r="T290" s="4"/>
      <c r="AV290" s="27"/>
      <c r="AW290" s="4"/>
    </row>
    <row r="291" spans="5:49" ht="15.75" customHeight="1">
      <c r="E291" s="23"/>
      <c r="F291" s="23"/>
      <c r="I291" s="4"/>
      <c r="J291" s="24"/>
      <c r="K291" s="25"/>
      <c r="L291" s="26"/>
      <c r="M291" s="9"/>
      <c r="N291" s="9"/>
      <c r="O291" s="4"/>
      <c r="P291" s="4"/>
      <c r="Q291" s="4"/>
      <c r="R291" s="4"/>
      <c r="S291" s="4"/>
      <c r="T291" s="4"/>
      <c r="AV291" s="27"/>
      <c r="AW291" s="4"/>
    </row>
    <row r="292" spans="5:49" ht="15.75" customHeight="1">
      <c r="E292" s="23"/>
      <c r="F292" s="23"/>
      <c r="I292" s="4"/>
      <c r="J292" s="24"/>
      <c r="K292" s="25"/>
      <c r="L292" s="26"/>
      <c r="M292" s="9"/>
      <c r="N292" s="9"/>
      <c r="O292" s="4"/>
      <c r="P292" s="4"/>
      <c r="Q292" s="4"/>
      <c r="R292" s="4"/>
      <c r="S292" s="4"/>
      <c r="T292" s="4"/>
      <c r="AV292" s="27"/>
      <c r="AW292" s="4"/>
    </row>
    <row r="293" spans="5:49" ht="15.75" customHeight="1">
      <c r="E293" s="23"/>
      <c r="F293" s="23"/>
      <c r="I293" s="4"/>
      <c r="J293" s="24"/>
      <c r="K293" s="25"/>
      <c r="L293" s="26"/>
      <c r="M293" s="9"/>
      <c r="N293" s="9"/>
      <c r="O293" s="4"/>
      <c r="P293" s="4"/>
      <c r="Q293" s="4"/>
      <c r="R293" s="4"/>
      <c r="S293" s="4"/>
      <c r="T293" s="4"/>
      <c r="AV293" s="27"/>
      <c r="AW293" s="4"/>
    </row>
    <row r="294" spans="5:49" ht="15.75" customHeight="1">
      <c r="E294" s="23"/>
      <c r="F294" s="23"/>
      <c r="I294" s="4"/>
      <c r="J294" s="24"/>
      <c r="K294" s="25"/>
      <c r="L294" s="26"/>
      <c r="M294" s="9"/>
      <c r="N294" s="9"/>
      <c r="O294" s="4"/>
      <c r="P294" s="4"/>
      <c r="Q294" s="4"/>
      <c r="R294" s="4"/>
      <c r="S294" s="4"/>
      <c r="T294" s="4"/>
      <c r="AV294" s="27"/>
      <c r="AW294" s="4"/>
    </row>
    <row r="295" spans="5:49" ht="15.75" customHeight="1">
      <c r="E295" s="23"/>
      <c r="F295" s="23"/>
      <c r="I295" s="4"/>
      <c r="J295" s="24"/>
      <c r="K295" s="25"/>
      <c r="L295" s="26"/>
      <c r="M295" s="9"/>
      <c r="N295" s="9"/>
      <c r="O295" s="4"/>
      <c r="P295" s="4"/>
      <c r="Q295" s="4"/>
      <c r="R295" s="4"/>
      <c r="S295" s="4"/>
      <c r="T295" s="4"/>
      <c r="AV295" s="27"/>
      <c r="AW295" s="4"/>
    </row>
    <row r="296" spans="5:49" ht="15.75" customHeight="1">
      <c r="E296" s="23"/>
      <c r="F296" s="23"/>
      <c r="I296" s="4"/>
      <c r="J296" s="24"/>
      <c r="K296" s="25"/>
      <c r="L296" s="26"/>
      <c r="M296" s="9"/>
      <c r="N296" s="9"/>
      <c r="O296" s="4"/>
      <c r="P296" s="4"/>
      <c r="Q296" s="4"/>
      <c r="R296" s="4"/>
      <c r="S296" s="4"/>
      <c r="T296" s="4"/>
      <c r="AV296" s="27"/>
      <c r="AW296" s="4"/>
    </row>
    <row r="297" spans="5:49" ht="15.75" customHeight="1">
      <c r="E297" s="23"/>
      <c r="F297" s="23"/>
      <c r="I297" s="4"/>
      <c r="J297" s="24"/>
      <c r="K297" s="25"/>
      <c r="L297" s="26"/>
      <c r="M297" s="9"/>
      <c r="N297" s="9"/>
      <c r="O297" s="4"/>
      <c r="P297" s="4"/>
      <c r="Q297" s="4"/>
      <c r="R297" s="4"/>
      <c r="S297" s="4"/>
      <c r="T297" s="4"/>
      <c r="AV297" s="27"/>
      <c r="AW297" s="4"/>
    </row>
    <row r="298" spans="5:49" ht="15.75" customHeight="1">
      <c r="E298" s="23"/>
      <c r="F298" s="23"/>
      <c r="I298" s="4"/>
      <c r="J298" s="24"/>
      <c r="K298" s="25"/>
      <c r="L298" s="26"/>
      <c r="M298" s="9"/>
      <c r="N298" s="9"/>
      <c r="O298" s="4"/>
      <c r="P298" s="4"/>
      <c r="Q298" s="4"/>
      <c r="R298" s="4"/>
      <c r="S298" s="4"/>
      <c r="T298" s="4"/>
      <c r="AV298" s="27"/>
      <c r="AW298" s="4"/>
    </row>
    <row r="299" spans="5:49" ht="15.75" customHeight="1">
      <c r="E299" s="23"/>
      <c r="F299" s="23"/>
      <c r="I299" s="4"/>
      <c r="J299" s="24"/>
      <c r="K299" s="25"/>
      <c r="L299" s="26"/>
      <c r="M299" s="9"/>
      <c r="N299" s="9"/>
      <c r="O299" s="4"/>
      <c r="P299" s="4"/>
      <c r="Q299" s="4"/>
      <c r="R299" s="4"/>
      <c r="S299" s="4"/>
      <c r="T299" s="4"/>
      <c r="AV299" s="27"/>
      <c r="AW299" s="4"/>
    </row>
    <row r="300" spans="5:49" ht="15.75" customHeight="1">
      <c r="E300" s="23"/>
      <c r="F300" s="23"/>
      <c r="I300" s="4"/>
      <c r="J300" s="24"/>
      <c r="K300" s="25"/>
      <c r="L300" s="26"/>
      <c r="M300" s="9"/>
      <c r="N300" s="9"/>
      <c r="O300" s="4"/>
      <c r="P300" s="4"/>
      <c r="Q300" s="4"/>
      <c r="R300" s="4"/>
      <c r="S300" s="4"/>
      <c r="T300" s="4"/>
      <c r="AV300" s="27"/>
      <c r="AW300" s="4"/>
    </row>
    <row r="301" spans="5:49" ht="15.75" customHeight="1">
      <c r="E301" s="23"/>
      <c r="F301" s="23"/>
      <c r="I301" s="4"/>
      <c r="J301" s="24"/>
      <c r="K301" s="25"/>
      <c r="L301" s="26"/>
      <c r="M301" s="9"/>
      <c r="N301" s="9"/>
      <c r="O301" s="4"/>
      <c r="P301" s="4"/>
      <c r="Q301" s="4"/>
      <c r="R301" s="4"/>
      <c r="S301" s="4"/>
      <c r="T301" s="4"/>
      <c r="AV301" s="27"/>
      <c r="AW301" s="4"/>
    </row>
    <row r="302" spans="5:49" ht="15.75" customHeight="1">
      <c r="E302" s="23"/>
      <c r="F302" s="23"/>
      <c r="I302" s="4"/>
      <c r="J302" s="24"/>
      <c r="K302" s="25"/>
      <c r="L302" s="26"/>
      <c r="M302" s="9"/>
      <c r="N302" s="9"/>
      <c r="O302" s="4"/>
      <c r="P302" s="4"/>
      <c r="Q302" s="4"/>
      <c r="R302" s="4"/>
      <c r="S302" s="4"/>
      <c r="T302" s="4"/>
      <c r="AV302" s="27"/>
      <c r="AW302" s="4"/>
    </row>
    <row r="303" spans="5:49" ht="15.75" customHeight="1">
      <c r="E303" s="23"/>
      <c r="F303" s="23"/>
      <c r="I303" s="4"/>
      <c r="J303" s="24"/>
      <c r="K303" s="25"/>
      <c r="L303" s="26"/>
      <c r="M303" s="9"/>
      <c r="N303" s="9"/>
      <c r="O303" s="4"/>
      <c r="P303" s="4"/>
      <c r="Q303" s="4"/>
      <c r="R303" s="4"/>
      <c r="S303" s="4"/>
      <c r="T303" s="4"/>
      <c r="AV303" s="27"/>
      <c r="AW303" s="4"/>
    </row>
    <row r="304" spans="5:49" ht="15.75" customHeight="1">
      <c r="E304" s="23"/>
      <c r="F304" s="23"/>
      <c r="I304" s="4"/>
      <c r="J304" s="24"/>
      <c r="K304" s="25"/>
      <c r="L304" s="26"/>
      <c r="M304" s="9"/>
      <c r="N304" s="9"/>
      <c r="O304" s="4"/>
      <c r="P304" s="4"/>
      <c r="Q304" s="4"/>
      <c r="R304" s="4"/>
      <c r="S304" s="4"/>
      <c r="T304" s="4"/>
      <c r="AV304" s="27"/>
      <c r="AW304" s="4"/>
    </row>
    <row r="305" spans="5:49" ht="15.75" customHeight="1">
      <c r="E305" s="23"/>
      <c r="F305" s="23"/>
      <c r="I305" s="4"/>
      <c r="J305" s="24"/>
      <c r="K305" s="25"/>
      <c r="L305" s="26"/>
      <c r="M305" s="9"/>
      <c r="N305" s="9"/>
      <c r="O305" s="4"/>
      <c r="P305" s="4"/>
      <c r="Q305" s="4"/>
      <c r="R305" s="4"/>
      <c r="S305" s="4"/>
      <c r="T305" s="4"/>
      <c r="AV305" s="27"/>
      <c r="AW305" s="4"/>
    </row>
    <row r="306" spans="5:49" ht="15.75" customHeight="1">
      <c r="E306" s="23"/>
      <c r="F306" s="23"/>
      <c r="I306" s="4"/>
      <c r="J306" s="24"/>
      <c r="K306" s="25"/>
      <c r="L306" s="26"/>
      <c r="M306" s="9"/>
      <c r="N306" s="9"/>
      <c r="O306" s="4"/>
      <c r="P306" s="4"/>
      <c r="Q306" s="4"/>
      <c r="R306" s="4"/>
      <c r="S306" s="4"/>
      <c r="T306" s="4"/>
      <c r="AV306" s="27"/>
      <c r="AW306" s="4"/>
    </row>
    <row r="307" spans="5:49" ht="15.75" customHeight="1">
      <c r="E307" s="23"/>
      <c r="F307" s="23"/>
      <c r="I307" s="4"/>
      <c r="J307" s="24"/>
      <c r="K307" s="25"/>
      <c r="L307" s="26"/>
      <c r="M307" s="9"/>
      <c r="N307" s="9"/>
      <c r="O307" s="4"/>
      <c r="P307" s="4"/>
      <c r="Q307" s="4"/>
      <c r="R307" s="4"/>
      <c r="S307" s="4"/>
      <c r="T307" s="4"/>
      <c r="AV307" s="27"/>
      <c r="AW307" s="4"/>
    </row>
    <row r="308" spans="5:49" ht="15.75" customHeight="1">
      <c r="E308" s="23"/>
      <c r="F308" s="23"/>
      <c r="I308" s="4"/>
      <c r="J308" s="24"/>
      <c r="K308" s="25"/>
      <c r="L308" s="26"/>
      <c r="M308" s="9"/>
      <c r="N308" s="9"/>
      <c r="O308" s="4"/>
      <c r="P308" s="4"/>
      <c r="Q308" s="4"/>
      <c r="R308" s="4"/>
      <c r="S308" s="4"/>
      <c r="T308" s="4"/>
      <c r="AV308" s="27"/>
      <c r="AW308" s="4"/>
    </row>
    <row r="309" spans="5:49" ht="15.75" customHeight="1">
      <c r="E309" s="23"/>
      <c r="F309" s="23"/>
      <c r="I309" s="4"/>
      <c r="J309" s="24"/>
      <c r="K309" s="25"/>
      <c r="L309" s="26"/>
      <c r="M309" s="9"/>
      <c r="N309" s="9"/>
      <c r="O309" s="4"/>
      <c r="P309" s="4"/>
      <c r="Q309" s="4"/>
      <c r="R309" s="4"/>
      <c r="S309" s="4"/>
      <c r="T309" s="4"/>
      <c r="AV309" s="27"/>
      <c r="AW309" s="4"/>
    </row>
    <row r="310" spans="5:49" ht="15.75" customHeight="1">
      <c r="E310" s="23"/>
      <c r="F310" s="23"/>
      <c r="I310" s="4"/>
      <c r="J310" s="24"/>
      <c r="K310" s="25"/>
      <c r="L310" s="26"/>
      <c r="M310" s="9"/>
      <c r="N310" s="9"/>
      <c r="O310" s="4"/>
      <c r="P310" s="4"/>
      <c r="Q310" s="4"/>
      <c r="R310" s="4"/>
      <c r="S310" s="4"/>
      <c r="T310" s="4"/>
      <c r="AV310" s="27"/>
      <c r="AW310" s="4"/>
    </row>
    <row r="311" spans="5:49" ht="15.75" customHeight="1">
      <c r="E311" s="23"/>
      <c r="F311" s="23"/>
      <c r="I311" s="4"/>
      <c r="J311" s="24"/>
      <c r="K311" s="25"/>
      <c r="L311" s="26"/>
      <c r="M311" s="9"/>
      <c r="N311" s="9"/>
      <c r="O311" s="4"/>
      <c r="P311" s="4"/>
      <c r="Q311" s="4"/>
      <c r="R311" s="4"/>
      <c r="S311" s="4"/>
      <c r="T311" s="4"/>
      <c r="AV311" s="27"/>
      <c r="AW311" s="4"/>
    </row>
    <row r="312" spans="5:49" ht="15.75" customHeight="1">
      <c r="E312" s="23"/>
      <c r="F312" s="23"/>
      <c r="I312" s="4"/>
      <c r="J312" s="24"/>
      <c r="K312" s="25"/>
      <c r="L312" s="26"/>
      <c r="M312" s="9"/>
      <c r="N312" s="9"/>
      <c r="O312" s="4"/>
      <c r="P312" s="4"/>
      <c r="Q312" s="4"/>
      <c r="R312" s="4"/>
      <c r="S312" s="4"/>
      <c r="T312" s="4"/>
      <c r="AV312" s="27"/>
      <c r="AW312" s="4"/>
    </row>
    <row r="313" spans="5:49" ht="15.75" customHeight="1">
      <c r="E313" s="23"/>
      <c r="F313" s="23"/>
      <c r="I313" s="4"/>
      <c r="J313" s="24"/>
      <c r="K313" s="25"/>
      <c r="L313" s="26"/>
      <c r="M313" s="9"/>
      <c r="N313" s="9"/>
      <c r="O313" s="4"/>
      <c r="P313" s="4"/>
      <c r="Q313" s="4"/>
      <c r="R313" s="4"/>
      <c r="S313" s="4"/>
      <c r="T313" s="4"/>
      <c r="AV313" s="27"/>
      <c r="AW313" s="4"/>
    </row>
    <row r="314" spans="5:49" ht="15.75" customHeight="1">
      <c r="E314" s="23"/>
      <c r="F314" s="23"/>
      <c r="I314" s="4"/>
      <c r="J314" s="24"/>
      <c r="K314" s="25"/>
      <c r="L314" s="26"/>
      <c r="M314" s="9"/>
      <c r="N314" s="9"/>
      <c r="O314" s="4"/>
      <c r="P314" s="4"/>
      <c r="Q314" s="4"/>
      <c r="R314" s="4"/>
      <c r="S314" s="4"/>
      <c r="T314" s="4"/>
      <c r="AV314" s="27"/>
      <c r="AW314" s="4"/>
    </row>
    <row r="315" spans="5:49" ht="15.75" customHeight="1">
      <c r="E315" s="23"/>
      <c r="F315" s="23"/>
      <c r="I315" s="4"/>
      <c r="J315" s="24"/>
      <c r="K315" s="25"/>
      <c r="L315" s="26"/>
      <c r="M315" s="9"/>
      <c r="N315" s="9"/>
      <c r="O315" s="4"/>
      <c r="P315" s="4"/>
      <c r="Q315" s="4"/>
      <c r="R315" s="4"/>
      <c r="S315" s="4"/>
      <c r="T315" s="4"/>
      <c r="AV315" s="27"/>
      <c r="AW315" s="4"/>
    </row>
    <row r="316" spans="5:49" ht="15.75" customHeight="1">
      <c r="E316" s="23"/>
      <c r="F316" s="23"/>
      <c r="I316" s="4"/>
      <c r="J316" s="24"/>
      <c r="K316" s="25"/>
      <c r="L316" s="26"/>
      <c r="M316" s="9"/>
      <c r="N316" s="9"/>
      <c r="O316" s="4"/>
      <c r="P316" s="4"/>
      <c r="Q316" s="4"/>
      <c r="R316" s="4"/>
      <c r="S316" s="4"/>
      <c r="T316" s="4"/>
      <c r="AV316" s="27"/>
      <c r="AW316" s="4"/>
    </row>
    <row r="317" spans="5:49" ht="15.75" customHeight="1">
      <c r="E317" s="23"/>
      <c r="F317" s="23"/>
      <c r="I317" s="4"/>
      <c r="J317" s="24"/>
      <c r="K317" s="25"/>
      <c r="L317" s="26"/>
      <c r="M317" s="9"/>
      <c r="N317" s="9"/>
      <c r="O317" s="4"/>
      <c r="P317" s="4"/>
      <c r="Q317" s="4"/>
      <c r="R317" s="4"/>
      <c r="S317" s="4"/>
      <c r="T317" s="4"/>
      <c r="AV317" s="27"/>
      <c r="AW317" s="4"/>
    </row>
    <row r="318" spans="5:49" ht="15.75" customHeight="1">
      <c r="E318" s="23"/>
      <c r="F318" s="23"/>
      <c r="I318" s="4"/>
      <c r="J318" s="24"/>
      <c r="K318" s="25"/>
      <c r="L318" s="26"/>
      <c r="M318" s="9"/>
      <c r="N318" s="9"/>
      <c r="O318" s="4"/>
      <c r="P318" s="4"/>
      <c r="Q318" s="4"/>
      <c r="R318" s="4"/>
      <c r="S318" s="4"/>
      <c r="T318" s="4"/>
      <c r="AV318" s="27"/>
      <c r="AW318" s="4"/>
    </row>
    <row r="319" spans="5:49" ht="15.75" customHeight="1">
      <c r="E319" s="23"/>
      <c r="F319" s="23"/>
      <c r="I319" s="4"/>
      <c r="J319" s="24"/>
      <c r="K319" s="25"/>
      <c r="L319" s="26"/>
      <c r="M319" s="9"/>
      <c r="N319" s="9"/>
      <c r="O319" s="4"/>
      <c r="P319" s="4"/>
      <c r="Q319" s="4"/>
      <c r="R319" s="4"/>
      <c r="S319" s="4"/>
      <c r="T319" s="4"/>
      <c r="AV319" s="27"/>
      <c r="AW319" s="4"/>
    </row>
    <row r="320" spans="5:49" ht="15.75" customHeight="1">
      <c r="E320" s="23"/>
      <c r="F320" s="23"/>
      <c r="I320" s="4"/>
      <c r="J320" s="24"/>
      <c r="K320" s="25"/>
      <c r="L320" s="26"/>
      <c r="M320" s="9"/>
      <c r="N320" s="9"/>
      <c r="O320" s="4"/>
      <c r="P320" s="4"/>
      <c r="Q320" s="4"/>
      <c r="R320" s="4"/>
      <c r="S320" s="4"/>
      <c r="T320" s="4"/>
      <c r="AV320" s="27"/>
      <c r="AW320" s="4"/>
    </row>
    <row r="321" spans="5:49" ht="15.75" customHeight="1">
      <c r="E321" s="23"/>
      <c r="F321" s="23"/>
      <c r="I321" s="4"/>
      <c r="J321" s="24"/>
      <c r="K321" s="25"/>
      <c r="L321" s="26"/>
      <c r="M321" s="9"/>
      <c r="N321" s="9"/>
      <c r="O321" s="4"/>
      <c r="P321" s="4"/>
      <c r="Q321" s="4"/>
      <c r="R321" s="4"/>
      <c r="S321" s="4"/>
      <c r="T321" s="4"/>
      <c r="AV321" s="27"/>
      <c r="AW321" s="4"/>
    </row>
    <row r="322" spans="5:49" ht="15.75" customHeight="1">
      <c r="E322" s="23"/>
      <c r="F322" s="23"/>
      <c r="I322" s="4"/>
      <c r="J322" s="24"/>
      <c r="K322" s="25"/>
      <c r="L322" s="26"/>
      <c r="M322" s="9"/>
      <c r="N322" s="9"/>
      <c r="O322" s="4"/>
      <c r="P322" s="4"/>
      <c r="Q322" s="4"/>
      <c r="R322" s="4"/>
      <c r="S322" s="4"/>
      <c r="T322" s="4"/>
      <c r="AV322" s="27"/>
      <c r="AW322" s="4"/>
    </row>
    <row r="323" spans="5:49" ht="15.75" customHeight="1">
      <c r="E323" s="23"/>
      <c r="F323" s="23"/>
      <c r="I323" s="4"/>
      <c r="J323" s="24"/>
      <c r="K323" s="25"/>
      <c r="L323" s="26"/>
      <c r="M323" s="9"/>
      <c r="N323" s="9"/>
      <c r="O323" s="4"/>
      <c r="P323" s="4"/>
      <c r="Q323" s="4"/>
      <c r="R323" s="4"/>
      <c r="S323" s="4"/>
      <c r="T323" s="4"/>
      <c r="AV323" s="27"/>
      <c r="AW323" s="4"/>
    </row>
    <row r="324" spans="5:49" ht="15.75" customHeight="1">
      <c r="E324" s="23"/>
      <c r="F324" s="23"/>
      <c r="I324" s="4"/>
      <c r="J324" s="24"/>
      <c r="K324" s="25"/>
      <c r="L324" s="26"/>
      <c r="M324" s="9"/>
      <c r="N324" s="9"/>
      <c r="O324" s="4"/>
      <c r="P324" s="4"/>
      <c r="Q324" s="4"/>
      <c r="R324" s="4"/>
      <c r="S324" s="4"/>
      <c r="T324" s="4"/>
      <c r="AV324" s="27"/>
      <c r="AW324" s="4"/>
    </row>
    <row r="325" spans="5:49" ht="15.75" customHeight="1">
      <c r="E325" s="23"/>
      <c r="F325" s="23"/>
      <c r="I325" s="4"/>
      <c r="J325" s="24"/>
      <c r="K325" s="25"/>
      <c r="L325" s="26"/>
      <c r="M325" s="9"/>
      <c r="N325" s="9"/>
      <c r="O325" s="4"/>
      <c r="P325" s="4"/>
      <c r="Q325" s="4"/>
      <c r="R325" s="4"/>
      <c r="S325" s="4"/>
      <c r="T325" s="4"/>
      <c r="AV325" s="27"/>
      <c r="AW325" s="4"/>
    </row>
    <row r="326" spans="5:49" ht="15.75" customHeight="1">
      <c r="E326" s="23"/>
      <c r="F326" s="23"/>
      <c r="I326" s="4"/>
      <c r="J326" s="24"/>
      <c r="K326" s="25"/>
      <c r="L326" s="26"/>
      <c r="M326" s="9"/>
      <c r="N326" s="9"/>
      <c r="O326" s="4"/>
      <c r="P326" s="4"/>
      <c r="Q326" s="4"/>
      <c r="R326" s="4"/>
      <c r="S326" s="4"/>
      <c r="T326" s="4"/>
      <c r="AV326" s="27"/>
      <c r="AW326" s="4"/>
    </row>
    <row r="327" spans="5:49" ht="15.75" customHeight="1">
      <c r="E327" s="23"/>
      <c r="F327" s="23"/>
      <c r="I327" s="4"/>
      <c r="J327" s="24"/>
      <c r="K327" s="25"/>
      <c r="L327" s="26"/>
      <c r="M327" s="9"/>
      <c r="N327" s="9"/>
      <c r="O327" s="4"/>
      <c r="P327" s="4"/>
      <c r="Q327" s="4"/>
      <c r="R327" s="4"/>
      <c r="S327" s="4"/>
      <c r="T327" s="4"/>
      <c r="AV327" s="27"/>
      <c r="AW327" s="4"/>
    </row>
    <row r="328" spans="5:49" ht="15.75" customHeight="1">
      <c r="E328" s="23"/>
      <c r="F328" s="23"/>
      <c r="I328" s="4"/>
      <c r="J328" s="24"/>
      <c r="K328" s="25"/>
      <c r="L328" s="26"/>
      <c r="M328" s="9"/>
      <c r="N328" s="9"/>
      <c r="O328" s="4"/>
      <c r="P328" s="4"/>
      <c r="Q328" s="4"/>
      <c r="R328" s="4"/>
      <c r="S328" s="4"/>
      <c r="T328" s="4"/>
      <c r="AV328" s="27"/>
      <c r="AW328" s="4"/>
    </row>
    <row r="329" spans="5:49" ht="15.75" customHeight="1">
      <c r="E329" s="23"/>
      <c r="F329" s="23"/>
      <c r="I329" s="4"/>
      <c r="J329" s="24"/>
      <c r="K329" s="25"/>
      <c r="L329" s="26"/>
      <c r="M329" s="9"/>
      <c r="N329" s="9"/>
      <c r="O329" s="4"/>
      <c r="P329" s="4"/>
      <c r="Q329" s="4"/>
      <c r="R329" s="4"/>
      <c r="S329" s="4"/>
      <c r="T329" s="4"/>
      <c r="AV329" s="27"/>
      <c r="AW329" s="4"/>
    </row>
    <row r="330" spans="5:49" ht="15.75" customHeight="1">
      <c r="E330" s="23"/>
      <c r="F330" s="23"/>
      <c r="I330" s="4"/>
      <c r="J330" s="24"/>
      <c r="K330" s="25"/>
      <c r="L330" s="26"/>
      <c r="M330" s="9"/>
      <c r="N330" s="9"/>
      <c r="O330" s="4"/>
      <c r="P330" s="4"/>
      <c r="Q330" s="4"/>
      <c r="R330" s="4"/>
      <c r="S330" s="4"/>
      <c r="T330" s="4"/>
      <c r="AV330" s="27"/>
      <c r="AW330" s="4"/>
    </row>
    <row r="331" spans="5:49" ht="15.75" customHeight="1">
      <c r="E331" s="23"/>
      <c r="F331" s="23"/>
      <c r="I331" s="4"/>
      <c r="J331" s="24"/>
      <c r="K331" s="25"/>
      <c r="L331" s="26"/>
      <c r="M331" s="9"/>
      <c r="N331" s="9"/>
      <c r="O331" s="4"/>
      <c r="P331" s="4"/>
      <c r="Q331" s="4"/>
      <c r="R331" s="4"/>
      <c r="S331" s="4"/>
      <c r="T331" s="4"/>
      <c r="AV331" s="27"/>
      <c r="AW331" s="4"/>
    </row>
    <row r="332" spans="5:49" ht="15.75" customHeight="1">
      <c r="E332" s="23"/>
      <c r="F332" s="23"/>
      <c r="I332" s="4"/>
      <c r="J332" s="24"/>
      <c r="K332" s="25"/>
      <c r="L332" s="26"/>
      <c r="M332" s="9"/>
      <c r="N332" s="9"/>
      <c r="O332" s="4"/>
      <c r="P332" s="4"/>
      <c r="Q332" s="4"/>
      <c r="R332" s="4"/>
      <c r="S332" s="4"/>
      <c r="T332" s="4"/>
      <c r="AV332" s="27"/>
      <c r="AW332" s="4"/>
    </row>
    <row r="333" spans="5:49" ht="15.75" customHeight="1">
      <c r="E333" s="23"/>
      <c r="F333" s="23"/>
      <c r="I333" s="4"/>
      <c r="J333" s="24"/>
      <c r="K333" s="25"/>
      <c r="L333" s="26"/>
      <c r="M333" s="9"/>
      <c r="N333" s="9"/>
      <c r="O333" s="4"/>
      <c r="P333" s="4"/>
      <c r="Q333" s="4"/>
      <c r="R333" s="4"/>
      <c r="S333" s="4"/>
      <c r="T333" s="4"/>
      <c r="AV333" s="27"/>
      <c r="AW333" s="4"/>
    </row>
    <row r="334" spans="5:49" ht="15.75" customHeight="1">
      <c r="E334" s="23"/>
      <c r="F334" s="23"/>
      <c r="I334" s="4"/>
      <c r="J334" s="24"/>
      <c r="K334" s="25"/>
      <c r="L334" s="26"/>
      <c r="M334" s="9"/>
      <c r="N334" s="9"/>
      <c r="O334" s="4"/>
      <c r="P334" s="4"/>
      <c r="Q334" s="4"/>
      <c r="R334" s="4"/>
      <c r="S334" s="4"/>
      <c r="T334" s="4"/>
      <c r="AV334" s="27"/>
      <c r="AW334" s="4"/>
    </row>
    <row r="335" spans="5:49" ht="15.75" customHeight="1">
      <c r="E335" s="23"/>
      <c r="F335" s="23"/>
      <c r="I335" s="4"/>
      <c r="J335" s="24"/>
      <c r="K335" s="25"/>
      <c r="L335" s="26"/>
      <c r="M335" s="9"/>
      <c r="N335" s="9"/>
      <c r="O335" s="4"/>
      <c r="P335" s="4"/>
      <c r="Q335" s="4"/>
      <c r="R335" s="4"/>
      <c r="S335" s="4"/>
      <c r="T335" s="4"/>
      <c r="AV335" s="27"/>
      <c r="AW335" s="4"/>
    </row>
    <row r="336" spans="5:49" ht="15.75" customHeight="1">
      <c r="E336" s="23"/>
      <c r="F336" s="23"/>
      <c r="I336" s="4"/>
      <c r="J336" s="24"/>
      <c r="K336" s="25"/>
      <c r="L336" s="26"/>
      <c r="M336" s="9"/>
      <c r="N336" s="9"/>
      <c r="O336" s="4"/>
      <c r="P336" s="4"/>
      <c r="Q336" s="4"/>
      <c r="R336" s="4"/>
      <c r="S336" s="4"/>
      <c r="T336" s="4"/>
      <c r="AV336" s="27"/>
      <c r="AW336" s="4"/>
    </row>
    <row r="337" spans="5:49" ht="15.75" customHeight="1">
      <c r="E337" s="23"/>
      <c r="F337" s="23"/>
      <c r="I337" s="4"/>
      <c r="J337" s="24"/>
      <c r="K337" s="25"/>
      <c r="L337" s="26"/>
      <c r="M337" s="9"/>
      <c r="N337" s="9"/>
      <c r="O337" s="4"/>
      <c r="P337" s="4"/>
      <c r="Q337" s="4"/>
      <c r="R337" s="4"/>
      <c r="S337" s="4"/>
      <c r="T337" s="4"/>
      <c r="AV337" s="27"/>
      <c r="AW337" s="4"/>
    </row>
    <row r="338" spans="5:49" ht="15.75" customHeight="1">
      <c r="E338" s="23"/>
      <c r="F338" s="23"/>
      <c r="I338" s="4"/>
      <c r="J338" s="24"/>
      <c r="K338" s="25"/>
      <c r="L338" s="26"/>
      <c r="M338" s="9"/>
      <c r="N338" s="9"/>
      <c r="O338" s="4"/>
      <c r="P338" s="4"/>
      <c r="Q338" s="4"/>
      <c r="R338" s="4"/>
      <c r="S338" s="4"/>
      <c r="T338" s="4"/>
      <c r="AV338" s="27"/>
      <c r="AW338" s="4"/>
    </row>
    <row r="339" spans="5:49" ht="15.75" customHeight="1">
      <c r="E339" s="23"/>
      <c r="F339" s="23"/>
      <c r="I339" s="4"/>
      <c r="J339" s="24"/>
      <c r="K339" s="25"/>
      <c r="L339" s="26"/>
      <c r="M339" s="9"/>
      <c r="N339" s="9"/>
      <c r="O339" s="4"/>
      <c r="P339" s="4"/>
      <c r="Q339" s="4"/>
      <c r="R339" s="4"/>
      <c r="S339" s="4"/>
      <c r="T339" s="4"/>
      <c r="AV339" s="27"/>
      <c r="AW339" s="4"/>
    </row>
    <row r="340" spans="5:49" ht="15.75" customHeight="1">
      <c r="E340" s="23"/>
      <c r="F340" s="23"/>
      <c r="I340" s="4"/>
      <c r="J340" s="24"/>
      <c r="K340" s="25"/>
      <c r="L340" s="26"/>
      <c r="M340" s="9"/>
      <c r="N340" s="9"/>
      <c r="O340" s="4"/>
      <c r="P340" s="4"/>
      <c r="Q340" s="4"/>
      <c r="R340" s="4"/>
      <c r="S340" s="4"/>
      <c r="T340" s="4"/>
      <c r="AV340" s="27"/>
      <c r="AW340" s="4"/>
    </row>
    <row r="341" spans="5:49" ht="15.75" customHeight="1">
      <c r="E341" s="23"/>
      <c r="F341" s="23"/>
      <c r="I341" s="4"/>
      <c r="J341" s="24"/>
      <c r="K341" s="25"/>
      <c r="L341" s="26"/>
      <c r="M341" s="9"/>
      <c r="N341" s="9"/>
      <c r="O341" s="4"/>
      <c r="P341" s="4"/>
      <c r="Q341" s="4"/>
      <c r="R341" s="4"/>
      <c r="S341" s="4"/>
      <c r="T341" s="4"/>
      <c r="AV341" s="27"/>
      <c r="AW341" s="4"/>
    </row>
    <row r="342" spans="5:49" ht="15.75" customHeight="1">
      <c r="E342" s="23"/>
      <c r="F342" s="23"/>
      <c r="I342" s="4"/>
      <c r="J342" s="24"/>
      <c r="K342" s="25"/>
      <c r="L342" s="26"/>
      <c r="M342" s="9"/>
      <c r="N342" s="9"/>
      <c r="O342" s="4"/>
      <c r="P342" s="4"/>
      <c r="Q342" s="4"/>
      <c r="R342" s="4"/>
      <c r="S342" s="4"/>
      <c r="T342" s="4"/>
      <c r="AV342" s="27"/>
      <c r="AW342" s="4"/>
    </row>
    <row r="343" spans="5:49" ht="15.75" customHeight="1">
      <c r="E343" s="23"/>
      <c r="F343" s="23"/>
      <c r="I343" s="4"/>
      <c r="J343" s="24"/>
      <c r="K343" s="25"/>
      <c r="L343" s="26"/>
      <c r="M343" s="9"/>
      <c r="N343" s="9"/>
      <c r="O343" s="4"/>
      <c r="P343" s="4"/>
      <c r="Q343" s="4"/>
      <c r="R343" s="4"/>
      <c r="S343" s="4"/>
      <c r="T343" s="4"/>
      <c r="AV343" s="27"/>
      <c r="AW343" s="4"/>
    </row>
    <row r="344" spans="5:49" ht="15.75" customHeight="1">
      <c r="E344" s="23"/>
      <c r="F344" s="23"/>
      <c r="I344" s="4"/>
      <c r="J344" s="24"/>
      <c r="K344" s="25"/>
      <c r="L344" s="26"/>
      <c r="M344" s="9"/>
      <c r="N344" s="9"/>
      <c r="O344" s="4"/>
      <c r="P344" s="4"/>
      <c r="Q344" s="4"/>
      <c r="R344" s="4"/>
      <c r="S344" s="4"/>
      <c r="T344" s="4"/>
      <c r="AV344" s="27"/>
      <c r="AW344" s="4"/>
    </row>
    <row r="345" spans="5:49" ht="15.75" customHeight="1">
      <c r="E345" s="23"/>
      <c r="F345" s="23"/>
      <c r="I345" s="4"/>
      <c r="J345" s="24"/>
      <c r="K345" s="25"/>
      <c r="L345" s="26"/>
      <c r="M345" s="9"/>
      <c r="N345" s="9"/>
      <c r="O345" s="4"/>
      <c r="P345" s="4"/>
      <c r="Q345" s="4"/>
      <c r="R345" s="4"/>
      <c r="S345" s="4"/>
      <c r="T345" s="4"/>
      <c r="AV345" s="27"/>
      <c r="AW345" s="4"/>
    </row>
    <row r="346" spans="5:49" ht="15.75" customHeight="1">
      <c r="E346" s="23"/>
      <c r="F346" s="23"/>
      <c r="I346" s="4"/>
      <c r="J346" s="24"/>
      <c r="K346" s="25"/>
      <c r="L346" s="26"/>
      <c r="M346" s="9"/>
      <c r="N346" s="9"/>
      <c r="O346" s="4"/>
      <c r="P346" s="4"/>
      <c r="Q346" s="4"/>
      <c r="R346" s="4"/>
      <c r="S346" s="4"/>
      <c r="T346" s="4"/>
      <c r="AV346" s="27"/>
      <c r="AW346" s="4"/>
    </row>
    <row r="347" spans="5:49" ht="15.75" customHeight="1">
      <c r="E347" s="23"/>
      <c r="F347" s="23"/>
      <c r="I347" s="4"/>
      <c r="J347" s="24"/>
      <c r="K347" s="25"/>
      <c r="L347" s="26"/>
      <c r="M347" s="9"/>
      <c r="N347" s="9"/>
      <c r="O347" s="4"/>
      <c r="P347" s="4"/>
      <c r="Q347" s="4"/>
      <c r="R347" s="4"/>
      <c r="S347" s="4"/>
      <c r="T347" s="4"/>
      <c r="AV347" s="27"/>
      <c r="AW347" s="4"/>
    </row>
    <row r="348" spans="5:49" ht="15.75" customHeight="1">
      <c r="E348" s="23"/>
      <c r="F348" s="23"/>
      <c r="I348" s="4"/>
      <c r="J348" s="24"/>
      <c r="K348" s="25"/>
      <c r="L348" s="26"/>
      <c r="M348" s="9"/>
      <c r="N348" s="9"/>
      <c r="O348" s="4"/>
      <c r="P348" s="4"/>
      <c r="Q348" s="4"/>
      <c r="R348" s="4"/>
      <c r="S348" s="4"/>
      <c r="T348" s="4"/>
      <c r="AV348" s="27"/>
      <c r="AW348" s="4"/>
    </row>
    <row r="349" spans="5:49" ht="15.75" customHeight="1">
      <c r="E349" s="23"/>
      <c r="F349" s="23"/>
      <c r="I349" s="4"/>
      <c r="J349" s="24"/>
      <c r="K349" s="25"/>
      <c r="L349" s="26"/>
      <c r="M349" s="9"/>
      <c r="N349" s="9"/>
      <c r="O349" s="4"/>
      <c r="P349" s="4"/>
      <c r="Q349" s="4"/>
      <c r="R349" s="4"/>
      <c r="S349" s="4"/>
      <c r="T349" s="4"/>
      <c r="AV349" s="27"/>
      <c r="AW349" s="4"/>
    </row>
    <row r="350" spans="5:49" ht="15.75" customHeight="1">
      <c r="E350" s="23"/>
      <c r="F350" s="23"/>
      <c r="I350" s="4"/>
      <c r="J350" s="24"/>
      <c r="K350" s="25"/>
      <c r="L350" s="26"/>
      <c r="M350" s="9"/>
      <c r="N350" s="9"/>
      <c r="O350" s="4"/>
      <c r="P350" s="4"/>
      <c r="Q350" s="4"/>
      <c r="R350" s="4"/>
      <c r="S350" s="4"/>
      <c r="T350" s="4"/>
      <c r="AV350" s="27"/>
      <c r="AW350" s="4"/>
    </row>
    <row r="351" spans="5:49" ht="15.75" customHeight="1">
      <c r="E351" s="23"/>
      <c r="F351" s="23"/>
      <c r="I351" s="4"/>
      <c r="J351" s="24"/>
      <c r="K351" s="25"/>
      <c r="L351" s="26"/>
      <c r="M351" s="9"/>
      <c r="N351" s="9"/>
      <c r="O351" s="4"/>
      <c r="P351" s="4"/>
      <c r="Q351" s="4"/>
      <c r="R351" s="4"/>
      <c r="S351" s="4"/>
      <c r="T351" s="4"/>
      <c r="AV351" s="27"/>
      <c r="AW351" s="4"/>
    </row>
    <row r="352" spans="5:49" ht="15.75" customHeight="1">
      <c r="E352" s="23"/>
      <c r="F352" s="23"/>
      <c r="I352" s="4"/>
      <c r="J352" s="24"/>
      <c r="K352" s="25"/>
      <c r="L352" s="26"/>
      <c r="M352" s="9"/>
      <c r="N352" s="9"/>
      <c r="O352" s="4"/>
      <c r="P352" s="4"/>
      <c r="Q352" s="4"/>
      <c r="R352" s="4"/>
      <c r="S352" s="4"/>
      <c r="T352" s="4"/>
      <c r="AV352" s="27"/>
      <c r="AW352" s="4"/>
    </row>
    <row r="353" spans="5:49" ht="15.75" customHeight="1">
      <c r="E353" s="23"/>
      <c r="F353" s="23"/>
      <c r="I353" s="4"/>
      <c r="J353" s="24"/>
      <c r="K353" s="25"/>
      <c r="L353" s="26"/>
      <c r="M353" s="9"/>
      <c r="N353" s="9"/>
      <c r="O353" s="4"/>
      <c r="P353" s="4"/>
      <c r="Q353" s="4"/>
      <c r="R353" s="4"/>
      <c r="S353" s="4"/>
      <c r="T353" s="4"/>
      <c r="AV353" s="27"/>
      <c r="AW353" s="4"/>
    </row>
    <row r="354" spans="5:49" ht="15.75" customHeight="1">
      <c r="E354" s="23"/>
      <c r="F354" s="23"/>
      <c r="I354" s="4"/>
      <c r="J354" s="24"/>
      <c r="K354" s="25"/>
      <c r="L354" s="26"/>
      <c r="M354" s="9"/>
      <c r="N354" s="9"/>
      <c r="O354" s="4"/>
      <c r="P354" s="4"/>
      <c r="Q354" s="4"/>
      <c r="R354" s="4"/>
      <c r="S354" s="4"/>
      <c r="T354" s="4"/>
      <c r="AV354" s="27"/>
      <c r="AW354" s="4"/>
    </row>
    <row r="355" spans="5:49" ht="15.75" customHeight="1">
      <c r="E355" s="23"/>
      <c r="F355" s="23"/>
      <c r="I355" s="4"/>
      <c r="J355" s="24"/>
      <c r="K355" s="25"/>
      <c r="L355" s="26"/>
      <c r="M355" s="9"/>
      <c r="N355" s="9"/>
      <c r="O355" s="4"/>
      <c r="P355" s="4"/>
      <c r="Q355" s="4"/>
      <c r="R355" s="4"/>
      <c r="S355" s="4"/>
      <c r="T355" s="4"/>
      <c r="AV355" s="27"/>
      <c r="AW355" s="4"/>
    </row>
    <row r="356" spans="5:49" ht="15.75" customHeight="1">
      <c r="E356" s="23"/>
      <c r="F356" s="23"/>
      <c r="I356" s="4"/>
      <c r="J356" s="24"/>
      <c r="K356" s="25"/>
      <c r="L356" s="26"/>
      <c r="M356" s="9"/>
      <c r="N356" s="9"/>
      <c r="O356" s="4"/>
      <c r="P356" s="4"/>
      <c r="Q356" s="4"/>
      <c r="R356" s="4"/>
      <c r="S356" s="4"/>
      <c r="T356" s="4"/>
      <c r="AV356" s="27"/>
      <c r="AW356" s="4"/>
    </row>
    <row r="357" spans="5:49" ht="15.75" customHeight="1">
      <c r="E357" s="23"/>
      <c r="F357" s="23"/>
      <c r="I357" s="4"/>
      <c r="J357" s="24"/>
      <c r="K357" s="25"/>
      <c r="L357" s="26"/>
      <c r="M357" s="9"/>
      <c r="N357" s="9"/>
      <c r="O357" s="4"/>
      <c r="P357" s="4"/>
      <c r="Q357" s="4"/>
      <c r="R357" s="4"/>
      <c r="S357" s="4"/>
      <c r="T357" s="4"/>
      <c r="AV357" s="27"/>
      <c r="AW357" s="4"/>
    </row>
    <row r="358" spans="5:49" ht="15.75" customHeight="1">
      <c r="E358" s="23"/>
      <c r="F358" s="23"/>
      <c r="I358" s="4"/>
      <c r="J358" s="24"/>
      <c r="K358" s="25"/>
      <c r="L358" s="26"/>
      <c r="M358" s="9"/>
      <c r="N358" s="9"/>
      <c r="O358" s="4"/>
      <c r="P358" s="4"/>
      <c r="Q358" s="4"/>
      <c r="R358" s="4"/>
      <c r="S358" s="4"/>
      <c r="T358" s="4"/>
      <c r="AV358" s="27"/>
      <c r="AW358" s="4"/>
    </row>
    <row r="359" spans="5:49" ht="15.75" customHeight="1">
      <c r="E359" s="23"/>
      <c r="F359" s="23"/>
      <c r="I359" s="4"/>
      <c r="J359" s="24"/>
      <c r="K359" s="25"/>
      <c r="L359" s="26"/>
      <c r="M359" s="9"/>
      <c r="N359" s="9"/>
      <c r="O359" s="4"/>
      <c r="P359" s="4"/>
      <c r="Q359" s="4"/>
      <c r="R359" s="4"/>
      <c r="S359" s="4"/>
      <c r="T359" s="4"/>
      <c r="AV359" s="27"/>
      <c r="AW359" s="4"/>
    </row>
    <row r="360" spans="5:49" ht="15.75" customHeight="1">
      <c r="E360" s="23"/>
      <c r="F360" s="23"/>
      <c r="I360" s="4"/>
      <c r="J360" s="24"/>
      <c r="K360" s="25"/>
      <c r="L360" s="26"/>
      <c r="M360" s="9"/>
      <c r="N360" s="9"/>
      <c r="O360" s="4"/>
      <c r="P360" s="4"/>
      <c r="Q360" s="4"/>
      <c r="R360" s="4"/>
      <c r="S360" s="4"/>
      <c r="T360" s="4"/>
      <c r="AV360" s="27"/>
      <c r="AW360" s="4"/>
    </row>
    <row r="361" spans="5:49" ht="15.75" customHeight="1">
      <c r="E361" s="23"/>
      <c r="F361" s="23"/>
      <c r="I361" s="4"/>
      <c r="J361" s="24"/>
      <c r="K361" s="25"/>
      <c r="L361" s="26"/>
      <c r="M361" s="9"/>
      <c r="N361" s="9"/>
      <c r="O361" s="4"/>
      <c r="P361" s="4"/>
      <c r="Q361" s="4"/>
      <c r="R361" s="4"/>
      <c r="S361" s="4"/>
      <c r="T361" s="4"/>
      <c r="AV361" s="27"/>
      <c r="AW361" s="4"/>
    </row>
    <row r="362" spans="5:49" ht="15.75" customHeight="1">
      <c r="E362" s="23"/>
      <c r="F362" s="23"/>
      <c r="I362" s="4"/>
      <c r="J362" s="24"/>
      <c r="K362" s="25"/>
      <c r="L362" s="26"/>
      <c r="M362" s="9"/>
      <c r="N362" s="9"/>
      <c r="O362" s="4"/>
      <c r="P362" s="4"/>
      <c r="Q362" s="4"/>
      <c r="R362" s="4"/>
      <c r="S362" s="4"/>
      <c r="T362" s="4"/>
      <c r="AV362" s="27"/>
      <c r="AW362" s="4"/>
    </row>
    <row r="363" spans="5:49" ht="15.75" customHeight="1">
      <c r="E363" s="23"/>
      <c r="F363" s="23"/>
      <c r="I363" s="4"/>
      <c r="J363" s="24"/>
      <c r="K363" s="25"/>
      <c r="L363" s="26"/>
      <c r="M363" s="9"/>
      <c r="N363" s="9"/>
      <c r="O363" s="4"/>
      <c r="P363" s="4"/>
      <c r="Q363" s="4"/>
      <c r="R363" s="4"/>
      <c r="S363" s="4"/>
      <c r="T363" s="4"/>
      <c r="AV363" s="27"/>
      <c r="AW363" s="4"/>
    </row>
    <row r="364" spans="5:49" ht="15.75" customHeight="1">
      <c r="E364" s="23"/>
      <c r="F364" s="23"/>
      <c r="I364" s="4"/>
      <c r="J364" s="24"/>
      <c r="K364" s="25"/>
      <c r="L364" s="26"/>
      <c r="M364" s="9"/>
      <c r="N364" s="9"/>
      <c r="O364" s="4"/>
      <c r="P364" s="4"/>
      <c r="Q364" s="4"/>
      <c r="R364" s="4"/>
      <c r="S364" s="4"/>
      <c r="T364" s="4"/>
      <c r="AV364" s="27"/>
      <c r="AW364" s="4"/>
    </row>
    <row r="365" spans="5:49" ht="15.75" customHeight="1">
      <c r="E365" s="23"/>
      <c r="F365" s="23"/>
      <c r="I365" s="4"/>
      <c r="J365" s="24"/>
      <c r="K365" s="25"/>
      <c r="L365" s="26"/>
      <c r="M365" s="9"/>
      <c r="N365" s="9"/>
      <c r="O365" s="4"/>
      <c r="P365" s="4"/>
      <c r="Q365" s="4"/>
      <c r="R365" s="4"/>
      <c r="S365" s="4"/>
      <c r="T365" s="4"/>
      <c r="AV365" s="27"/>
      <c r="AW365" s="4"/>
    </row>
    <row r="366" spans="5:49" ht="15.75" customHeight="1">
      <c r="E366" s="23"/>
      <c r="F366" s="23"/>
      <c r="I366" s="4"/>
      <c r="J366" s="24"/>
      <c r="K366" s="25"/>
      <c r="L366" s="26"/>
      <c r="M366" s="9"/>
      <c r="N366" s="9"/>
      <c r="O366" s="4"/>
      <c r="P366" s="4"/>
      <c r="Q366" s="4"/>
      <c r="R366" s="4"/>
      <c r="S366" s="4"/>
      <c r="T366" s="4"/>
      <c r="AV366" s="27"/>
      <c r="AW366" s="4"/>
    </row>
    <row r="367" spans="5:49" ht="15.75" customHeight="1">
      <c r="E367" s="23"/>
      <c r="F367" s="23"/>
      <c r="I367" s="4"/>
      <c r="J367" s="24"/>
      <c r="K367" s="25"/>
      <c r="L367" s="26"/>
      <c r="M367" s="9"/>
      <c r="N367" s="9"/>
      <c r="O367" s="4"/>
      <c r="P367" s="4"/>
      <c r="Q367" s="4"/>
      <c r="R367" s="4"/>
      <c r="S367" s="4"/>
      <c r="T367" s="4"/>
      <c r="AV367" s="27"/>
      <c r="AW367" s="4"/>
    </row>
    <row r="368" spans="5:49" ht="15.75" customHeight="1">
      <c r="E368" s="23"/>
      <c r="F368" s="23"/>
      <c r="I368" s="4"/>
      <c r="J368" s="24"/>
      <c r="K368" s="25"/>
      <c r="L368" s="26"/>
      <c r="M368" s="9"/>
      <c r="N368" s="9"/>
      <c r="O368" s="4"/>
      <c r="P368" s="4"/>
      <c r="Q368" s="4"/>
      <c r="R368" s="4"/>
      <c r="S368" s="4"/>
      <c r="T368" s="4"/>
      <c r="AV368" s="27"/>
      <c r="AW368" s="4"/>
    </row>
    <row r="369" spans="5:49" ht="15.75" customHeight="1">
      <c r="E369" s="23"/>
      <c r="F369" s="23"/>
      <c r="I369" s="4"/>
      <c r="J369" s="24"/>
      <c r="K369" s="25"/>
      <c r="L369" s="26"/>
      <c r="M369" s="9"/>
      <c r="N369" s="9"/>
      <c r="O369" s="4"/>
      <c r="P369" s="4"/>
      <c r="Q369" s="4"/>
      <c r="R369" s="4"/>
      <c r="S369" s="4"/>
      <c r="T369" s="4"/>
      <c r="AV369" s="27"/>
      <c r="AW369" s="4"/>
    </row>
    <row r="370" spans="5:49" ht="15.75" customHeight="1">
      <c r="E370" s="23"/>
      <c r="F370" s="23"/>
      <c r="I370" s="4"/>
      <c r="J370" s="24"/>
      <c r="K370" s="25"/>
      <c r="L370" s="26"/>
      <c r="M370" s="9"/>
      <c r="N370" s="9"/>
      <c r="O370" s="4"/>
      <c r="P370" s="4"/>
      <c r="Q370" s="4"/>
      <c r="R370" s="4"/>
      <c r="S370" s="4"/>
      <c r="T370" s="4"/>
      <c r="AV370" s="27"/>
      <c r="AW370" s="4"/>
    </row>
    <row r="371" spans="5:49" ht="15.75" customHeight="1">
      <c r="E371" s="23"/>
      <c r="F371" s="23"/>
      <c r="I371" s="4"/>
      <c r="J371" s="24"/>
      <c r="K371" s="25"/>
      <c r="L371" s="26"/>
      <c r="M371" s="9"/>
      <c r="N371" s="9"/>
      <c r="O371" s="4"/>
      <c r="P371" s="4"/>
      <c r="Q371" s="4"/>
      <c r="R371" s="4"/>
      <c r="S371" s="4"/>
      <c r="T371" s="4"/>
      <c r="AV371" s="27"/>
      <c r="AW371" s="4"/>
    </row>
    <row r="372" spans="5:49" ht="15.75" customHeight="1">
      <c r="E372" s="23"/>
      <c r="F372" s="23"/>
      <c r="I372" s="4"/>
      <c r="J372" s="24"/>
      <c r="K372" s="25"/>
      <c r="L372" s="26"/>
      <c r="M372" s="9"/>
      <c r="N372" s="9"/>
      <c r="O372" s="4"/>
      <c r="P372" s="4"/>
      <c r="Q372" s="4"/>
      <c r="R372" s="4"/>
      <c r="S372" s="4"/>
      <c r="T372" s="4"/>
      <c r="AV372" s="27"/>
      <c r="AW372" s="4"/>
    </row>
    <row r="373" spans="5:49" ht="15.75" customHeight="1">
      <c r="E373" s="23"/>
      <c r="F373" s="23"/>
      <c r="I373" s="4"/>
      <c r="J373" s="24"/>
      <c r="K373" s="25"/>
      <c r="L373" s="26"/>
      <c r="M373" s="9"/>
      <c r="N373" s="9"/>
      <c r="O373" s="4"/>
      <c r="P373" s="4"/>
      <c r="Q373" s="4"/>
      <c r="R373" s="4"/>
      <c r="S373" s="4"/>
      <c r="T373" s="4"/>
      <c r="AV373" s="27"/>
      <c r="AW373" s="4"/>
    </row>
    <row r="374" spans="5:49" ht="15.75" customHeight="1">
      <c r="E374" s="23"/>
      <c r="F374" s="23"/>
      <c r="I374" s="4"/>
      <c r="J374" s="24"/>
      <c r="K374" s="25"/>
      <c r="L374" s="26"/>
      <c r="M374" s="9"/>
      <c r="N374" s="9"/>
      <c r="O374" s="4"/>
      <c r="P374" s="4"/>
      <c r="Q374" s="4"/>
      <c r="R374" s="4"/>
      <c r="S374" s="4"/>
      <c r="T374" s="4"/>
      <c r="AV374" s="27"/>
      <c r="AW374" s="4"/>
    </row>
    <row r="375" spans="5:49" ht="15.75" customHeight="1">
      <c r="E375" s="23"/>
      <c r="F375" s="23"/>
      <c r="I375" s="4"/>
      <c r="J375" s="24"/>
      <c r="K375" s="25"/>
      <c r="L375" s="26"/>
      <c r="M375" s="9"/>
      <c r="N375" s="9"/>
      <c r="O375" s="4"/>
      <c r="P375" s="4"/>
      <c r="Q375" s="4"/>
      <c r="R375" s="4"/>
      <c r="S375" s="4"/>
      <c r="T375" s="4"/>
      <c r="AV375" s="27"/>
      <c r="AW375" s="4"/>
    </row>
    <row r="376" spans="5:49" ht="15.75" customHeight="1">
      <c r="E376" s="23"/>
      <c r="F376" s="23"/>
      <c r="I376" s="4"/>
      <c r="J376" s="24"/>
      <c r="K376" s="25"/>
      <c r="L376" s="26"/>
      <c r="M376" s="9"/>
      <c r="N376" s="9"/>
      <c r="O376" s="4"/>
      <c r="P376" s="4"/>
      <c r="Q376" s="4"/>
      <c r="R376" s="4"/>
      <c r="S376" s="4"/>
      <c r="T376" s="4"/>
      <c r="AV376" s="27"/>
      <c r="AW376" s="4"/>
    </row>
    <row r="377" spans="5:49" ht="15.75" customHeight="1">
      <c r="E377" s="23"/>
      <c r="F377" s="23"/>
      <c r="I377" s="4"/>
      <c r="J377" s="24"/>
      <c r="K377" s="25"/>
      <c r="L377" s="26"/>
      <c r="M377" s="9"/>
      <c r="N377" s="9"/>
      <c r="O377" s="4"/>
      <c r="P377" s="4"/>
      <c r="Q377" s="4"/>
      <c r="R377" s="4"/>
      <c r="S377" s="4"/>
      <c r="T377" s="4"/>
      <c r="AV377" s="27"/>
      <c r="AW377" s="4"/>
    </row>
    <row r="378" spans="5:49" ht="15.75" customHeight="1">
      <c r="E378" s="23"/>
      <c r="F378" s="23"/>
      <c r="I378" s="4"/>
      <c r="J378" s="24"/>
      <c r="K378" s="25"/>
      <c r="L378" s="26"/>
      <c r="M378" s="9"/>
      <c r="N378" s="9"/>
      <c r="O378" s="4"/>
      <c r="P378" s="4"/>
      <c r="Q378" s="4"/>
      <c r="R378" s="4"/>
      <c r="S378" s="4"/>
      <c r="T378" s="4"/>
      <c r="AV378" s="27"/>
      <c r="AW378" s="4"/>
    </row>
    <row r="379" spans="5:49" ht="15.75" customHeight="1">
      <c r="E379" s="23"/>
      <c r="F379" s="23"/>
      <c r="I379" s="4"/>
      <c r="J379" s="24"/>
      <c r="K379" s="25"/>
      <c r="L379" s="26"/>
      <c r="M379" s="9"/>
      <c r="N379" s="9"/>
      <c r="O379" s="4"/>
      <c r="P379" s="4"/>
      <c r="Q379" s="4"/>
      <c r="R379" s="4"/>
      <c r="S379" s="4"/>
      <c r="T379" s="4"/>
      <c r="AV379" s="27"/>
      <c r="AW379" s="4"/>
    </row>
    <row r="380" spans="5:49" ht="15.75" customHeight="1">
      <c r="E380" s="23"/>
      <c r="F380" s="23"/>
      <c r="I380" s="4"/>
      <c r="J380" s="24"/>
      <c r="K380" s="25"/>
      <c r="L380" s="26"/>
      <c r="M380" s="9"/>
      <c r="N380" s="9"/>
      <c r="O380" s="4"/>
      <c r="P380" s="4"/>
      <c r="Q380" s="4"/>
      <c r="R380" s="4"/>
      <c r="S380" s="4"/>
      <c r="T380" s="4"/>
      <c r="AV380" s="27"/>
      <c r="AW380" s="4"/>
    </row>
    <row r="381" spans="5:49" ht="15.75" customHeight="1">
      <c r="E381" s="23"/>
      <c r="F381" s="23"/>
      <c r="I381" s="4"/>
      <c r="J381" s="24"/>
      <c r="K381" s="25"/>
      <c r="L381" s="26"/>
      <c r="M381" s="9"/>
      <c r="N381" s="9"/>
      <c r="O381" s="4"/>
      <c r="P381" s="4"/>
      <c r="Q381" s="4"/>
      <c r="R381" s="4"/>
      <c r="S381" s="4"/>
      <c r="T381" s="4"/>
      <c r="AV381" s="27"/>
      <c r="AW381" s="4"/>
    </row>
    <row r="382" spans="5:49" ht="15.75" customHeight="1">
      <c r="E382" s="23"/>
      <c r="F382" s="23"/>
      <c r="I382" s="4"/>
      <c r="J382" s="24"/>
      <c r="K382" s="25"/>
      <c r="L382" s="26"/>
      <c r="M382" s="9"/>
      <c r="N382" s="9"/>
      <c r="O382" s="4"/>
      <c r="P382" s="4"/>
      <c r="Q382" s="4"/>
      <c r="R382" s="4"/>
      <c r="S382" s="4"/>
      <c r="T382" s="4"/>
      <c r="AV382" s="27"/>
      <c r="AW382" s="4"/>
    </row>
    <row r="383" spans="5:49" ht="15.75" customHeight="1">
      <c r="E383" s="23"/>
      <c r="F383" s="23"/>
      <c r="I383" s="4"/>
      <c r="J383" s="24"/>
      <c r="K383" s="25"/>
      <c r="L383" s="26"/>
      <c r="M383" s="9"/>
      <c r="N383" s="9"/>
      <c r="O383" s="4"/>
      <c r="P383" s="4"/>
      <c r="Q383" s="4"/>
      <c r="R383" s="4"/>
      <c r="S383" s="4"/>
      <c r="T383" s="4"/>
      <c r="AV383" s="27"/>
      <c r="AW383" s="4"/>
    </row>
    <row r="384" spans="5:49" ht="15.75" customHeight="1">
      <c r="E384" s="23"/>
      <c r="F384" s="23"/>
      <c r="I384" s="4"/>
      <c r="J384" s="24"/>
      <c r="K384" s="25"/>
      <c r="L384" s="26"/>
      <c r="M384" s="9"/>
      <c r="N384" s="9"/>
      <c r="O384" s="4"/>
      <c r="P384" s="4"/>
      <c r="Q384" s="4"/>
      <c r="R384" s="4"/>
      <c r="S384" s="4"/>
      <c r="T384" s="4"/>
      <c r="AV384" s="27"/>
      <c r="AW384" s="4"/>
    </row>
    <row r="385" spans="5:49" ht="15.75" customHeight="1">
      <c r="E385" s="23"/>
      <c r="F385" s="23"/>
      <c r="I385" s="4"/>
      <c r="J385" s="24"/>
      <c r="K385" s="25"/>
      <c r="L385" s="26"/>
      <c r="M385" s="9"/>
      <c r="N385" s="9"/>
      <c r="O385" s="4"/>
      <c r="P385" s="4"/>
      <c r="Q385" s="4"/>
      <c r="R385" s="4"/>
      <c r="S385" s="4"/>
      <c r="T385" s="4"/>
      <c r="AV385" s="27"/>
      <c r="AW385" s="4"/>
    </row>
    <row r="386" spans="5:49" ht="15.75" customHeight="1">
      <c r="E386" s="23"/>
      <c r="F386" s="23"/>
      <c r="I386" s="4"/>
      <c r="J386" s="24"/>
      <c r="K386" s="25"/>
      <c r="L386" s="26"/>
      <c r="M386" s="9"/>
      <c r="N386" s="9"/>
      <c r="O386" s="4"/>
      <c r="P386" s="4"/>
      <c r="Q386" s="4"/>
      <c r="R386" s="4"/>
      <c r="S386" s="4"/>
      <c r="T386" s="4"/>
      <c r="AV386" s="27"/>
      <c r="AW386" s="4"/>
    </row>
    <row r="387" spans="5:49" ht="15.75" customHeight="1">
      <c r="E387" s="23"/>
      <c r="F387" s="23"/>
      <c r="I387" s="4"/>
      <c r="J387" s="24"/>
      <c r="K387" s="25"/>
      <c r="L387" s="26"/>
      <c r="M387" s="9"/>
      <c r="N387" s="9"/>
      <c r="O387" s="4"/>
      <c r="P387" s="4"/>
      <c r="Q387" s="4"/>
      <c r="R387" s="4"/>
      <c r="S387" s="4"/>
      <c r="T387" s="4"/>
      <c r="AV387" s="27"/>
      <c r="AW387" s="4"/>
    </row>
    <row r="388" spans="5:49" ht="15.75" customHeight="1">
      <c r="E388" s="23"/>
      <c r="F388" s="23"/>
      <c r="I388" s="4"/>
      <c r="J388" s="24"/>
      <c r="K388" s="25"/>
      <c r="L388" s="26"/>
      <c r="M388" s="9"/>
      <c r="N388" s="9"/>
      <c r="O388" s="4"/>
      <c r="P388" s="4"/>
      <c r="Q388" s="4"/>
      <c r="R388" s="4"/>
      <c r="S388" s="4"/>
      <c r="T388" s="4"/>
      <c r="AV388" s="27"/>
      <c r="AW388" s="4"/>
    </row>
    <row r="389" spans="5:49" ht="15.75" customHeight="1">
      <c r="E389" s="23"/>
      <c r="F389" s="23"/>
      <c r="I389" s="4"/>
      <c r="J389" s="24"/>
      <c r="K389" s="25"/>
      <c r="L389" s="26"/>
      <c r="M389" s="9"/>
      <c r="N389" s="9"/>
      <c r="O389" s="4"/>
      <c r="P389" s="4"/>
      <c r="Q389" s="4"/>
      <c r="R389" s="4"/>
      <c r="S389" s="4"/>
      <c r="T389" s="4"/>
      <c r="AV389" s="27"/>
      <c r="AW389" s="4"/>
    </row>
    <row r="390" spans="5:49" ht="15.75" customHeight="1">
      <c r="E390" s="23"/>
      <c r="F390" s="23"/>
      <c r="I390" s="4"/>
      <c r="J390" s="24"/>
      <c r="K390" s="25"/>
      <c r="L390" s="26"/>
      <c r="M390" s="9"/>
      <c r="N390" s="9"/>
      <c r="O390" s="4"/>
      <c r="P390" s="4"/>
      <c r="Q390" s="4"/>
      <c r="R390" s="4"/>
      <c r="S390" s="4"/>
      <c r="T390" s="4"/>
      <c r="AV390" s="27"/>
      <c r="AW390" s="4"/>
    </row>
    <row r="391" spans="5:49" ht="15.75" customHeight="1">
      <c r="E391" s="23"/>
      <c r="F391" s="23"/>
      <c r="I391" s="4"/>
      <c r="J391" s="24"/>
      <c r="K391" s="25"/>
      <c r="L391" s="26"/>
      <c r="M391" s="9"/>
      <c r="N391" s="9"/>
      <c r="O391" s="4"/>
      <c r="P391" s="4"/>
      <c r="Q391" s="4"/>
      <c r="R391" s="4"/>
      <c r="S391" s="4"/>
      <c r="T391" s="4"/>
      <c r="AV391" s="27"/>
      <c r="AW391" s="4"/>
    </row>
    <row r="392" spans="5:49" ht="15.75" customHeight="1">
      <c r="E392" s="23"/>
      <c r="F392" s="23"/>
      <c r="I392" s="4"/>
      <c r="J392" s="24"/>
      <c r="K392" s="25"/>
      <c r="L392" s="26"/>
      <c r="M392" s="9"/>
      <c r="N392" s="9"/>
      <c r="O392" s="4"/>
      <c r="P392" s="4"/>
      <c r="Q392" s="4"/>
      <c r="R392" s="4"/>
      <c r="S392" s="4"/>
      <c r="T392" s="4"/>
      <c r="AV392" s="27"/>
      <c r="AW392" s="4"/>
    </row>
    <row r="393" spans="5:49" ht="15.75" customHeight="1">
      <c r="E393" s="23"/>
      <c r="F393" s="23"/>
      <c r="I393" s="4"/>
      <c r="J393" s="24"/>
      <c r="K393" s="25"/>
      <c r="L393" s="26"/>
      <c r="M393" s="9"/>
      <c r="N393" s="9"/>
      <c r="O393" s="4"/>
      <c r="P393" s="4"/>
      <c r="Q393" s="4"/>
      <c r="R393" s="4"/>
      <c r="S393" s="4"/>
      <c r="T393" s="4"/>
      <c r="AV393" s="27"/>
      <c r="AW393" s="4"/>
    </row>
    <row r="394" spans="5:49" ht="15.75" customHeight="1">
      <c r="E394" s="23"/>
      <c r="F394" s="23"/>
      <c r="I394" s="4"/>
      <c r="J394" s="24"/>
      <c r="K394" s="25"/>
      <c r="L394" s="26"/>
      <c r="M394" s="9"/>
      <c r="N394" s="9"/>
      <c r="O394" s="4"/>
      <c r="P394" s="4"/>
      <c r="Q394" s="4"/>
      <c r="R394" s="4"/>
      <c r="S394" s="4"/>
      <c r="T394" s="4"/>
      <c r="AV394" s="27"/>
      <c r="AW394" s="4"/>
    </row>
    <row r="395" spans="5:49" ht="15.75" customHeight="1">
      <c r="E395" s="23"/>
      <c r="F395" s="23"/>
      <c r="I395" s="4"/>
      <c r="J395" s="24"/>
      <c r="K395" s="25"/>
      <c r="L395" s="26"/>
      <c r="M395" s="9"/>
      <c r="N395" s="9"/>
      <c r="O395" s="4"/>
      <c r="P395" s="4"/>
      <c r="Q395" s="4"/>
      <c r="R395" s="4"/>
      <c r="S395" s="4"/>
      <c r="T395" s="4"/>
      <c r="AV395" s="27"/>
      <c r="AW395" s="4"/>
    </row>
    <row r="396" spans="5:49" ht="15.75" customHeight="1">
      <c r="E396" s="23"/>
      <c r="F396" s="23"/>
      <c r="I396" s="4"/>
      <c r="J396" s="24"/>
      <c r="K396" s="25"/>
      <c r="L396" s="26"/>
      <c r="M396" s="9"/>
      <c r="N396" s="9"/>
      <c r="O396" s="4"/>
      <c r="P396" s="4"/>
      <c r="Q396" s="4"/>
      <c r="R396" s="4"/>
      <c r="S396" s="4"/>
      <c r="T396" s="4"/>
      <c r="AV396" s="27"/>
      <c r="AW396" s="4"/>
    </row>
    <row r="397" spans="5:49" ht="15.75" customHeight="1">
      <c r="E397" s="23"/>
      <c r="F397" s="23"/>
      <c r="I397" s="4"/>
      <c r="J397" s="24"/>
      <c r="K397" s="25"/>
      <c r="L397" s="26"/>
      <c r="M397" s="9"/>
      <c r="N397" s="9"/>
      <c r="O397" s="4"/>
      <c r="P397" s="4"/>
      <c r="Q397" s="4"/>
      <c r="R397" s="4"/>
      <c r="S397" s="4"/>
      <c r="T397" s="4"/>
      <c r="AV397" s="27"/>
      <c r="AW397" s="4"/>
    </row>
    <row r="398" spans="5:49" ht="15.75" customHeight="1">
      <c r="E398" s="23"/>
      <c r="F398" s="23"/>
      <c r="I398" s="4"/>
      <c r="J398" s="24"/>
      <c r="K398" s="25"/>
      <c r="L398" s="26"/>
      <c r="M398" s="9"/>
      <c r="N398" s="9"/>
      <c r="O398" s="4"/>
      <c r="P398" s="4"/>
      <c r="Q398" s="4"/>
      <c r="R398" s="4"/>
      <c r="S398" s="4"/>
      <c r="T398" s="4"/>
      <c r="AV398" s="27"/>
      <c r="AW398" s="4"/>
    </row>
    <row r="399" spans="5:49" ht="15.75" customHeight="1">
      <c r="E399" s="23"/>
      <c r="F399" s="23"/>
      <c r="I399" s="4"/>
      <c r="J399" s="24"/>
      <c r="K399" s="25"/>
      <c r="L399" s="26"/>
      <c r="M399" s="9"/>
      <c r="N399" s="9"/>
      <c r="O399" s="4"/>
      <c r="P399" s="4"/>
      <c r="Q399" s="4"/>
      <c r="R399" s="4"/>
      <c r="S399" s="4"/>
      <c r="T399" s="4"/>
      <c r="AV399" s="27"/>
      <c r="AW399" s="4"/>
    </row>
    <row r="400" spans="5:49" ht="15.75" customHeight="1">
      <c r="E400" s="23"/>
      <c r="F400" s="23"/>
      <c r="I400" s="4"/>
      <c r="J400" s="24"/>
      <c r="K400" s="25"/>
      <c r="L400" s="26"/>
      <c r="M400" s="9"/>
      <c r="N400" s="9"/>
      <c r="O400" s="4"/>
      <c r="P400" s="4"/>
      <c r="Q400" s="4"/>
      <c r="R400" s="4"/>
      <c r="S400" s="4"/>
      <c r="T400" s="4"/>
      <c r="AV400" s="27"/>
      <c r="AW400" s="4"/>
    </row>
    <row r="401" spans="5:49" ht="15.75" customHeight="1">
      <c r="E401" s="23"/>
      <c r="F401" s="23"/>
      <c r="I401" s="4"/>
      <c r="J401" s="24"/>
      <c r="K401" s="25"/>
      <c r="L401" s="26"/>
      <c r="M401" s="9"/>
      <c r="N401" s="9"/>
      <c r="O401" s="4"/>
      <c r="P401" s="4"/>
      <c r="Q401" s="4"/>
      <c r="R401" s="4"/>
      <c r="S401" s="4"/>
      <c r="T401" s="4"/>
      <c r="AV401" s="27"/>
      <c r="AW401" s="4"/>
    </row>
    <row r="402" spans="5:49" ht="15.75" customHeight="1">
      <c r="E402" s="23"/>
      <c r="F402" s="23"/>
      <c r="I402" s="4"/>
      <c r="J402" s="24"/>
      <c r="K402" s="25"/>
      <c r="L402" s="26"/>
      <c r="M402" s="9"/>
      <c r="N402" s="9"/>
      <c r="O402" s="4"/>
      <c r="P402" s="4"/>
      <c r="Q402" s="4"/>
      <c r="R402" s="4"/>
      <c r="S402" s="4"/>
      <c r="T402" s="4"/>
      <c r="AV402" s="27"/>
      <c r="AW402" s="4"/>
    </row>
    <row r="403" spans="5:49" ht="15.75" customHeight="1">
      <c r="E403" s="23"/>
      <c r="F403" s="23"/>
      <c r="I403" s="4"/>
      <c r="J403" s="24"/>
      <c r="K403" s="25"/>
      <c r="L403" s="26"/>
      <c r="M403" s="9"/>
      <c r="N403" s="9"/>
      <c r="O403" s="4"/>
      <c r="P403" s="4"/>
      <c r="Q403" s="4"/>
      <c r="R403" s="4"/>
      <c r="S403" s="4"/>
      <c r="T403" s="4"/>
      <c r="AV403" s="27"/>
      <c r="AW403" s="4"/>
    </row>
    <row r="404" spans="5:49" ht="15.75" customHeight="1">
      <c r="E404" s="23"/>
      <c r="F404" s="23"/>
      <c r="I404" s="4"/>
      <c r="J404" s="24"/>
      <c r="K404" s="25"/>
      <c r="L404" s="26"/>
      <c r="M404" s="9"/>
      <c r="N404" s="9"/>
      <c r="O404" s="4"/>
      <c r="P404" s="4"/>
      <c r="Q404" s="4"/>
      <c r="R404" s="4"/>
      <c r="S404" s="4"/>
      <c r="T404" s="4"/>
      <c r="AV404" s="27"/>
      <c r="AW404" s="4"/>
    </row>
    <row r="405" spans="5:49" ht="15.75" customHeight="1">
      <c r="E405" s="23"/>
      <c r="F405" s="23"/>
      <c r="I405" s="4"/>
      <c r="J405" s="24"/>
      <c r="K405" s="25"/>
      <c r="L405" s="26"/>
      <c r="M405" s="9"/>
      <c r="N405" s="9"/>
      <c r="O405" s="4"/>
      <c r="P405" s="4"/>
      <c r="Q405" s="4"/>
      <c r="R405" s="4"/>
      <c r="S405" s="4"/>
      <c r="T405" s="4"/>
      <c r="AV405" s="27"/>
      <c r="AW405" s="4"/>
    </row>
    <row r="406" spans="5:49" ht="15.75" customHeight="1">
      <c r="E406" s="23"/>
      <c r="F406" s="23"/>
      <c r="I406" s="4"/>
      <c r="J406" s="24"/>
      <c r="K406" s="25"/>
      <c r="L406" s="26"/>
      <c r="M406" s="9"/>
      <c r="N406" s="9"/>
      <c r="O406" s="4"/>
      <c r="P406" s="4"/>
      <c r="Q406" s="4"/>
      <c r="R406" s="4"/>
      <c r="S406" s="4"/>
      <c r="T406" s="4"/>
      <c r="AV406" s="27"/>
      <c r="AW406" s="4"/>
    </row>
    <row r="407" spans="5:49" ht="15.75" customHeight="1">
      <c r="E407" s="23"/>
      <c r="F407" s="23"/>
      <c r="I407" s="4"/>
      <c r="J407" s="24"/>
      <c r="K407" s="25"/>
      <c r="L407" s="26"/>
      <c r="M407" s="9"/>
      <c r="N407" s="9"/>
      <c r="O407" s="4"/>
      <c r="P407" s="4"/>
      <c r="Q407" s="4"/>
      <c r="R407" s="4"/>
      <c r="S407" s="4"/>
      <c r="T407" s="4"/>
      <c r="AV407" s="27"/>
      <c r="AW407" s="4"/>
    </row>
    <row r="408" spans="5:49" ht="15.75" customHeight="1">
      <c r="E408" s="23"/>
      <c r="F408" s="23"/>
      <c r="I408" s="4"/>
      <c r="J408" s="24"/>
      <c r="K408" s="25"/>
      <c r="L408" s="26"/>
      <c r="M408" s="9"/>
      <c r="N408" s="9"/>
      <c r="O408" s="4"/>
      <c r="P408" s="4"/>
      <c r="Q408" s="4"/>
      <c r="R408" s="4"/>
      <c r="S408" s="4"/>
      <c r="T408" s="4"/>
      <c r="AV408" s="27"/>
      <c r="AW408" s="4"/>
    </row>
    <row r="409" spans="5:49" ht="15.75" customHeight="1">
      <c r="E409" s="23"/>
      <c r="F409" s="23"/>
      <c r="I409" s="4"/>
      <c r="J409" s="24"/>
      <c r="K409" s="25"/>
      <c r="L409" s="26"/>
      <c r="M409" s="9"/>
      <c r="N409" s="9"/>
      <c r="O409" s="4"/>
      <c r="P409" s="4"/>
      <c r="Q409" s="4"/>
      <c r="R409" s="4"/>
      <c r="S409" s="4"/>
      <c r="T409" s="4"/>
      <c r="AV409" s="27"/>
      <c r="AW409" s="4"/>
    </row>
    <row r="410" spans="5:49" ht="15.75" customHeight="1">
      <c r="E410" s="23"/>
      <c r="F410" s="23"/>
      <c r="I410" s="4"/>
      <c r="J410" s="24"/>
      <c r="K410" s="25"/>
      <c r="L410" s="26"/>
      <c r="M410" s="9"/>
      <c r="N410" s="9"/>
      <c r="O410" s="4"/>
      <c r="P410" s="4"/>
      <c r="Q410" s="4"/>
      <c r="R410" s="4"/>
      <c r="S410" s="4"/>
      <c r="T410" s="4"/>
      <c r="AV410" s="27"/>
      <c r="AW410" s="4"/>
    </row>
    <row r="411" spans="5:49" ht="15.75" customHeight="1">
      <c r="E411" s="23"/>
      <c r="F411" s="23"/>
      <c r="I411" s="4"/>
      <c r="J411" s="24"/>
      <c r="K411" s="25"/>
      <c r="L411" s="26"/>
      <c r="M411" s="9"/>
      <c r="N411" s="9"/>
      <c r="O411" s="4"/>
      <c r="P411" s="4"/>
      <c r="Q411" s="4"/>
      <c r="R411" s="4"/>
      <c r="S411" s="4"/>
      <c r="T411" s="4"/>
      <c r="AV411" s="27"/>
      <c r="AW411" s="4"/>
    </row>
    <row r="412" spans="5:49" ht="15.75" customHeight="1">
      <c r="E412" s="23"/>
      <c r="F412" s="23"/>
      <c r="I412" s="4"/>
      <c r="J412" s="24"/>
      <c r="K412" s="25"/>
      <c r="L412" s="26"/>
      <c r="M412" s="9"/>
      <c r="N412" s="9"/>
      <c r="O412" s="4"/>
      <c r="P412" s="4"/>
      <c r="Q412" s="4"/>
      <c r="R412" s="4"/>
      <c r="S412" s="4"/>
      <c r="T412" s="4"/>
      <c r="AV412" s="27"/>
      <c r="AW412" s="4"/>
    </row>
    <row r="413" spans="5:49" ht="15.75" customHeight="1">
      <c r="E413" s="23"/>
      <c r="F413" s="23"/>
      <c r="I413" s="4"/>
      <c r="J413" s="24"/>
      <c r="K413" s="25"/>
      <c r="L413" s="26"/>
      <c r="M413" s="9"/>
      <c r="N413" s="9"/>
      <c r="O413" s="4"/>
      <c r="P413" s="4"/>
      <c r="Q413" s="4"/>
      <c r="R413" s="4"/>
      <c r="S413" s="4"/>
      <c r="T413" s="4"/>
      <c r="AV413" s="27"/>
      <c r="AW413" s="4"/>
    </row>
    <row r="414" spans="5:49" ht="15.75" customHeight="1">
      <c r="E414" s="23"/>
      <c r="F414" s="23"/>
      <c r="I414" s="4"/>
      <c r="J414" s="24"/>
      <c r="K414" s="25"/>
      <c r="L414" s="26"/>
      <c r="M414" s="9"/>
      <c r="N414" s="9"/>
      <c r="O414" s="4"/>
      <c r="P414" s="4"/>
      <c r="Q414" s="4"/>
      <c r="R414" s="4"/>
      <c r="S414" s="4"/>
      <c r="T414" s="4"/>
      <c r="AV414" s="27"/>
      <c r="AW414" s="4"/>
    </row>
    <row r="415" spans="5:49" ht="15.75" customHeight="1">
      <c r="E415" s="23"/>
      <c r="F415" s="23"/>
      <c r="I415" s="4"/>
      <c r="J415" s="24"/>
      <c r="K415" s="25"/>
      <c r="L415" s="26"/>
      <c r="M415" s="9"/>
      <c r="N415" s="9"/>
      <c r="O415" s="4"/>
      <c r="P415" s="4"/>
      <c r="Q415" s="4"/>
      <c r="R415" s="4"/>
      <c r="S415" s="4"/>
      <c r="T415" s="4"/>
      <c r="AV415" s="27"/>
      <c r="AW415" s="4"/>
    </row>
    <row r="416" spans="5:49" ht="15.75" customHeight="1">
      <c r="E416" s="23"/>
      <c r="F416" s="23"/>
      <c r="I416" s="4"/>
      <c r="J416" s="24"/>
      <c r="K416" s="25"/>
      <c r="L416" s="26"/>
      <c r="M416" s="9"/>
      <c r="N416" s="9"/>
      <c r="O416" s="4"/>
      <c r="P416" s="4"/>
      <c r="Q416" s="4"/>
      <c r="R416" s="4"/>
      <c r="S416" s="4"/>
      <c r="T416" s="4"/>
      <c r="AV416" s="27"/>
      <c r="AW416" s="4"/>
    </row>
    <row r="417" spans="5:49" ht="15.75" customHeight="1">
      <c r="E417" s="23"/>
      <c r="F417" s="23"/>
      <c r="I417" s="4"/>
      <c r="J417" s="24"/>
      <c r="K417" s="25"/>
      <c r="L417" s="26"/>
      <c r="M417" s="9"/>
      <c r="N417" s="9"/>
      <c r="O417" s="4"/>
      <c r="P417" s="4"/>
      <c r="Q417" s="4"/>
      <c r="R417" s="4"/>
      <c r="S417" s="4"/>
      <c r="T417" s="4"/>
      <c r="AV417" s="27"/>
      <c r="AW417" s="4"/>
    </row>
    <row r="418" spans="5:49" ht="15.75" customHeight="1">
      <c r="E418" s="23"/>
      <c r="F418" s="23"/>
      <c r="I418" s="4"/>
      <c r="J418" s="24"/>
      <c r="K418" s="25"/>
      <c r="L418" s="26"/>
      <c r="M418" s="9"/>
      <c r="N418" s="9"/>
      <c r="O418" s="4"/>
      <c r="P418" s="4"/>
      <c r="Q418" s="4"/>
      <c r="R418" s="4"/>
      <c r="S418" s="4"/>
      <c r="T418" s="4"/>
      <c r="AV418" s="27"/>
      <c r="AW418" s="4"/>
    </row>
    <row r="419" spans="5:49" ht="15.75" customHeight="1">
      <c r="E419" s="23"/>
      <c r="F419" s="23"/>
      <c r="I419" s="4"/>
      <c r="J419" s="24"/>
      <c r="K419" s="25"/>
      <c r="L419" s="26"/>
      <c r="M419" s="9"/>
      <c r="N419" s="9"/>
      <c r="O419" s="4"/>
      <c r="P419" s="4"/>
      <c r="Q419" s="4"/>
      <c r="R419" s="4"/>
      <c r="S419" s="4"/>
      <c r="T419" s="4"/>
      <c r="AV419" s="27"/>
      <c r="AW419" s="4"/>
    </row>
    <row r="420" spans="5:49" ht="15.75" customHeight="1">
      <c r="E420" s="23"/>
      <c r="F420" s="23"/>
      <c r="I420" s="4"/>
      <c r="J420" s="24"/>
      <c r="K420" s="25"/>
      <c r="L420" s="26"/>
      <c r="M420" s="9"/>
      <c r="N420" s="9"/>
      <c r="O420" s="4"/>
      <c r="P420" s="4"/>
      <c r="Q420" s="4"/>
      <c r="R420" s="4"/>
      <c r="S420" s="4"/>
      <c r="T420" s="4"/>
      <c r="AV420" s="27"/>
      <c r="AW420" s="4"/>
    </row>
    <row r="421" spans="5:49" ht="15.75" customHeight="1">
      <c r="E421" s="23"/>
      <c r="F421" s="23"/>
      <c r="I421" s="4"/>
      <c r="J421" s="24"/>
      <c r="K421" s="25"/>
      <c r="L421" s="26"/>
      <c r="M421" s="9"/>
      <c r="N421" s="9"/>
      <c r="O421" s="4"/>
      <c r="P421" s="4"/>
      <c r="Q421" s="4"/>
      <c r="R421" s="4"/>
      <c r="S421" s="4"/>
      <c r="T421" s="4"/>
      <c r="AV421" s="27"/>
      <c r="AW421" s="4"/>
    </row>
    <row r="422" spans="5:49" ht="15.75" customHeight="1">
      <c r="E422" s="23"/>
      <c r="F422" s="23"/>
      <c r="I422" s="4"/>
      <c r="J422" s="24"/>
      <c r="K422" s="25"/>
      <c r="L422" s="26"/>
      <c r="M422" s="9"/>
      <c r="N422" s="9"/>
      <c r="O422" s="4"/>
      <c r="P422" s="4"/>
      <c r="Q422" s="4"/>
      <c r="R422" s="4"/>
      <c r="S422" s="4"/>
      <c r="T422" s="4"/>
      <c r="AV422" s="27"/>
      <c r="AW422" s="4"/>
    </row>
    <row r="423" spans="5:49" ht="15.75" customHeight="1">
      <c r="E423" s="23"/>
      <c r="F423" s="23"/>
      <c r="I423" s="4"/>
      <c r="J423" s="24"/>
      <c r="K423" s="25"/>
      <c r="L423" s="26"/>
      <c r="M423" s="9"/>
      <c r="N423" s="9"/>
      <c r="O423" s="4"/>
      <c r="P423" s="4"/>
      <c r="Q423" s="4"/>
      <c r="R423" s="4"/>
      <c r="S423" s="4"/>
      <c r="T423" s="4"/>
      <c r="AV423" s="27"/>
      <c r="AW423" s="4"/>
    </row>
    <row r="424" spans="5:49" ht="15.75" customHeight="1">
      <c r="E424" s="23"/>
      <c r="F424" s="23"/>
      <c r="I424" s="4"/>
      <c r="J424" s="24"/>
      <c r="K424" s="25"/>
      <c r="L424" s="26"/>
      <c r="M424" s="9"/>
      <c r="N424" s="9"/>
      <c r="O424" s="4"/>
      <c r="P424" s="4"/>
      <c r="Q424" s="4"/>
      <c r="R424" s="4"/>
      <c r="S424" s="4"/>
      <c r="T424" s="4"/>
      <c r="AV424" s="27"/>
      <c r="AW424" s="4"/>
    </row>
    <row r="425" spans="5:49" ht="15.75" customHeight="1">
      <c r="E425" s="23"/>
      <c r="F425" s="23"/>
      <c r="I425" s="4"/>
      <c r="J425" s="24"/>
      <c r="K425" s="25"/>
      <c r="L425" s="26"/>
      <c r="M425" s="9"/>
      <c r="N425" s="9"/>
      <c r="O425" s="4"/>
      <c r="P425" s="4"/>
      <c r="Q425" s="4"/>
      <c r="R425" s="4"/>
      <c r="S425" s="4"/>
      <c r="T425" s="4"/>
      <c r="AV425" s="27"/>
      <c r="AW425" s="4"/>
    </row>
    <row r="426" spans="5:49" ht="15.75" customHeight="1">
      <c r="E426" s="23"/>
      <c r="F426" s="23"/>
      <c r="I426" s="4"/>
      <c r="J426" s="24"/>
      <c r="K426" s="25"/>
      <c r="L426" s="26"/>
      <c r="M426" s="9"/>
      <c r="N426" s="9"/>
      <c r="O426" s="4"/>
      <c r="P426" s="4"/>
      <c r="Q426" s="4"/>
      <c r="R426" s="4"/>
      <c r="S426" s="4"/>
      <c r="T426" s="4"/>
      <c r="AV426" s="27"/>
      <c r="AW426" s="4"/>
    </row>
    <row r="427" spans="5:49" ht="15.75" customHeight="1">
      <c r="E427" s="23"/>
      <c r="F427" s="23"/>
      <c r="I427" s="4"/>
      <c r="J427" s="24"/>
      <c r="K427" s="25"/>
      <c r="L427" s="26"/>
      <c r="M427" s="9"/>
      <c r="N427" s="9"/>
      <c r="O427" s="4"/>
      <c r="P427" s="4"/>
      <c r="Q427" s="4"/>
      <c r="R427" s="4"/>
      <c r="S427" s="4"/>
      <c r="T427" s="4"/>
      <c r="AV427" s="27"/>
      <c r="AW427" s="4"/>
    </row>
    <row r="428" spans="5:49" ht="15.75" customHeight="1">
      <c r="E428" s="23"/>
      <c r="F428" s="23"/>
      <c r="I428" s="4"/>
      <c r="J428" s="24"/>
      <c r="K428" s="25"/>
      <c r="L428" s="26"/>
      <c r="M428" s="9"/>
      <c r="N428" s="9"/>
      <c r="O428" s="4"/>
      <c r="P428" s="4"/>
      <c r="Q428" s="4"/>
      <c r="R428" s="4"/>
      <c r="S428" s="4"/>
      <c r="T428" s="4"/>
      <c r="AV428" s="27"/>
      <c r="AW428" s="4"/>
    </row>
    <row r="429" spans="5:49" ht="15.75" customHeight="1">
      <c r="E429" s="23"/>
      <c r="F429" s="23"/>
      <c r="I429" s="4"/>
      <c r="J429" s="24"/>
      <c r="K429" s="25"/>
      <c r="L429" s="26"/>
      <c r="M429" s="9"/>
      <c r="N429" s="9"/>
      <c r="O429" s="4"/>
      <c r="P429" s="4"/>
      <c r="Q429" s="4"/>
      <c r="R429" s="4"/>
      <c r="S429" s="4"/>
      <c r="T429" s="4"/>
      <c r="AV429" s="27"/>
      <c r="AW429" s="4"/>
    </row>
    <row r="430" spans="5:49" ht="15.75" customHeight="1">
      <c r="E430" s="23"/>
      <c r="F430" s="23"/>
      <c r="I430" s="4"/>
      <c r="J430" s="24"/>
      <c r="K430" s="25"/>
      <c r="L430" s="26"/>
      <c r="M430" s="9"/>
      <c r="N430" s="9"/>
      <c r="O430" s="4"/>
      <c r="P430" s="4"/>
      <c r="Q430" s="4"/>
      <c r="R430" s="4"/>
      <c r="S430" s="4"/>
      <c r="T430" s="4"/>
      <c r="AV430" s="27"/>
      <c r="AW430" s="4"/>
    </row>
    <row r="431" spans="5:49" ht="15.75" customHeight="1">
      <c r="E431" s="23"/>
      <c r="F431" s="23"/>
      <c r="I431" s="4"/>
      <c r="J431" s="24"/>
      <c r="K431" s="25"/>
      <c r="L431" s="26"/>
      <c r="M431" s="9"/>
      <c r="N431" s="9"/>
      <c r="O431" s="4"/>
      <c r="P431" s="4"/>
      <c r="Q431" s="4"/>
      <c r="R431" s="4"/>
      <c r="S431" s="4"/>
      <c r="T431" s="4"/>
      <c r="AV431" s="27"/>
      <c r="AW431" s="4"/>
    </row>
    <row r="432" spans="5:49" ht="15.75" customHeight="1">
      <c r="E432" s="23"/>
      <c r="F432" s="23"/>
      <c r="I432" s="4"/>
      <c r="J432" s="24"/>
      <c r="K432" s="25"/>
      <c r="L432" s="26"/>
      <c r="M432" s="9"/>
      <c r="N432" s="9"/>
      <c r="O432" s="4"/>
      <c r="P432" s="4"/>
      <c r="Q432" s="4"/>
      <c r="R432" s="4"/>
      <c r="S432" s="4"/>
      <c r="T432" s="4"/>
      <c r="AV432" s="27"/>
      <c r="AW432" s="4"/>
    </row>
    <row r="433" spans="5:49" ht="15.75" customHeight="1">
      <c r="E433" s="23"/>
      <c r="F433" s="23"/>
      <c r="I433" s="4"/>
      <c r="J433" s="24"/>
      <c r="K433" s="25"/>
      <c r="L433" s="26"/>
      <c r="M433" s="9"/>
      <c r="N433" s="9"/>
      <c r="O433" s="4"/>
      <c r="P433" s="4"/>
      <c r="Q433" s="4"/>
      <c r="R433" s="4"/>
      <c r="S433" s="4"/>
      <c r="T433" s="4"/>
      <c r="AV433" s="27"/>
      <c r="AW433" s="4"/>
    </row>
    <row r="434" spans="5:49" ht="15.75" customHeight="1">
      <c r="E434" s="23"/>
      <c r="F434" s="23"/>
      <c r="I434" s="4"/>
      <c r="J434" s="24"/>
      <c r="K434" s="25"/>
      <c r="L434" s="26"/>
      <c r="M434" s="9"/>
      <c r="N434" s="9"/>
      <c r="O434" s="4"/>
      <c r="P434" s="4"/>
      <c r="Q434" s="4"/>
      <c r="R434" s="4"/>
      <c r="S434" s="4"/>
      <c r="T434" s="4"/>
      <c r="AV434" s="27"/>
      <c r="AW434" s="4"/>
    </row>
    <row r="435" spans="5:49" ht="15.75" customHeight="1">
      <c r="E435" s="23"/>
      <c r="F435" s="23"/>
      <c r="I435" s="4"/>
      <c r="J435" s="24"/>
      <c r="K435" s="25"/>
      <c r="L435" s="26"/>
      <c r="M435" s="9"/>
      <c r="N435" s="9"/>
      <c r="O435" s="4"/>
      <c r="P435" s="4"/>
      <c r="Q435" s="4"/>
      <c r="R435" s="4"/>
      <c r="S435" s="4"/>
      <c r="T435" s="4"/>
      <c r="AV435" s="27"/>
      <c r="AW435" s="4"/>
    </row>
    <row r="436" spans="5:49" ht="15.75" customHeight="1">
      <c r="E436" s="23"/>
      <c r="F436" s="23"/>
      <c r="I436" s="4"/>
      <c r="J436" s="24"/>
      <c r="K436" s="25"/>
      <c r="L436" s="26"/>
      <c r="M436" s="9"/>
      <c r="N436" s="9"/>
      <c r="O436" s="4"/>
      <c r="P436" s="4"/>
      <c r="Q436" s="4"/>
      <c r="R436" s="4"/>
      <c r="S436" s="4"/>
      <c r="T436" s="4"/>
      <c r="AV436" s="27"/>
      <c r="AW436" s="4"/>
    </row>
    <row r="437" spans="5:49" ht="15.75" customHeight="1">
      <c r="E437" s="23"/>
      <c r="F437" s="23"/>
      <c r="I437" s="4"/>
      <c r="J437" s="24"/>
      <c r="K437" s="25"/>
      <c r="L437" s="26"/>
      <c r="M437" s="9"/>
      <c r="N437" s="9"/>
      <c r="O437" s="4"/>
      <c r="P437" s="4"/>
      <c r="Q437" s="4"/>
      <c r="R437" s="4"/>
      <c r="S437" s="4"/>
      <c r="T437" s="4"/>
      <c r="AV437" s="27"/>
      <c r="AW437" s="4"/>
    </row>
    <row r="438" spans="5:49" ht="15.75" customHeight="1">
      <c r="E438" s="23"/>
      <c r="F438" s="23"/>
      <c r="I438" s="4"/>
      <c r="J438" s="24"/>
      <c r="K438" s="25"/>
      <c r="L438" s="26"/>
      <c r="M438" s="9"/>
      <c r="N438" s="9"/>
      <c r="O438" s="4"/>
      <c r="P438" s="4"/>
      <c r="Q438" s="4"/>
      <c r="R438" s="4"/>
      <c r="S438" s="4"/>
      <c r="T438" s="4"/>
      <c r="AV438" s="27"/>
      <c r="AW438" s="4"/>
    </row>
    <row r="439" spans="5:49" ht="15.75" customHeight="1">
      <c r="E439" s="23"/>
      <c r="F439" s="23"/>
      <c r="I439" s="4"/>
      <c r="J439" s="24"/>
      <c r="K439" s="25"/>
      <c r="L439" s="26"/>
      <c r="M439" s="9"/>
      <c r="N439" s="9"/>
      <c r="O439" s="4"/>
      <c r="P439" s="4"/>
      <c r="Q439" s="4"/>
      <c r="R439" s="4"/>
      <c r="S439" s="4"/>
      <c r="T439" s="4"/>
      <c r="AV439" s="27"/>
      <c r="AW439" s="4"/>
    </row>
    <row r="440" spans="5:49" ht="15.75" customHeight="1">
      <c r="E440" s="23"/>
      <c r="F440" s="23"/>
      <c r="I440" s="4"/>
      <c r="J440" s="24"/>
      <c r="K440" s="25"/>
      <c r="L440" s="26"/>
      <c r="M440" s="9"/>
      <c r="N440" s="9"/>
      <c r="O440" s="4"/>
      <c r="P440" s="4"/>
      <c r="Q440" s="4"/>
      <c r="R440" s="4"/>
      <c r="S440" s="4"/>
      <c r="T440" s="4"/>
      <c r="AV440" s="27"/>
      <c r="AW440" s="4"/>
    </row>
    <row r="441" spans="5:49" ht="15.75" customHeight="1">
      <c r="E441" s="23"/>
      <c r="F441" s="23"/>
      <c r="I441" s="4"/>
      <c r="J441" s="24"/>
      <c r="K441" s="25"/>
      <c r="L441" s="26"/>
      <c r="M441" s="9"/>
      <c r="N441" s="9"/>
      <c r="O441" s="4"/>
      <c r="P441" s="4"/>
      <c r="Q441" s="4"/>
      <c r="R441" s="4"/>
      <c r="S441" s="4"/>
      <c r="T441" s="4"/>
      <c r="AV441" s="27"/>
      <c r="AW441" s="4"/>
    </row>
    <row r="442" spans="5:49" ht="15.75" customHeight="1">
      <c r="E442" s="23"/>
      <c r="F442" s="23"/>
      <c r="I442" s="4"/>
      <c r="J442" s="24"/>
      <c r="K442" s="25"/>
      <c r="L442" s="26"/>
      <c r="M442" s="9"/>
      <c r="N442" s="9"/>
      <c r="O442" s="4"/>
      <c r="P442" s="4"/>
      <c r="Q442" s="4"/>
      <c r="R442" s="4"/>
      <c r="S442" s="4"/>
      <c r="T442" s="4"/>
      <c r="AV442" s="27"/>
      <c r="AW442" s="4"/>
    </row>
    <row r="443" spans="5:49" ht="15.75" customHeight="1">
      <c r="E443" s="23"/>
      <c r="F443" s="23"/>
      <c r="I443" s="4"/>
      <c r="J443" s="24"/>
      <c r="K443" s="25"/>
      <c r="L443" s="26"/>
      <c r="M443" s="9"/>
      <c r="N443" s="9"/>
      <c r="O443" s="4"/>
      <c r="P443" s="4"/>
      <c r="Q443" s="4"/>
      <c r="R443" s="4"/>
      <c r="S443" s="4"/>
      <c r="T443" s="4"/>
      <c r="AV443" s="27"/>
      <c r="AW443" s="4"/>
    </row>
    <row r="444" spans="5:49" ht="15.75" customHeight="1">
      <c r="E444" s="23"/>
      <c r="F444" s="23"/>
      <c r="I444" s="4"/>
      <c r="J444" s="24"/>
      <c r="K444" s="25"/>
      <c r="L444" s="26"/>
      <c r="M444" s="9"/>
      <c r="N444" s="9"/>
      <c r="O444" s="4"/>
      <c r="P444" s="4"/>
      <c r="Q444" s="4"/>
      <c r="R444" s="4"/>
      <c r="S444" s="4"/>
      <c r="T444" s="4"/>
      <c r="AV444" s="27"/>
      <c r="AW444" s="4"/>
    </row>
    <row r="445" spans="5:49" ht="15.75" customHeight="1">
      <c r="E445" s="23"/>
      <c r="F445" s="23"/>
      <c r="I445" s="4"/>
      <c r="J445" s="24"/>
      <c r="K445" s="25"/>
      <c r="L445" s="26"/>
      <c r="M445" s="9"/>
      <c r="N445" s="9"/>
      <c r="O445" s="4"/>
      <c r="P445" s="4"/>
      <c r="Q445" s="4"/>
      <c r="R445" s="4"/>
      <c r="S445" s="4"/>
      <c r="T445" s="4"/>
      <c r="AV445" s="27"/>
      <c r="AW445" s="4"/>
    </row>
    <row r="446" spans="5:49" ht="15.75" customHeight="1">
      <c r="E446" s="23"/>
      <c r="F446" s="23"/>
      <c r="I446" s="4"/>
      <c r="J446" s="24"/>
      <c r="K446" s="25"/>
      <c r="L446" s="26"/>
      <c r="M446" s="9"/>
      <c r="N446" s="9"/>
      <c r="O446" s="4"/>
      <c r="P446" s="4"/>
      <c r="Q446" s="4"/>
      <c r="R446" s="4"/>
      <c r="S446" s="4"/>
      <c r="T446" s="4"/>
      <c r="AV446" s="27"/>
      <c r="AW446" s="4"/>
    </row>
    <row r="447" spans="5:49" ht="15.75" customHeight="1">
      <c r="E447" s="23"/>
      <c r="F447" s="23"/>
      <c r="I447" s="4"/>
      <c r="J447" s="24"/>
      <c r="K447" s="25"/>
      <c r="L447" s="26"/>
      <c r="M447" s="9"/>
      <c r="N447" s="9"/>
      <c r="O447" s="4"/>
      <c r="P447" s="4"/>
      <c r="Q447" s="4"/>
      <c r="R447" s="4"/>
      <c r="S447" s="4"/>
      <c r="T447" s="4"/>
      <c r="AV447" s="27"/>
      <c r="AW447" s="4"/>
    </row>
    <row r="448" spans="5:49" ht="15.75" customHeight="1">
      <c r="E448" s="23"/>
      <c r="F448" s="23"/>
      <c r="I448" s="4"/>
      <c r="J448" s="24"/>
      <c r="K448" s="25"/>
      <c r="L448" s="26"/>
      <c r="M448" s="9"/>
      <c r="N448" s="9"/>
      <c r="O448" s="4"/>
      <c r="P448" s="4"/>
      <c r="Q448" s="4"/>
      <c r="R448" s="4"/>
      <c r="S448" s="4"/>
      <c r="T448" s="4"/>
      <c r="AV448" s="27"/>
      <c r="AW448" s="4"/>
    </row>
    <row r="449" spans="5:49" ht="15.75" customHeight="1">
      <c r="E449" s="23"/>
      <c r="F449" s="23"/>
      <c r="I449" s="4"/>
      <c r="J449" s="24"/>
      <c r="K449" s="25"/>
      <c r="L449" s="26"/>
      <c r="M449" s="9"/>
      <c r="N449" s="9"/>
      <c r="O449" s="4"/>
      <c r="P449" s="4"/>
      <c r="Q449" s="4"/>
      <c r="R449" s="4"/>
      <c r="S449" s="4"/>
      <c r="T449" s="4"/>
      <c r="AV449" s="27"/>
      <c r="AW449" s="4"/>
    </row>
    <row r="450" spans="5:49" ht="15.75" customHeight="1">
      <c r="E450" s="23"/>
      <c r="F450" s="23"/>
      <c r="I450" s="4"/>
      <c r="J450" s="24"/>
      <c r="K450" s="25"/>
      <c r="L450" s="26"/>
      <c r="M450" s="9"/>
      <c r="N450" s="9"/>
      <c r="O450" s="4"/>
      <c r="P450" s="4"/>
      <c r="Q450" s="4"/>
      <c r="R450" s="4"/>
      <c r="S450" s="4"/>
      <c r="T450" s="4"/>
      <c r="AV450" s="27"/>
      <c r="AW450" s="4"/>
    </row>
    <row r="451" spans="5:49" ht="15.75" customHeight="1">
      <c r="E451" s="23"/>
      <c r="F451" s="23"/>
      <c r="I451" s="4"/>
      <c r="J451" s="24"/>
      <c r="K451" s="25"/>
      <c r="L451" s="26"/>
      <c r="M451" s="9"/>
      <c r="N451" s="9"/>
      <c r="O451" s="4"/>
      <c r="P451" s="4"/>
      <c r="Q451" s="4"/>
      <c r="R451" s="4"/>
      <c r="S451" s="4"/>
      <c r="T451" s="4"/>
      <c r="AV451" s="27"/>
      <c r="AW451" s="4"/>
    </row>
    <row r="452" spans="5:49" ht="15.75" customHeight="1">
      <c r="E452" s="23"/>
      <c r="F452" s="23"/>
      <c r="I452" s="4"/>
      <c r="J452" s="24"/>
      <c r="K452" s="25"/>
      <c r="L452" s="26"/>
      <c r="M452" s="9"/>
      <c r="N452" s="9"/>
      <c r="O452" s="4"/>
      <c r="P452" s="4"/>
      <c r="Q452" s="4"/>
      <c r="R452" s="4"/>
      <c r="S452" s="4"/>
      <c r="T452" s="4"/>
      <c r="AV452" s="27"/>
      <c r="AW452" s="4"/>
    </row>
    <row r="453" spans="5:49" ht="15.75" customHeight="1">
      <c r="E453" s="23"/>
      <c r="F453" s="23"/>
      <c r="I453" s="4"/>
      <c r="J453" s="24"/>
      <c r="K453" s="25"/>
      <c r="L453" s="26"/>
      <c r="M453" s="9"/>
      <c r="N453" s="9"/>
      <c r="O453" s="4"/>
      <c r="P453" s="4"/>
      <c r="Q453" s="4"/>
      <c r="R453" s="4"/>
      <c r="S453" s="4"/>
      <c r="T453" s="4"/>
      <c r="AV453" s="27"/>
      <c r="AW453" s="4"/>
    </row>
    <row r="454" spans="5:49" ht="15.75" customHeight="1">
      <c r="E454" s="23"/>
      <c r="F454" s="23"/>
      <c r="I454" s="4"/>
      <c r="J454" s="24"/>
      <c r="K454" s="25"/>
      <c r="L454" s="26"/>
      <c r="M454" s="9"/>
      <c r="N454" s="9"/>
      <c r="O454" s="4"/>
      <c r="P454" s="4"/>
      <c r="Q454" s="4"/>
      <c r="R454" s="4"/>
      <c r="S454" s="4"/>
      <c r="T454" s="4"/>
      <c r="AV454" s="27"/>
      <c r="AW454" s="4"/>
    </row>
    <row r="455" spans="5:49" ht="15.75" customHeight="1">
      <c r="E455" s="23"/>
      <c r="F455" s="23"/>
      <c r="I455" s="4"/>
      <c r="J455" s="24"/>
      <c r="K455" s="25"/>
      <c r="L455" s="26"/>
      <c r="M455" s="9"/>
      <c r="N455" s="9"/>
      <c r="O455" s="4"/>
      <c r="P455" s="4"/>
      <c r="Q455" s="4"/>
      <c r="R455" s="4"/>
      <c r="S455" s="4"/>
      <c r="T455" s="4"/>
      <c r="AV455" s="27"/>
      <c r="AW455" s="4"/>
    </row>
    <row r="456" spans="5:49" ht="15.75" customHeight="1">
      <c r="E456" s="23"/>
      <c r="F456" s="23"/>
      <c r="I456" s="4"/>
      <c r="J456" s="24"/>
      <c r="K456" s="25"/>
      <c r="L456" s="26"/>
      <c r="M456" s="9"/>
      <c r="N456" s="9"/>
      <c r="O456" s="4"/>
      <c r="P456" s="4"/>
      <c r="Q456" s="4"/>
      <c r="R456" s="4"/>
      <c r="S456" s="4"/>
      <c r="T456" s="4"/>
      <c r="AV456" s="27"/>
      <c r="AW456" s="4"/>
    </row>
    <row r="457" spans="5:49" ht="15.75" customHeight="1">
      <c r="E457" s="23"/>
      <c r="F457" s="23"/>
      <c r="I457" s="4"/>
      <c r="J457" s="24"/>
      <c r="K457" s="25"/>
      <c r="L457" s="26"/>
      <c r="M457" s="9"/>
      <c r="N457" s="9"/>
      <c r="O457" s="4"/>
      <c r="P457" s="4"/>
      <c r="Q457" s="4"/>
      <c r="R457" s="4"/>
      <c r="S457" s="4"/>
      <c r="T457" s="4"/>
      <c r="AV457" s="27"/>
      <c r="AW457" s="4"/>
    </row>
    <row r="458" spans="5:49" ht="15.75" customHeight="1">
      <c r="E458" s="23"/>
      <c r="F458" s="23"/>
      <c r="I458" s="4"/>
      <c r="J458" s="24"/>
      <c r="K458" s="25"/>
      <c r="L458" s="26"/>
      <c r="M458" s="9"/>
      <c r="N458" s="9"/>
      <c r="O458" s="4"/>
      <c r="P458" s="4"/>
      <c r="Q458" s="4"/>
      <c r="R458" s="4"/>
      <c r="S458" s="4"/>
      <c r="T458" s="4"/>
      <c r="AV458" s="27"/>
      <c r="AW458" s="4"/>
    </row>
    <row r="459" spans="5:49" ht="15.75" customHeight="1">
      <c r="E459" s="23"/>
      <c r="F459" s="23"/>
      <c r="I459" s="4"/>
      <c r="J459" s="24"/>
      <c r="K459" s="25"/>
      <c r="L459" s="26"/>
      <c r="M459" s="9"/>
      <c r="N459" s="9"/>
      <c r="O459" s="4"/>
      <c r="P459" s="4"/>
      <c r="Q459" s="4"/>
      <c r="R459" s="4"/>
      <c r="S459" s="4"/>
      <c r="T459" s="4"/>
      <c r="AV459" s="27"/>
      <c r="AW459" s="4"/>
    </row>
    <row r="460" spans="5:49" ht="15.75" customHeight="1">
      <c r="E460" s="23"/>
      <c r="F460" s="23"/>
      <c r="I460" s="4"/>
      <c r="J460" s="24"/>
      <c r="K460" s="25"/>
      <c r="L460" s="26"/>
      <c r="M460" s="9"/>
      <c r="N460" s="9"/>
      <c r="O460" s="4"/>
      <c r="P460" s="4"/>
      <c r="Q460" s="4"/>
      <c r="R460" s="4"/>
      <c r="S460" s="4"/>
      <c r="T460" s="4"/>
      <c r="AV460" s="27"/>
      <c r="AW460" s="4"/>
    </row>
    <row r="461" spans="5:49" ht="15.75" customHeight="1">
      <c r="E461" s="23"/>
      <c r="F461" s="23"/>
      <c r="I461" s="4"/>
      <c r="J461" s="24"/>
      <c r="K461" s="25"/>
      <c r="L461" s="26"/>
      <c r="M461" s="9"/>
      <c r="N461" s="9"/>
      <c r="O461" s="4"/>
      <c r="P461" s="4"/>
      <c r="Q461" s="4"/>
      <c r="R461" s="4"/>
      <c r="S461" s="4"/>
      <c r="T461" s="4"/>
      <c r="AV461" s="27"/>
      <c r="AW461" s="4"/>
    </row>
    <row r="462" spans="5:49" ht="15.75" customHeight="1">
      <c r="E462" s="23"/>
      <c r="F462" s="23"/>
      <c r="I462" s="4"/>
      <c r="J462" s="24"/>
      <c r="K462" s="25"/>
      <c r="L462" s="26"/>
      <c r="M462" s="9"/>
      <c r="N462" s="9"/>
      <c r="O462" s="4"/>
      <c r="P462" s="4"/>
      <c r="Q462" s="4"/>
      <c r="R462" s="4"/>
      <c r="S462" s="4"/>
      <c r="T462" s="4"/>
      <c r="AV462" s="27"/>
      <c r="AW462" s="4"/>
    </row>
    <row r="463" spans="5:49" ht="15.75" customHeight="1">
      <c r="E463" s="23"/>
      <c r="F463" s="23"/>
      <c r="I463" s="4"/>
      <c r="J463" s="24"/>
      <c r="K463" s="25"/>
      <c r="L463" s="26"/>
      <c r="M463" s="9"/>
      <c r="N463" s="9"/>
      <c r="O463" s="4"/>
      <c r="P463" s="4"/>
      <c r="Q463" s="4"/>
      <c r="R463" s="4"/>
      <c r="S463" s="4"/>
      <c r="T463" s="4"/>
      <c r="AV463" s="27"/>
      <c r="AW463" s="4"/>
    </row>
    <row r="464" spans="5:49" ht="15.75" customHeight="1">
      <c r="E464" s="23"/>
      <c r="F464" s="23"/>
      <c r="I464" s="4"/>
      <c r="J464" s="24"/>
      <c r="K464" s="25"/>
      <c r="L464" s="26"/>
      <c r="M464" s="9"/>
      <c r="N464" s="9"/>
      <c r="O464" s="4"/>
      <c r="P464" s="4"/>
      <c r="Q464" s="4"/>
      <c r="R464" s="4"/>
      <c r="S464" s="4"/>
      <c r="T464" s="4"/>
      <c r="AV464" s="27"/>
      <c r="AW464" s="4"/>
    </row>
    <row r="465" spans="5:49" ht="15.75" customHeight="1">
      <c r="E465" s="23"/>
      <c r="F465" s="23"/>
      <c r="I465" s="4"/>
      <c r="J465" s="24"/>
      <c r="K465" s="25"/>
      <c r="L465" s="26"/>
      <c r="M465" s="9"/>
      <c r="N465" s="9"/>
      <c r="O465" s="4"/>
      <c r="P465" s="4"/>
      <c r="Q465" s="4"/>
      <c r="R465" s="4"/>
      <c r="S465" s="4"/>
      <c r="T465" s="4"/>
      <c r="AV465" s="27"/>
      <c r="AW465" s="4"/>
    </row>
    <row r="466" spans="5:49" ht="15.75" customHeight="1">
      <c r="E466" s="23"/>
      <c r="F466" s="23"/>
      <c r="I466" s="4"/>
      <c r="J466" s="24"/>
      <c r="K466" s="25"/>
      <c r="L466" s="26"/>
      <c r="M466" s="9"/>
      <c r="N466" s="9"/>
      <c r="O466" s="4"/>
      <c r="P466" s="4"/>
      <c r="Q466" s="4"/>
      <c r="R466" s="4"/>
      <c r="S466" s="4"/>
      <c r="T466" s="4"/>
      <c r="AV466" s="27"/>
      <c r="AW466" s="4"/>
    </row>
    <row r="467" spans="5:49" ht="15.75" customHeight="1">
      <c r="E467" s="23"/>
      <c r="F467" s="23"/>
      <c r="I467" s="4"/>
      <c r="J467" s="24"/>
      <c r="K467" s="25"/>
      <c r="L467" s="26"/>
      <c r="M467" s="9"/>
      <c r="N467" s="9"/>
      <c r="O467" s="4"/>
      <c r="P467" s="4"/>
      <c r="Q467" s="4"/>
      <c r="R467" s="4"/>
      <c r="S467" s="4"/>
      <c r="T467" s="4"/>
      <c r="AV467" s="27"/>
      <c r="AW467" s="4"/>
    </row>
    <row r="468" spans="5:49" ht="15.75" customHeight="1">
      <c r="E468" s="23"/>
      <c r="F468" s="23"/>
      <c r="I468" s="4"/>
      <c r="J468" s="24"/>
      <c r="K468" s="25"/>
      <c r="L468" s="26"/>
      <c r="M468" s="9"/>
      <c r="N468" s="9"/>
      <c r="O468" s="4"/>
      <c r="P468" s="4"/>
      <c r="Q468" s="4"/>
      <c r="R468" s="4"/>
      <c r="S468" s="4"/>
      <c r="T468" s="4"/>
      <c r="AV468" s="27"/>
      <c r="AW468" s="4"/>
    </row>
    <row r="469" spans="5:49" ht="15.75" customHeight="1">
      <c r="E469" s="23"/>
      <c r="F469" s="23"/>
      <c r="I469" s="4"/>
      <c r="J469" s="24"/>
      <c r="K469" s="25"/>
      <c r="L469" s="26"/>
      <c r="M469" s="9"/>
      <c r="N469" s="9"/>
      <c r="O469" s="4"/>
      <c r="P469" s="4"/>
      <c r="Q469" s="4"/>
      <c r="R469" s="4"/>
      <c r="S469" s="4"/>
      <c r="T469" s="4"/>
      <c r="AV469" s="27"/>
      <c r="AW469" s="4"/>
    </row>
    <row r="470" spans="5:49" ht="15.75" customHeight="1">
      <c r="E470" s="23"/>
      <c r="F470" s="23"/>
      <c r="I470" s="4"/>
      <c r="J470" s="24"/>
      <c r="K470" s="25"/>
      <c r="L470" s="26"/>
      <c r="M470" s="9"/>
      <c r="N470" s="9"/>
      <c r="O470" s="4"/>
      <c r="P470" s="4"/>
      <c r="Q470" s="4"/>
      <c r="R470" s="4"/>
      <c r="S470" s="4"/>
      <c r="T470" s="4"/>
      <c r="AV470" s="27"/>
      <c r="AW470" s="4"/>
    </row>
    <row r="471" spans="5:49" ht="15.75" customHeight="1">
      <c r="E471" s="23"/>
      <c r="F471" s="23"/>
      <c r="I471" s="4"/>
      <c r="J471" s="24"/>
      <c r="K471" s="25"/>
      <c r="L471" s="26"/>
      <c r="M471" s="9"/>
      <c r="N471" s="9"/>
      <c r="O471" s="4"/>
      <c r="P471" s="4"/>
      <c r="Q471" s="4"/>
      <c r="R471" s="4"/>
      <c r="S471" s="4"/>
      <c r="T471" s="4"/>
      <c r="AV471" s="27"/>
      <c r="AW471" s="4"/>
    </row>
    <row r="472" spans="5:49" ht="15.75" customHeight="1">
      <c r="E472" s="23"/>
      <c r="F472" s="23"/>
      <c r="I472" s="4"/>
      <c r="J472" s="24"/>
      <c r="K472" s="25"/>
      <c r="L472" s="26"/>
      <c r="M472" s="9"/>
      <c r="N472" s="9"/>
      <c r="O472" s="4"/>
      <c r="P472" s="4"/>
      <c r="Q472" s="4"/>
      <c r="R472" s="4"/>
      <c r="S472" s="4"/>
      <c r="T472" s="4"/>
      <c r="AV472" s="27"/>
      <c r="AW472" s="4"/>
    </row>
    <row r="473" spans="5:49" ht="15.75" customHeight="1">
      <c r="E473" s="23"/>
      <c r="F473" s="23"/>
      <c r="I473" s="4"/>
      <c r="J473" s="24"/>
      <c r="K473" s="25"/>
      <c r="L473" s="26"/>
      <c r="M473" s="9"/>
      <c r="N473" s="9"/>
      <c r="O473" s="4"/>
      <c r="P473" s="4"/>
      <c r="Q473" s="4"/>
      <c r="R473" s="4"/>
      <c r="S473" s="4"/>
      <c r="T473" s="4"/>
      <c r="AV473" s="27"/>
      <c r="AW473" s="4"/>
    </row>
    <row r="474" spans="5:49" ht="15.75" customHeight="1">
      <c r="E474" s="23"/>
      <c r="F474" s="23"/>
      <c r="I474" s="4"/>
      <c r="J474" s="24"/>
      <c r="K474" s="25"/>
      <c r="L474" s="26"/>
      <c r="M474" s="9"/>
      <c r="N474" s="9"/>
      <c r="O474" s="4"/>
      <c r="P474" s="4"/>
      <c r="Q474" s="4"/>
      <c r="R474" s="4"/>
      <c r="S474" s="4"/>
      <c r="T474" s="4"/>
      <c r="AV474" s="27"/>
      <c r="AW474" s="4"/>
    </row>
    <row r="475" spans="5:49" ht="15.75" customHeight="1">
      <c r="E475" s="23"/>
      <c r="F475" s="23"/>
      <c r="I475" s="4"/>
      <c r="J475" s="24"/>
      <c r="K475" s="25"/>
      <c r="L475" s="26"/>
      <c r="M475" s="9"/>
      <c r="N475" s="9"/>
      <c r="O475" s="4"/>
      <c r="P475" s="4"/>
      <c r="Q475" s="4"/>
      <c r="R475" s="4"/>
      <c r="S475" s="4"/>
      <c r="T475" s="4"/>
      <c r="AV475" s="27"/>
      <c r="AW475" s="4"/>
    </row>
    <row r="476" spans="5:49" ht="15.75" customHeight="1">
      <c r="E476" s="23"/>
      <c r="F476" s="23"/>
      <c r="I476" s="4"/>
      <c r="J476" s="24"/>
      <c r="K476" s="25"/>
      <c r="L476" s="26"/>
      <c r="M476" s="9"/>
      <c r="N476" s="9"/>
      <c r="O476" s="4"/>
      <c r="P476" s="4"/>
      <c r="Q476" s="4"/>
      <c r="R476" s="4"/>
      <c r="S476" s="4"/>
      <c r="T476" s="4"/>
      <c r="AV476" s="27"/>
      <c r="AW476" s="4"/>
    </row>
    <row r="477" spans="5:49" ht="15.75" customHeight="1">
      <c r="E477" s="23"/>
      <c r="F477" s="23"/>
      <c r="I477" s="4"/>
      <c r="J477" s="24"/>
      <c r="K477" s="25"/>
      <c r="L477" s="26"/>
      <c r="M477" s="9"/>
      <c r="N477" s="9"/>
      <c r="O477" s="4"/>
      <c r="P477" s="4"/>
      <c r="Q477" s="4"/>
      <c r="R477" s="4"/>
      <c r="S477" s="4"/>
      <c r="T477" s="4"/>
      <c r="AV477" s="27"/>
      <c r="AW477" s="4"/>
    </row>
    <row r="478" spans="5:49" ht="15.75" customHeight="1">
      <c r="E478" s="23"/>
      <c r="F478" s="23"/>
      <c r="I478" s="4"/>
      <c r="J478" s="24"/>
      <c r="K478" s="25"/>
      <c r="L478" s="26"/>
      <c r="M478" s="9"/>
      <c r="N478" s="9"/>
      <c r="O478" s="4"/>
      <c r="P478" s="4"/>
      <c r="Q478" s="4"/>
      <c r="R478" s="4"/>
      <c r="S478" s="4"/>
      <c r="T478" s="4"/>
      <c r="AV478" s="27"/>
      <c r="AW478" s="4"/>
    </row>
    <row r="479" spans="5:49" ht="15.75" customHeight="1">
      <c r="E479" s="23"/>
      <c r="F479" s="23"/>
      <c r="I479" s="4"/>
      <c r="J479" s="24"/>
      <c r="K479" s="25"/>
      <c r="L479" s="26"/>
      <c r="M479" s="9"/>
      <c r="N479" s="9"/>
      <c r="O479" s="4"/>
      <c r="P479" s="4"/>
      <c r="Q479" s="4"/>
      <c r="R479" s="4"/>
      <c r="S479" s="4"/>
      <c r="T479" s="4"/>
      <c r="AV479" s="27"/>
      <c r="AW479" s="4"/>
    </row>
    <row r="480" spans="5:49" ht="15.75" customHeight="1">
      <c r="E480" s="23"/>
      <c r="F480" s="23"/>
      <c r="I480" s="4"/>
      <c r="J480" s="24"/>
      <c r="K480" s="25"/>
      <c r="L480" s="26"/>
      <c r="M480" s="9"/>
      <c r="N480" s="9"/>
      <c r="O480" s="4"/>
      <c r="P480" s="4"/>
      <c r="Q480" s="4"/>
      <c r="R480" s="4"/>
      <c r="S480" s="4"/>
      <c r="T480" s="4"/>
      <c r="AV480" s="27"/>
      <c r="AW480" s="4"/>
    </row>
    <row r="481" spans="5:49" ht="15.75" customHeight="1">
      <c r="E481" s="23"/>
      <c r="F481" s="23"/>
      <c r="I481" s="4"/>
      <c r="J481" s="24"/>
      <c r="K481" s="25"/>
      <c r="L481" s="26"/>
      <c r="M481" s="9"/>
      <c r="N481" s="9"/>
      <c r="O481" s="4"/>
      <c r="P481" s="4"/>
      <c r="Q481" s="4"/>
      <c r="R481" s="4"/>
      <c r="S481" s="4"/>
      <c r="T481" s="4"/>
      <c r="AV481" s="27"/>
      <c r="AW481" s="4"/>
    </row>
    <row r="482" spans="5:49" ht="15.75" customHeight="1">
      <c r="E482" s="23"/>
      <c r="F482" s="23"/>
      <c r="I482" s="4"/>
      <c r="J482" s="24"/>
      <c r="K482" s="25"/>
      <c r="L482" s="26"/>
      <c r="M482" s="9"/>
      <c r="N482" s="9"/>
      <c r="O482" s="4"/>
      <c r="P482" s="4"/>
      <c r="Q482" s="4"/>
      <c r="R482" s="4"/>
      <c r="S482" s="4"/>
      <c r="T482" s="4"/>
      <c r="AV482" s="27"/>
      <c r="AW482" s="4"/>
    </row>
    <row r="483" spans="5:49" ht="15.75" customHeight="1">
      <c r="E483" s="23"/>
      <c r="F483" s="23"/>
      <c r="I483" s="4"/>
      <c r="J483" s="24"/>
      <c r="K483" s="25"/>
      <c r="L483" s="26"/>
      <c r="M483" s="9"/>
      <c r="N483" s="9"/>
      <c r="O483" s="4"/>
      <c r="P483" s="4"/>
      <c r="Q483" s="4"/>
      <c r="R483" s="4"/>
      <c r="S483" s="4"/>
      <c r="T483" s="4"/>
      <c r="AV483" s="27"/>
      <c r="AW483" s="4"/>
    </row>
    <row r="484" spans="5:49" ht="15.75" customHeight="1">
      <c r="E484" s="23"/>
      <c r="F484" s="23"/>
      <c r="I484" s="4"/>
      <c r="J484" s="24"/>
      <c r="K484" s="25"/>
      <c r="L484" s="26"/>
      <c r="M484" s="9"/>
      <c r="N484" s="9"/>
      <c r="O484" s="4"/>
      <c r="P484" s="4"/>
      <c r="Q484" s="4"/>
      <c r="R484" s="4"/>
      <c r="S484" s="4"/>
      <c r="T484" s="4"/>
      <c r="AV484" s="27"/>
      <c r="AW484" s="4"/>
    </row>
    <row r="485" spans="5:49" ht="15.75" customHeight="1">
      <c r="E485" s="23"/>
      <c r="F485" s="23"/>
      <c r="I485" s="4"/>
      <c r="J485" s="24"/>
      <c r="K485" s="25"/>
      <c r="L485" s="26"/>
      <c r="M485" s="9"/>
      <c r="N485" s="9"/>
      <c r="O485" s="4"/>
      <c r="P485" s="4"/>
      <c r="Q485" s="4"/>
      <c r="R485" s="4"/>
      <c r="S485" s="4"/>
      <c r="T485" s="4"/>
      <c r="AV485" s="27"/>
      <c r="AW485" s="4"/>
    </row>
    <row r="486" spans="5:49" ht="15.75" customHeight="1">
      <c r="E486" s="23"/>
      <c r="F486" s="23"/>
      <c r="I486" s="4"/>
      <c r="J486" s="24"/>
      <c r="K486" s="25"/>
      <c r="L486" s="26"/>
      <c r="M486" s="9"/>
      <c r="N486" s="9"/>
      <c r="O486" s="4"/>
      <c r="P486" s="4"/>
      <c r="Q486" s="4"/>
      <c r="R486" s="4"/>
      <c r="S486" s="4"/>
      <c r="T486" s="4"/>
      <c r="AV486" s="27"/>
      <c r="AW486" s="4"/>
    </row>
    <row r="487" spans="5:49" ht="15.75" customHeight="1">
      <c r="E487" s="23"/>
      <c r="F487" s="23"/>
      <c r="I487" s="4"/>
      <c r="J487" s="24"/>
      <c r="K487" s="25"/>
      <c r="L487" s="26"/>
      <c r="M487" s="9"/>
      <c r="N487" s="9"/>
      <c r="O487" s="4"/>
      <c r="P487" s="4"/>
      <c r="Q487" s="4"/>
      <c r="R487" s="4"/>
      <c r="S487" s="4"/>
      <c r="T487" s="4"/>
      <c r="AV487" s="27"/>
      <c r="AW487" s="4"/>
    </row>
    <row r="488" spans="5:49" ht="15.75" customHeight="1">
      <c r="E488" s="23"/>
      <c r="F488" s="23"/>
      <c r="I488" s="4"/>
      <c r="J488" s="24"/>
      <c r="K488" s="25"/>
      <c r="L488" s="26"/>
      <c r="M488" s="9"/>
      <c r="N488" s="9"/>
      <c r="O488" s="4"/>
      <c r="P488" s="4"/>
      <c r="Q488" s="4"/>
      <c r="R488" s="4"/>
      <c r="S488" s="4"/>
      <c r="T488" s="4"/>
      <c r="AV488" s="27"/>
      <c r="AW488" s="4"/>
    </row>
    <row r="489" spans="5:49" ht="15.75" customHeight="1">
      <c r="E489" s="23"/>
      <c r="F489" s="23"/>
      <c r="I489" s="4"/>
      <c r="J489" s="24"/>
      <c r="K489" s="25"/>
      <c r="L489" s="26"/>
      <c r="M489" s="9"/>
      <c r="N489" s="9"/>
      <c r="O489" s="4"/>
      <c r="P489" s="4"/>
      <c r="Q489" s="4"/>
      <c r="R489" s="4"/>
      <c r="S489" s="4"/>
      <c r="T489" s="4"/>
      <c r="AV489" s="27"/>
      <c r="AW489" s="4"/>
    </row>
    <row r="490" spans="5:49" ht="15.75" customHeight="1">
      <c r="E490" s="23"/>
      <c r="F490" s="23"/>
      <c r="I490" s="4"/>
      <c r="J490" s="24"/>
      <c r="K490" s="25"/>
      <c r="L490" s="26"/>
      <c r="M490" s="9"/>
      <c r="N490" s="9"/>
      <c r="O490" s="4"/>
      <c r="P490" s="4"/>
      <c r="Q490" s="4"/>
      <c r="R490" s="4"/>
      <c r="S490" s="4"/>
      <c r="T490" s="4"/>
      <c r="AV490" s="27"/>
      <c r="AW490" s="4"/>
    </row>
    <row r="491" spans="5:49" ht="15.75" customHeight="1">
      <c r="E491" s="23"/>
      <c r="F491" s="23"/>
      <c r="I491" s="4"/>
      <c r="J491" s="24"/>
      <c r="K491" s="25"/>
      <c r="L491" s="26"/>
      <c r="M491" s="9"/>
      <c r="N491" s="9"/>
      <c r="O491" s="4"/>
      <c r="P491" s="4"/>
      <c r="Q491" s="4"/>
      <c r="R491" s="4"/>
      <c r="S491" s="4"/>
      <c r="T491" s="4"/>
      <c r="AV491" s="27"/>
      <c r="AW491" s="4"/>
    </row>
    <row r="492" spans="5:49" ht="15.75" customHeight="1">
      <c r="E492" s="23"/>
      <c r="F492" s="23"/>
      <c r="I492" s="4"/>
      <c r="J492" s="24"/>
      <c r="K492" s="25"/>
      <c r="L492" s="26"/>
      <c r="M492" s="9"/>
      <c r="N492" s="9"/>
      <c r="O492" s="4"/>
      <c r="P492" s="4"/>
      <c r="Q492" s="4"/>
      <c r="R492" s="4"/>
      <c r="S492" s="4"/>
      <c r="T492" s="4"/>
      <c r="AV492" s="27"/>
      <c r="AW492" s="4"/>
    </row>
    <row r="493" spans="5:49" ht="15.75" customHeight="1">
      <c r="E493" s="23"/>
      <c r="F493" s="23"/>
      <c r="I493" s="4"/>
      <c r="J493" s="24"/>
      <c r="K493" s="25"/>
      <c r="L493" s="26"/>
      <c r="M493" s="9"/>
      <c r="N493" s="9"/>
      <c r="O493" s="4"/>
      <c r="P493" s="4"/>
      <c r="Q493" s="4"/>
      <c r="R493" s="4"/>
      <c r="S493" s="4"/>
      <c r="T493" s="4"/>
      <c r="AV493" s="27"/>
      <c r="AW493" s="4"/>
    </row>
    <row r="494" spans="5:49" ht="15.75" customHeight="1">
      <c r="E494" s="23"/>
      <c r="F494" s="23"/>
      <c r="I494" s="4"/>
      <c r="J494" s="24"/>
      <c r="K494" s="25"/>
      <c r="L494" s="26"/>
      <c r="M494" s="9"/>
      <c r="N494" s="9"/>
      <c r="O494" s="4"/>
      <c r="P494" s="4"/>
      <c r="Q494" s="4"/>
      <c r="R494" s="4"/>
      <c r="S494" s="4"/>
      <c r="T494" s="4"/>
      <c r="AV494" s="27"/>
      <c r="AW494" s="4"/>
    </row>
    <row r="495" spans="5:49" ht="15.75" customHeight="1">
      <c r="E495" s="23"/>
      <c r="F495" s="23"/>
      <c r="I495" s="4"/>
      <c r="J495" s="24"/>
      <c r="K495" s="25"/>
      <c r="L495" s="26"/>
      <c r="M495" s="9"/>
      <c r="N495" s="9"/>
      <c r="O495" s="4"/>
      <c r="P495" s="4"/>
      <c r="Q495" s="4"/>
      <c r="R495" s="4"/>
      <c r="S495" s="4"/>
      <c r="T495" s="4"/>
      <c r="AV495" s="27"/>
      <c r="AW495" s="4"/>
    </row>
    <row r="496" spans="5:49" ht="15.75" customHeight="1">
      <c r="E496" s="23"/>
      <c r="F496" s="23"/>
      <c r="I496" s="4"/>
      <c r="J496" s="24"/>
      <c r="K496" s="25"/>
      <c r="L496" s="26"/>
      <c r="M496" s="9"/>
      <c r="N496" s="9"/>
      <c r="O496" s="4"/>
      <c r="P496" s="4"/>
      <c r="Q496" s="4"/>
      <c r="R496" s="4"/>
      <c r="S496" s="4"/>
      <c r="T496" s="4"/>
      <c r="AV496" s="27"/>
      <c r="AW496" s="4"/>
    </row>
    <row r="497" spans="5:49" ht="15.75" customHeight="1">
      <c r="E497" s="23"/>
      <c r="F497" s="23"/>
      <c r="I497" s="4"/>
      <c r="J497" s="24"/>
      <c r="K497" s="25"/>
      <c r="L497" s="26"/>
      <c r="M497" s="9"/>
      <c r="N497" s="9"/>
      <c r="O497" s="4"/>
      <c r="P497" s="4"/>
      <c r="Q497" s="4"/>
      <c r="R497" s="4"/>
      <c r="S497" s="4"/>
      <c r="T497" s="4"/>
      <c r="AV497" s="27"/>
      <c r="AW497" s="4"/>
    </row>
    <row r="498" spans="5:49" ht="15.75" customHeight="1">
      <c r="E498" s="23"/>
      <c r="F498" s="23"/>
      <c r="I498" s="4"/>
      <c r="J498" s="24"/>
      <c r="K498" s="25"/>
      <c r="L498" s="26"/>
      <c r="M498" s="9"/>
      <c r="N498" s="9"/>
      <c r="O498" s="4"/>
      <c r="P498" s="4"/>
      <c r="Q498" s="4"/>
      <c r="R498" s="4"/>
      <c r="S498" s="4"/>
      <c r="T498" s="4"/>
      <c r="AV498" s="27"/>
      <c r="AW498" s="4"/>
    </row>
    <row r="499" spans="5:49" ht="15.75" customHeight="1">
      <c r="E499" s="23"/>
      <c r="F499" s="23"/>
      <c r="I499" s="4"/>
      <c r="J499" s="24"/>
      <c r="K499" s="25"/>
      <c r="L499" s="26"/>
      <c r="M499" s="9"/>
      <c r="N499" s="9"/>
      <c r="O499" s="4"/>
      <c r="P499" s="4"/>
      <c r="Q499" s="4"/>
      <c r="R499" s="4"/>
      <c r="S499" s="4"/>
      <c r="T499" s="4"/>
      <c r="AV499" s="27"/>
      <c r="AW499" s="4"/>
    </row>
    <row r="500" spans="5:49" ht="15.75" customHeight="1">
      <c r="E500" s="23"/>
      <c r="F500" s="23"/>
      <c r="I500" s="4"/>
      <c r="J500" s="24"/>
      <c r="K500" s="25"/>
      <c r="L500" s="26"/>
      <c r="M500" s="9"/>
      <c r="N500" s="9"/>
      <c r="O500" s="4"/>
      <c r="P500" s="4"/>
      <c r="Q500" s="4"/>
      <c r="R500" s="4"/>
      <c r="S500" s="4"/>
      <c r="T500" s="4"/>
      <c r="AV500" s="27"/>
      <c r="AW500" s="4"/>
    </row>
    <row r="501" spans="5:49" ht="15.75" customHeight="1">
      <c r="E501" s="23"/>
      <c r="F501" s="23"/>
      <c r="I501" s="4"/>
      <c r="J501" s="24"/>
      <c r="K501" s="25"/>
      <c r="L501" s="26"/>
      <c r="M501" s="9"/>
      <c r="N501" s="9"/>
      <c r="O501" s="4"/>
      <c r="P501" s="4"/>
      <c r="Q501" s="4"/>
      <c r="R501" s="4"/>
      <c r="S501" s="4"/>
      <c r="T501" s="4"/>
      <c r="AV501" s="27"/>
      <c r="AW501" s="4"/>
    </row>
    <row r="502" spans="5:49" ht="15.75" customHeight="1">
      <c r="E502" s="23"/>
      <c r="F502" s="23"/>
      <c r="I502" s="4"/>
      <c r="J502" s="24"/>
      <c r="K502" s="25"/>
      <c r="L502" s="26"/>
      <c r="M502" s="9"/>
      <c r="N502" s="9"/>
      <c r="O502" s="4"/>
      <c r="P502" s="4"/>
      <c r="Q502" s="4"/>
      <c r="R502" s="4"/>
      <c r="S502" s="4"/>
      <c r="T502" s="4"/>
      <c r="AV502" s="27"/>
      <c r="AW502" s="4"/>
    </row>
    <row r="503" spans="5:49" ht="15.75" customHeight="1">
      <c r="E503" s="23"/>
      <c r="F503" s="23"/>
      <c r="I503" s="4"/>
      <c r="J503" s="24"/>
      <c r="K503" s="25"/>
      <c r="L503" s="26"/>
      <c r="M503" s="9"/>
      <c r="N503" s="9"/>
      <c r="O503" s="4"/>
      <c r="P503" s="4"/>
      <c r="Q503" s="4"/>
      <c r="R503" s="4"/>
      <c r="S503" s="4"/>
      <c r="T503" s="4"/>
      <c r="AV503" s="27"/>
      <c r="AW503" s="4"/>
    </row>
    <row r="504" spans="5:49" ht="15.75" customHeight="1">
      <c r="E504" s="23"/>
      <c r="F504" s="23"/>
      <c r="I504" s="4"/>
      <c r="J504" s="24"/>
      <c r="K504" s="25"/>
      <c r="L504" s="26"/>
      <c r="M504" s="9"/>
      <c r="N504" s="9"/>
      <c r="O504" s="4"/>
      <c r="P504" s="4"/>
      <c r="Q504" s="4"/>
      <c r="R504" s="4"/>
      <c r="S504" s="4"/>
      <c r="T504" s="4"/>
      <c r="AV504" s="27"/>
      <c r="AW504" s="4"/>
    </row>
    <row r="505" spans="5:49" ht="15.75" customHeight="1">
      <c r="E505" s="23"/>
      <c r="F505" s="23"/>
      <c r="I505" s="4"/>
      <c r="J505" s="24"/>
      <c r="K505" s="25"/>
      <c r="L505" s="26"/>
      <c r="M505" s="9"/>
      <c r="N505" s="9"/>
      <c r="O505" s="4"/>
      <c r="P505" s="4"/>
      <c r="Q505" s="4"/>
      <c r="R505" s="4"/>
      <c r="S505" s="4"/>
      <c r="T505" s="4"/>
      <c r="AV505" s="27"/>
      <c r="AW505" s="4"/>
    </row>
    <row r="506" spans="5:49" ht="15.75" customHeight="1">
      <c r="E506" s="23"/>
      <c r="F506" s="23"/>
      <c r="I506" s="4"/>
      <c r="J506" s="24"/>
      <c r="K506" s="25"/>
      <c r="L506" s="26"/>
      <c r="M506" s="9"/>
      <c r="N506" s="9"/>
      <c r="O506" s="4"/>
      <c r="P506" s="4"/>
      <c r="Q506" s="4"/>
      <c r="R506" s="4"/>
      <c r="S506" s="4"/>
      <c r="T506" s="4"/>
      <c r="AV506" s="27"/>
      <c r="AW506" s="4"/>
    </row>
    <row r="507" spans="5:49" ht="15.75" customHeight="1">
      <c r="E507" s="23"/>
      <c r="F507" s="23"/>
      <c r="I507" s="4"/>
      <c r="J507" s="24"/>
      <c r="K507" s="25"/>
      <c r="L507" s="26"/>
      <c r="M507" s="9"/>
      <c r="N507" s="9"/>
      <c r="O507" s="4"/>
      <c r="P507" s="4"/>
      <c r="Q507" s="4"/>
      <c r="R507" s="4"/>
      <c r="S507" s="4"/>
      <c r="T507" s="4"/>
      <c r="AV507" s="27"/>
      <c r="AW507" s="4"/>
    </row>
    <row r="508" spans="5:49" ht="15.75" customHeight="1">
      <c r="E508" s="23"/>
      <c r="F508" s="23"/>
      <c r="I508" s="4"/>
      <c r="J508" s="24"/>
      <c r="K508" s="25"/>
      <c r="L508" s="26"/>
      <c r="M508" s="9"/>
      <c r="N508" s="9"/>
      <c r="O508" s="4"/>
      <c r="P508" s="4"/>
      <c r="Q508" s="4"/>
      <c r="R508" s="4"/>
      <c r="S508" s="4"/>
      <c r="T508" s="4"/>
      <c r="AV508" s="27"/>
      <c r="AW508" s="4"/>
    </row>
    <row r="509" spans="5:49" ht="15.75" customHeight="1">
      <c r="E509" s="23"/>
      <c r="F509" s="23"/>
      <c r="I509" s="4"/>
      <c r="J509" s="24"/>
      <c r="K509" s="25"/>
      <c r="L509" s="26"/>
      <c r="M509" s="9"/>
      <c r="N509" s="9"/>
      <c r="O509" s="4"/>
      <c r="P509" s="4"/>
      <c r="Q509" s="4"/>
      <c r="R509" s="4"/>
      <c r="S509" s="4"/>
      <c r="T509" s="4"/>
      <c r="AV509" s="27"/>
      <c r="AW509" s="4"/>
    </row>
    <row r="510" spans="5:49" ht="15.75" customHeight="1">
      <c r="E510" s="23"/>
      <c r="F510" s="23"/>
      <c r="I510" s="4"/>
      <c r="J510" s="24"/>
      <c r="K510" s="25"/>
      <c r="L510" s="26"/>
      <c r="M510" s="9"/>
      <c r="N510" s="9"/>
      <c r="O510" s="4"/>
      <c r="P510" s="4"/>
      <c r="Q510" s="4"/>
      <c r="R510" s="4"/>
      <c r="S510" s="4"/>
      <c r="T510" s="4"/>
      <c r="AV510" s="27"/>
      <c r="AW510" s="4"/>
    </row>
    <row r="511" spans="5:49" ht="15.75" customHeight="1">
      <c r="E511" s="23"/>
      <c r="F511" s="23"/>
      <c r="I511" s="4"/>
      <c r="J511" s="24"/>
      <c r="K511" s="25"/>
      <c r="L511" s="26"/>
      <c r="M511" s="9"/>
      <c r="N511" s="9"/>
      <c r="O511" s="4"/>
      <c r="P511" s="4"/>
      <c r="Q511" s="4"/>
      <c r="R511" s="4"/>
      <c r="S511" s="4"/>
      <c r="T511" s="4"/>
      <c r="AV511" s="27"/>
      <c r="AW511" s="4"/>
    </row>
    <row r="512" spans="5:49" ht="15.75" customHeight="1">
      <c r="E512" s="23"/>
      <c r="F512" s="23"/>
      <c r="I512" s="4"/>
      <c r="J512" s="24"/>
      <c r="K512" s="25"/>
      <c r="L512" s="26"/>
      <c r="M512" s="9"/>
      <c r="N512" s="9"/>
      <c r="O512" s="4"/>
      <c r="P512" s="4"/>
      <c r="Q512" s="4"/>
      <c r="R512" s="4"/>
      <c r="S512" s="4"/>
      <c r="T512" s="4"/>
      <c r="AV512" s="27"/>
      <c r="AW512" s="4"/>
    </row>
    <row r="513" spans="5:49" ht="15.75" customHeight="1">
      <c r="E513" s="23"/>
      <c r="F513" s="23"/>
      <c r="I513" s="4"/>
      <c r="J513" s="24"/>
      <c r="K513" s="25"/>
      <c r="L513" s="26"/>
      <c r="M513" s="9"/>
      <c r="N513" s="9"/>
      <c r="O513" s="4"/>
      <c r="P513" s="4"/>
      <c r="Q513" s="4"/>
      <c r="R513" s="4"/>
      <c r="S513" s="4"/>
      <c r="T513" s="4"/>
      <c r="AV513" s="27"/>
      <c r="AW513" s="4"/>
    </row>
    <row r="514" spans="5:49" ht="15.75" customHeight="1">
      <c r="E514" s="23"/>
      <c r="F514" s="23"/>
      <c r="I514" s="4"/>
      <c r="J514" s="24"/>
      <c r="K514" s="25"/>
      <c r="L514" s="26"/>
      <c r="M514" s="9"/>
      <c r="N514" s="9"/>
      <c r="O514" s="4"/>
      <c r="P514" s="4"/>
      <c r="Q514" s="4"/>
      <c r="R514" s="4"/>
      <c r="S514" s="4"/>
      <c r="T514" s="4"/>
      <c r="AV514" s="27"/>
      <c r="AW514" s="4"/>
    </row>
    <row r="515" spans="5:49" ht="15.75" customHeight="1">
      <c r="E515" s="23"/>
      <c r="F515" s="23"/>
      <c r="I515" s="4"/>
      <c r="J515" s="24"/>
      <c r="K515" s="25"/>
      <c r="L515" s="26"/>
      <c r="M515" s="9"/>
      <c r="N515" s="9"/>
      <c r="O515" s="4"/>
      <c r="P515" s="4"/>
      <c r="Q515" s="4"/>
      <c r="R515" s="4"/>
      <c r="S515" s="4"/>
      <c r="T515" s="4"/>
      <c r="AV515" s="27"/>
      <c r="AW515" s="4"/>
    </row>
    <row r="516" spans="5:49" ht="15.75" customHeight="1">
      <c r="E516" s="23"/>
      <c r="F516" s="23"/>
      <c r="I516" s="4"/>
      <c r="J516" s="24"/>
      <c r="K516" s="25"/>
      <c r="L516" s="26"/>
      <c r="M516" s="9"/>
      <c r="N516" s="9"/>
      <c r="O516" s="4"/>
      <c r="P516" s="4"/>
      <c r="Q516" s="4"/>
      <c r="R516" s="4"/>
      <c r="S516" s="4"/>
      <c r="T516" s="4"/>
      <c r="AV516" s="27"/>
      <c r="AW516" s="4"/>
    </row>
    <row r="517" spans="5:49" ht="15.75" customHeight="1">
      <c r="E517" s="23"/>
      <c r="F517" s="23"/>
      <c r="I517" s="4"/>
      <c r="J517" s="24"/>
      <c r="K517" s="25"/>
      <c r="L517" s="26"/>
      <c r="M517" s="9"/>
      <c r="N517" s="9"/>
      <c r="O517" s="4"/>
      <c r="P517" s="4"/>
      <c r="Q517" s="4"/>
      <c r="R517" s="4"/>
      <c r="S517" s="4"/>
      <c r="T517" s="4"/>
      <c r="AV517" s="27"/>
      <c r="AW517" s="4"/>
    </row>
    <row r="518" spans="5:49" ht="15.75" customHeight="1">
      <c r="E518" s="23"/>
      <c r="F518" s="23"/>
      <c r="I518" s="4"/>
      <c r="J518" s="24"/>
      <c r="K518" s="25"/>
      <c r="L518" s="26"/>
      <c r="M518" s="9"/>
      <c r="N518" s="9"/>
      <c r="O518" s="4"/>
      <c r="P518" s="4"/>
      <c r="Q518" s="4"/>
      <c r="R518" s="4"/>
      <c r="S518" s="4"/>
      <c r="T518" s="4"/>
      <c r="AV518" s="27"/>
      <c r="AW518" s="4"/>
    </row>
    <row r="519" spans="5:49" ht="15.75" customHeight="1">
      <c r="E519" s="23"/>
      <c r="F519" s="23"/>
      <c r="I519" s="4"/>
      <c r="J519" s="24"/>
      <c r="K519" s="25"/>
      <c r="L519" s="26"/>
      <c r="M519" s="9"/>
      <c r="N519" s="9"/>
      <c r="O519" s="4"/>
      <c r="P519" s="4"/>
      <c r="Q519" s="4"/>
      <c r="R519" s="4"/>
      <c r="S519" s="4"/>
      <c r="T519" s="4"/>
      <c r="AV519" s="27"/>
      <c r="AW519" s="4"/>
    </row>
    <row r="520" spans="5:49" ht="15.75" customHeight="1">
      <c r="E520" s="23"/>
      <c r="F520" s="23"/>
      <c r="I520" s="4"/>
      <c r="J520" s="24"/>
      <c r="K520" s="25"/>
      <c r="L520" s="26"/>
      <c r="M520" s="9"/>
      <c r="N520" s="9"/>
      <c r="O520" s="4"/>
      <c r="P520" s="4"/>
      <c r="Q520" s="4"/>
      <c r="R520" s="4"/>
      <c r="S520" s="4"/>
      <c r="T520" s="4"/>
      <c r="AV520" s="27"/>
      <c r="AW520" s="4"/>
    </row>
    <row r="521" spans="5:49" ht="15.75" customHeight="1">
      <c r="E521" s="23"/>
      <c r="F521" s="23"/>
      <c r="I521" s="4"/>
      <c r="J521" s="24"/>
      <c r="K521" s="25"/>
      <c r="L521" s="26"/>
      <c r="M521" s="9"/>
      <c r="N521" s="9"/>
      <c r="O521" s="4"/>
      <c r="P521" s="4"/>
      <c r="Q521" s="4"/>
      <c r="R521" s="4"/>
      <c r="S521" s="4"/>
      <c r="T521" s="4"/>
      <c r="AV521" s="27"/>
      <c r="AW521" s="4"/>
    </row>
    <row r="522" spans="5:49" ht="15.75" customHeight="1">
      <c r="E522" s="23"/>
      <c r="F522" s="23"/>
      <c r="I522" s="4"/>
      <c r="J522" s="24"/>
      <c r="K522" s="25"/>
      <c r="L522" s="26"/>
      <c r="M522" s="9"/>
      <c r="N522" s="9"/>
      <c r="O522" s="4"/>
      <c r="P522" s="4"/>
      <c r="Q522" s="4"/>
      <c r="R522" s="4"/>
      <c r="S522" s="4"/>
      <c r="T522" s="4"/>
      <c r="AV522" s="27"/>
      <c r="AW522" s="4"/>
    </row>
    <row r="523" spans="5:49" ht="15.75" customHeight="1">
      <c r="E523" s="23"/>
      <c r="F523" s="23"/>
      <c r="I523" s="4"/>
      <c r="J523" s="24"/>
      <c r="K523" s="25"/>
      <c r="L523" s="26"/>
      <c r="M523" s="9"/>
      <c r="N523" s="9"/>
      <c r="O523" s="4"/>
      <c r="P523" s="4"/>
      <c r="Q523" s="4"/>
      <c r="R523" s="4"/>
      <c r="S523" s="4"/>
      <c r="T523" s="4"/>
      <c r="AV523" s="27"/>
      <c r="AW523" s="4"/>
    </row>
    <row r="524" spans="5:49" ht="15.75" customHeight="1">
      <c r="E524" s="23"/>
      <c r="F524" s="23"/>
      <c r="I524" s="4"/>
      <c r="J524" s="24"/>
      <c r="K524" s="25"/>
      <c r="L524" s="26"/>
      <c r="M524" s="9"/>
      <c r="N524" s="9"/>
      <c r="O524" s="4"/>
      <c r="P524" s="4"/>
      <c r="Q524" s="4"/>
      <c r="R524" s="4"/>
      <c r="S524" s="4"/>
      <c r="T524" s="4"/>
      <c r="AV524" s="27"/>
      <c r="AW524" s="4"/>
    </row>
    <row r="525" spans="5:49" ht="15.75" customHeight="1">
      <c r="E525" s="23"/>
      <c r="F525" s="23"/>
      <c r="I525" s="4"/>
      <c r="J525" s="24"/>
      <c r="K525" s="25"/>
      <c r="L525" s="26"/>
      <c r="M525" s="9"/>
      <c r="N525" s="9"/>
      <c r="O525" s="4"/>
      <c r="P525" s="4"/>
      <c r="Q525" s="4"/>
      <c r="R525" s="4"/>
      <c r="S525" s="4"/>
      <c r="T525" s="4"/>
      <c r="AV525" s="27"/>
      <c r="AW525" s="4"/>
    </row>
    <row r="526" spans="5:49" ht="15.75" customHeight="1">
      <c r="E526" s="23"/>
      <c r="F526" s="23"/>
      <c r="I526" s="4"/>
      <c r="J526" s="24"/>
      <c r="K526" s="25"/>
      <c r="L526" s="26"/>
      <c r="M526" s="9"/>
      <c r="N526" s="9"/>
      <c r="O526" s="4"/>
      <c r="P526" s="4"/>
      <c r="Q526" s="4"/>
      <c r="R526" s="4"/>
      <c r="S526" s="4"/>
      <c r="T526" s="4"/>
      <c r="AV526" s="27"/>
      <c r="AW526" s="4"/>
    </row>
    <row r="527" spans="5:49" ht="15.75" customHeight="1">
      <c r="E527" s="23"/>
      <c r="F527" s="23"/>
      <c r="I527" s="4"/>
      <c r="J527" s="24"/>
      <c r="K527" s="25"/>
      <c r="L527" s="26"/>
      <c r="M527" s="9"/>
      <c r="N527" s="9"/>
      <c r="O527" s="4"/>
      <c r="P527" s="4"/>
      <c r="Q527" s="4"/>
      <c r="R527" s="4"/>
      <c r="S527" s="4"/>
      <c r="T527" s="4"/>
      <c r="AV527" s="27"/>
      <c r="AW527" s="4"/>
    </row>
    <row r="528" spans="5:49" ht="15.75" customHeight="1">
      <c r="E528" s="23"/>
      <c r="F528" s="23"/>
      <c r="I528" s="4"/>
      <c r="J528" s="24"/>
      <c r="K528" s="25"/>
      <c r="L528" s="26"/>
      <c r="M528" s="9"/>
      <c r="N528" s="9"/>
      <c r="O528" s="4"/>
      <c r="P528" s="4"/>
      <c r="Q528" s="4"/>
      <c r="R528" s="4"/>
      <c r="S528" s="4"/>
      <c r="T528" s="4"/>
      <c r="AV528" s="27"/>
      <c r="AW528" s="4"/>
    </row>
    <row r="529" spans="5:49" ht="15.75" customHeight="1">
      <c r="E529" s="23"/>
      <c r="F529" s="23"/>
      <c r="I529" s="4"/>
      <c r="J529" s="24"/>
      <c r="K529" s="25"/>
      <c r="L529" s="26"/>
      <c r="M529" s="9"/>
      <c r="N529" s="9"/>
      <c r="O529" s="4"/>
      <c r="P529" s="4"/>
      <c r="Q529" s="4"/>
      <c r="R529" s="4"/>
      <c r="S529" s="4"/>
      <c r="T529" s="4"/>
      <c r="AV529" s="27"/>
      <c r="AW529" s="4"/>
    </row>
    <row r="530" spans="5:49" ht="15.75" customHeight="1">
      <c r="E530" s="23"/>
      <c r="F530" s="23"/>
      <c r="I530" s="4"/>
      <c r="J530" s="24"/>
      <c r="K530" s="25"/>
      <c r="L530" s="26"/>
      <c r="M530" s="9"/>
      <c r="N530" s="9"/>
      <c r="O530" s="4"/>
      <c r="P530" s="4"/>
      <c r="Q530" s="4"/>
      <c r="R530" s="4"/>
      <c r="S530" s="4"/>
      <c r="T530" s="4"/>
      <c r="AV530" s="27"/>
      <c r="AW530" s="4"/>
    </row>
    <row r="531" spans="5:49" ht="15.75" customHeight="1">
      <c r="E531" s="23"/>
      <c r="F531" s="23"/>
      <c r="I531" s="4"/>
      <c r="J531" s="24"/>
      <c r="K531" s="25"/>
      <c r="L531" s="26"/>
      <c r="M531" s="9"/>
      <c r="N531" s="9"/>
      <c r="O531" s="4"/>
      <c r="P531" s="4"/>
      <c r="Q531" s="4"/>
      <c r="R531" s="4"/>
      <c r="S531" s="4"/>
      <c r="T531" s="4"/>
      <c r="AV531" s="27"/>
      <c r="AW531" s="4"/>
    </row>
    <row r="532" spans="5:49" ht="15.75" customHeight="1">
      <c r="E532" s="23"/>
      <c r="F532" s="23"/>
      <c r="I532" s="4"/>
      <c r="J532" s="24"/>
      <c r="K532" s="25"/>
      <c r="L532" s="26"/>
      <c r="M532" s="9"/>
      <c r="N532" s="9"/>
      <c r="O532" s="4"/>
      <c r="P532" s="4"/>
      <c r="Q532" s="4"/>
      <c r="R532" s="4"/>
      <c r="S532" s="4"/>
      <c r="T532" s="4"/>
      <c r="AV532" s="27"/>
      <c r="AW532" s="4"/>
    </row>
    <row r="533" spans="5:49" ht="15.75" customHeight="1">
      <c r="E533" s="23"/>
      <c r="F533" s="23"/>
      <c r="I533" s="4"/>
      <c r="J533" s="24"/>
      <c r="K533" s="25"/>
      <c r="L533" s="26"/>
      <c r="M533" s="9"/>
      <c r="N533" s="9"/>
      <c r="O533" s="4"/>
      <c r="P533" s="4"/>
      <c r="Q533" s="4"/>
      <c r="R533" s="4"/>
      <c r="S533" s="4"/>
      <c r="T533" s="4"/>
      <c r="AV533" s="27"/>
      <c r="AW533" s="4"/>
    </row>
    <row r="534" spans="5:49" ht="15.75" customHeight="1">
      <c r="E534" s="23"/>
      <c r="F534" s="23"/>
      <c r="I534" s="4"/>
      <c r="J534" s="24"/>
      <c r="K534" s="25"/>
      <c r="L534" s="26"/>
      <c r="M534" s="9"/>
      <c r="N534" s="9"/>
      <c r="O534" s="4"/>
      <c r="P534" s="4"/>
      <c r="Q534" s="4"/>
      <c r="R534" s="4"/>
      <c r="S534" s="4"/>
      <c r="T534" s="4"/>
      <c r="AV534" s="27"/>
      <c r="AW534" s="4"/>
    </row>
    <row r="535" spans="5:49" ht="15.75" customHeight="1">
      <c r="E535" s="23"/>
      <c r="F535" s="23"/>
      <c r="I535" s="4"/>
      <c r="J535" s="24"/>
      <c r="K535" s="25"/>
      <c r="L535" s="26"/>
      <c r="M535" s="9"/>
      <c r="N535" s="9"/>
      <c r="O535" s="4"/>
      <c r="P535" s="4"/>
      <c r="Q535" s="4"/>
      <c r="R535" s="4"/>
      <c r="S535" s="4"/>
      <c r="T535" s="4"/>
      <c r="AV535" s="27"/>
      <c r="AW535" s="4"/>
    </row>
    <row r="536" spans="5:49" ht="15.75" customHeight="1">
      <c r="E536" s="23"/>
      <c r="F536" s="23"/>
      <c r="I536" s="4"/>
      <c r="J536" s="24"/>
      <c r="K536" s="25"/>
      <c r="L536" s="26"/>
      <c r="M536" s="9"/>
      <c r="N536" s="9"/>
      <c r="O536" s="4"/>
      <c r="P536" s="4"/>
      <c r="Q536" s="4"/>
      <c r="R536" s="4"/>
      <c r="S536" s="4"/>
      <c r="T536" s="4"/>
      <c r="AV536" s="27"/>
      <c r="AW536" s="4"/>
    </row>
    <row r="537" spans="5:49" ht="15.75" customHeight="1">
      <c r="E537" s="23"/>
      <c r="F537" s="23"/>
      <c r="I537" s="4"/>
      <c r="J537" s="24"/>
      <c r="K537" s="25"/>
      <c r="L537" s="26"/>
      <c r="M537" s="9"/>
      <c r="N537" s="9"/>
      <c r="O537" s="4"/>
      <c r="P537" s="4"/>
      <c r="Q537" s="4"/>
      <c r="R537" s="4"/>
      <c r="S537" s="4"/>
      <c r="T537" s="4"/>
      <c r="AV537" s="27"/>
      <c r="AW537" s="4"/>
    </row>
    <row r="538" spans="5:49" ht="15.75" customHeight="1">
      <c r="E538" s="23"/>
      <c r="F538" s="23"/>
      <c r="I538" s="4"/>
      <c r="J538" s="24"/>
      <c r="K538" s="25"/>
      <c r="L538" s="26"/>
      <c r="M538" s="9"/>
      <c r="N538" s="9"/>
      <c r="O538" s="4"/>
      <c r="P538" s="4"/>
      <c r="Q538" s="4"/>
      <c r="R538" s="4"/>
      <c r="S538" s="4"/>
      <c r="T538" s="4"/>
      <c r="AV538" s="27"/>
      <c r="AW538" s="4"/>
    </row>
    <row r="539" spans="5:49" ht="15.75" customHeight="1">
      <c r="E539" s="23"/>
      <c r="F539" s="23"/>
      <c r="I539" s="4"/>
      <c r="J539" s="24"/>
      <c r="K539" s="25"/>
      <c r="L539" s="26"/>
      <c r="M539" s="9"/>
      <c r="N539" s="9"/>
      <c r="O539" s="4"/>
      <c r="P539" s="4"/>
      <c r="Q539" s="4"/>
      <c r="R539" s="4"/>
      <c r="S539" s="4"/>
      <c r="T539" s="4"/>
      <c r="AV539" s="27"/>
      <c r="AW539" s="4"/>
    </row>
    <row r="540" spans="5:49" ht="15.75" customHeight="1">
      <c r="E540" s="23"/>
      <c r="F540" s="23"/>
      <c r="I540" s="4"/>
      <c r="J540" s="24"/>
      <c r="K540" s="25"/>
      <c r="L540" s="26"/>
      <c r="M540" s="9"/>
      <c r="N540" s="9"/>
      <c r="O540" s="4"/>
      <c r="P540" s="4"/>
      <c r="Q540" s="4"/>
      <c r="R540" s="4"/>
      <c r="S540" s="4"/>
      <c r="T540" s="4"/>
      <c r="AV540" s="27"/>
      <c r="AW540" s="4"/>
    </row>
    <row r="541" spans="5:49" ht="15.75" customHeight="1">
      <c r="E541" s="23"/>
      <c r="F541" s="23"/>
      <c r="I541" s="4"/>
      <c r="J541" s="24"/>
      <c r="K541" s="25"/>
      <c r="L541" s="26"/>
      <c r="M541" s="9"/>
      <c r="N541" s="9"/>
      <c r="O541" s="4"/>
      <c r="P541" s="4"/>
      <c r="Q541" s="4"/>
      <c r="R541" s="4"/>
      <c r="S541" s="4"/>
      <c r="T541" s="4"/>
      <c r="AV541" s="27"/>
      <c r="AW541" s="4"/>
    </row>
    <row r="542" spans="5:49" ht="15.75" customHeight="1">
      <c r="E542" s="23"/>
      <c r="F542" s="23"/>
      <c r="I542" s="4"/>
      <c r="J542" s="24"/>
      <c r="K542" s="25"/>
      <c r="L542" s="26"/>
      <c r="M542" s="9"/>
      <c r="N542" s="9"/>
      <c r="O542" s="4"/>
      <c r="P542" s="4"/>
      <c r="Q542" s="4"/>
      <c r="R542" s="4"/>
      <c r="S542" s="4"/>
      <c r="T542" s="4"/>
      <c r="AV542" s="27"/>
      <c r="AW542" s="4"/>
    </row>
    <row r="543" spans="5:49" ht="15.75" customHeight="1">
      <c r="E543" s="23"/>
      <c r="F543" s="23"/>
      <c r="I543" s="4"/>
      <c r="J543" s="24"/>
      <c r="K543" s="25"/>
      <c r="L543" s="26"/>
      <c r="M543" s="9"/>
      <c r="N543" s="9"/>
      <c r="O543" s="4"/>
      <c r="P543" s="4"/>
      <c r="Q543" s="4"/>
      <c r="R543" s="4"/>
      <c r="S543" s="4"/>
      <c r="T543" s="4"/>
      <c r="AV543" s="27"/>
      <c r="AW543" s="4"/>
    </row>
    <row r="544" spans="5:49" ht="15.75" customHeight="1">
      <c r="E544" s="23"/>
      <c r="F544" s="23"/>
      <c r="I544" s="4"/>
      <c r="J544" s="24"/>
      <c r="K544" s="25"/>
      <c r="L544" s="26"/>
      <c r="M544" s="9"/>
      <c r="N544" s="9"/>
      <c r="O544" s="4"/>
      <c r="P544" s="4"/>
      <c r="Q544" s="4"/>
      <c r="R544" s="4"/>
      <c r="S544" s="4"/>
      <c r="T544" s="4"/>
      <c r="AV544" s="27"/>
      <c r="AW544" s="4"/>
    </row>
    <row r="545" spans="5:49" ht="15.75" customHeight="1">
      <c r="E545" s="23"/>
      <c r="F545" s="23"/>
      <c r="I545" s="4"/>
      <c r="J545" s="24"/>
      <c r="K545" s="25"/>
      <c r="L545" s="26"/>
      <c r="M545" s="9"/>
      <c r="N545" s="9"/>
      <c r="O545" s="4"/>
      <c r="P545" s="4"/>
      <c r="Q545" s="4"/>
      <c r="R545" s="4"/>
      <c r="S545" s="4"/>
      <c r="T545" s="4"/>
      <c r="AV545" s="27"/>
      <c r="AW545" s="4"/>
    </row>
    <row r="546" spans="5:49" ht="15.75" customHeight="1">
      <c r="E546" s="23"/>
      <c r="F546" s="23"/>
      <c r="I546" s="4"/>
      <c r="J546" s="24"/>
      <c r="K546" s="25"/>
      <c r="L546" s="26"/>
      <c r="M546" s="9"/>
      <c r="N546" s="9"/>
      <c r="O546" s="4"/>
      <c r="P546" s="4"/>
      <c r="Q546" s="4"/>
      <c r="R546" s="4"/>
      <c r="S546" s="4"/>
      <c r="T546" s="4"/>
      <c r="AV546" s="27"/>
      <c r="AW546" s="4"/>
    </row>
    <row r="547" spans="5:49" ht="15.75" customHeight="1">
      <c r="E547" s="23"/>
      <c r="F547" s="23"/>
      <c r="I547" s="4"/>
      <c r="J547" s="24"/>
      <c r="K547" s="25"/>
      <c r="L547" s="26"/>
      <c r="M547" s="9"/>
      <c r="N547" s="9"/>
      <c r="O547" s="4"/>
      <c r="P547" s="4"/>
      <c r="Q547" s="4"/>
      <c r="R547" s="4"/>
      <c r="S547" s="4"/>
      <c r="T547" s="4"/>
      <c r="AV547" s="27"/>
      <c r="AW547" s="4"/>
    </row>
    <row r="548" spans="5:49" ht="15.75" customHeight="1">
      <c r="E548" s="23"/>
      <c r="F548" s="23"/>
      <c r="I548" s="4"/>
      <c r="J548" s="24"/>
      <c r="K548" s="25"/>
      <c r="L548" s="26"/>
      <c r="M548" s="9"/>
      <c r="N548" s="9"/>
      <c r="O548" s="4"/>
      <c r="P548" s="4"/>
      <c r="Q548" s="4"/>
      <c r="R548" s="4"/>
      <c r="S548" s="4"/>
      <c r="T548" s="4"/>
      <c r="AV548" s="27"/>
      <c r="AW548" s="4"/>
    </row>
    <row r="549" spans="5:49" ht="15.75" customHeight="1">
      <c r="E549" s="23"/>
      <c r="F549" s="23"/>
      <c r="I549" s="4"/>
      <c r="J549" s="24"/>
      <c r="K549" s="25"/>
      <c r="L549" s="26"/>
      <c r="M549" s="9"/>
      <c r="N549" s="9"/>
      <c r="O549" s="4"/>
      <c r="P549" s="4"/>
      <c r="Q549" s="4"/>
      <c r="R549" s="4"/>
      <c r="S549" s="4"/>
      <c r="T549" s="4"/>
      <c r="AV549" s="27"/>
      <c r="AW549" s="4"/>
    </row>
    <row r="550" spans="5:49" ht="15.75" customHeight="1">
      <c r="E550" s="23"/>
      <c r="F550" s="23"/>
      <c r="I550" s="4"/>
      <c r="J550" s="24"/>
      <c r="K550" s="25"/>
      <c r="L550" s="26"/>
      <c r="M550" s="9"/>
      <c r="N550" s="9"/>
      <c r="O550" s="4"/>
      <c r="P550" s="4"/>
      <c r="Q550" s="4"/>
      <c r="R550" s="4"/>
      <c r="S550" s="4"/>
      <c r="T550" s="4"/>
      <c r="AV550" s="27"/>
      <c r="AW550" s="4"/>
    </row>
    <row r="551" spans="5:49" ht="15.75" customHeight="1">
      <c r="E551" s="23"/>
      <c r="F551" s="23"/>
      <c r="I551" s="4"/>
      <c r="J551" s="24"/>
      <c r="K551" s="25"/>
      <c r="L551" s="26"/>
      <c r="M551" s="9"/>
      <c r="N551" s="9"/>
      <c r="O551" s="4"/>
      <c r="P551" s="4"/>
      <c r="Q551" s="4"/>
      <c r="R551" s="4"/>
      <c r="S551" s="4"/>
      <c r="T551" s="4"/>
      <c r="AV551" s="27"/>
      <c r="AW551" s="4"/>
    </row>
    <row r="552" spans="5:49" ht="15.75" customHeight="1">
      <c r="E552" s="23"/>
      <c r="F552" s="23"/>
      <c r="I552" s="4"/>
      <c r="J552" s="24"/>
      <c r="K552" s="25"/>
      <c r="L552" s="26"/>
      <c r="M552" s="9"/>
      <c r="N552" s="9"/>
      <c r="O552" s="4"/>
      <c r="P552" s="4"/>
      <c r="Q552" s="4"/>
      <c r="R552" s="4"/>
      <c r="S552" s="4"/>
      <c r="T552" s="4"/>
      <c r="AV552" s="27"/>
      <c r="AW552" s="4"/>
    </row>
    <row r="553" spans="5:49" ht="15.75" customHeight="1">
      <c r="E553" s="23"/>
      <c r="F553" s="23"/>
      <c r="I553" s="4"/>
      <c r="J553" s="24"/>
      <c r="K553" s="25"/>
      <c r="L553" s="26"/>
      <c r="M553" s="9"/>
      <c r="N553" s="9"/>
      <c r="O553" s="4"/>
      <c r="P553" s="4"/>
      <c r="Q553" s="4"/>
      <c r="R553" s="4"/>
      <c r="S553" s="4"/>
      <c r="T553" s="4"/>
      <c r="AV553" s="27"/>
      <c r="AW553" s="4"/>
    </row>
    <row r="554" spans="5:49" ht="15.75" customHeight="1">
      <c r="E554" s="23"/>
      <c r="F554" s="23"/>
      <c r="I554" s="4"/>
      <c r="J554" s="24"/>
      <c r="K554" s="25"/>
      <c r="L554" s="26"/>
      <c r="M554" s="9"/>
      <c r="N554" s="9"/>
      <c r="O554" s="4"/>
      <c r="P554" s="4"/>
      <c r="Q554" s="4"/>
      <c r="R554" s="4"/>
      <c r="S554" s="4"/>
      <c r="T554" s="4"/>
      <c r="AV554" s="27"/>
      <c r="AW554" s="4"/>
    </row>
    <row r="555" spans="5:49" ht="15.75" customHeight="1">
      <c r="E555" s="23"/>
      <c r="F555" s="23"/>
      <c r="I555" s="4"/>
      <c r="J555" s="24"/>
      <c r="K555" s="25"/>
      <c r="L555" s="26"/>
      <c r="M555" s="9"/>
      <c r="N555" s="9"/>
      <c r="O555" s="4"/>
      <c r="P555" s="4"/>
      <c r="Q555" s="4"/>
      <c r="R555" s="4"/>
      <c r="S555" s="4"/>
      <c r="T555" s="4"/>
      <c r="AV555" s="27"/>
      <c r="AW555" s="4"/>
    </row>
    <row r="556" spans="5:49" ht="15.75" customHeight="1">
      <c r="E556" s="23"/>
      <c r="F556" s="23"/>
      <c r="I556" s="4"/>
      <c r="J556" s="24"/>
      <c r="K556" s="25"/>
      <c r="L556" s="26"/>
      <c r="M556" s="9"/>
      <c r="N556" s="9"/>
      <c r="O556" s="4"/>
      <c r="P556" s="4"/>
      <c r="Q556" s="4"/>
      <c r="R556" s="4"/>
      <c r="S556" s="4"/>
      <c r="T556" s="4"/>
      <c r="AV556" s="27"/>
      <c r="AW556" s="4"/>
    </row>
    <row r="557" spans="5:49" ht="15.75" customHeight="1">
      <c r="E557" s="23"/>
      <c r="F557" s="23"/>
      <c r="I557" s="4"/>
      <c r="J557" s="24"/>
      <c r="K557" s="25"/>
      <c r="L557" s="26"/>
      <c r="M557" s="9"/>
      <c r="N557" s="9"/>
      <c r="O557" s="4"/>
      <c r="P557" s="4"/>
      <c r="Q557" s="4"/>
      <c r="R557" s="4"/>
      <c r="S557" s="4"/>
      <c r="T557" s="4"/>
      <c r="AV557" s="27"/>
      <c r="AW557" s="4"/>
    </row>
    <row r="558" spans="5:49" ht="15.75" customHeight="1">
      <c r="E558" s="23"/>
      <c r="F558" s="23"/>
      <c r="I558" s="4"/>
      <c r="J558" s="24"/>
      <c r="K558" s="25"/>
      <c r="L558" s="26"/>
      <c r="M558" s="9"/>
      <c r="N558" s="9"/>
      <c r="O558" s="4"/>
      <c r="P558" s="4"/>
      <c r="Q558" s="4"/>
      <c r="R558" s="4"/>
      <c r="S558" s="4"/>
      <c r="T558" s="4"/>
      <c r="AV558" s="27"/>
      <c r="AW558" s="4"/>
    </row>
    <row r="559" spans="5:49" ht="15.75" customHeight="1">
      <c r="E559" s="23"/>
      <c r="F559" s="23"/>
      <c r="I559" s="4"/>
      <c r="J559" s="24"/>
      <c r="K559" s="25"/>
      <c r="L559" s="26"/>
      <c r="M559" s="9"/>
      <c r="N559" s="9"/>
      <c r="O559" s="4"/>
      <c r="P559" s="4"/>
      <c r="Q559" s="4"/>
      <c r="R559" s="4"/>
      <c r="S559" s="4"/>
      <c r="T559" s="4"/>
      <c r="AV559" s="27"/>
      <c r="AW559" s="4"/>
    </row>
    <row r="560" spans="5:49" ht="15.75" customHeight="1">
      <c r="E560" s="23"/>
      <c r="F560" s="23"/>
      <c r="I560" s="4"/>
      <c r="J560" s="24"/>
      <c r="K560" s="25"/>
      <c r="L560" s="26"/>
      <c r="M560" s="9"/>
      <c r="N560" s="9"/>
      <c r="O560" s="4"/>
      <c r="P560" s="4"/>
      <c r="Q560" s="4"/>
      <c r="R560" s="4"/>
      <c r="S560" s="4"/>
      <c r="T560" s="4"/>
      <c r="AV560" s="27"/>
      <c r="AW560" s="4"/>
    </row>
    <row r="561" spans="5:49" ht="15.75" customHeight="1">
      <c r="E561" s="23"/>
      <c r="F561" s="23"/>
      <c r="I561" s="4"/>
      <c r="J561" s="24"/>
      <c r="K561" s="25"/>
      <c r="L561" s="26"/>
      <c r="M561" s="9"/>
      <c r="N561" s="9"/>
      <c r="O561" s="4"/>
      <c r="P561" s="4"/>
      <c r="Q561" s="4"/>
      <c r="R561" s="4"/>
      <c r="S561" s="4"/>
      <c r="T561" s="4"/>
      <c r="AV561" s="27"/>
      <c r="AW561" s="4"/>
    </row>
    <row r="562" spans="5:49" ht="15.75" customHeight="1">
      <c r="E562" s="23"/>
      <c r="F562" s="23"/>
      <c r="I562" s="4"/>
      <c r="J562" s="24"/>
      <c r="K562" s="25"/>
      <c r="L562" s="26"/>
      <c r="M562" s="9"/>
      <c r="N562" s="9"/>
      <c r="O562" s="4"/>
      <c r="P562" s="4"/>
      <c r="Q562" s="4"/>
      <c r="R562" s="4"/>
      <c r="S562" s="4"/>
      <c r="T562" s="4"/>
      <c r="AV562" s="27"/>
      <c r="AW562" s="4"/>
    </row>
    <row r="563" spans="5:49" ht="15.75" customHeight="1">
      <c r="E563" s="23"/>
      <c r="F563" s="23"/>
      <c r="I563" s="4"/>
      <c r="J563" s="24"/>
      <c r="K563" s="25"/>
      <c r="L563" s="26"/>
      <c r="M563" s="9"/>
      <c r="N563" s="9"/>
      <c r="O563" s="4"/>
      <c r="P563" s="4"/>
      <c r="Q563" s="4"/>
      <c r="R563" s="4"/>
      <c r="S563" s="4"/>
      <c r="T563" s="4"/>
      <c r="AV563" s="27"/>
      <c r="AW563" s="4"/>
    </row>
    <row r="564" spans="5:49" ht="15.75" customHeight="1">
      <c r="E564" s="23"/>
      <c r="F564" s="23"/>
      <c r="I564" s="4"/>
      <c r="J564" s="24"/>
      <c r="K564" s="25"/>
      <c r="L564" s="26"/>
      <c r="M564" s="9"/>
      <c r="N564" s="9"/>
      <c r="O564" s="4"/>
      <c r="P564" s="4"/>
      <c r="Q564" s="4"/>
      <c r="R564" s="4"/>
      <c r="S564" s="4"/>
      <c r="T564" s="4"/>
      <c r="AV564" s="27"/>
      <c r="AW564" s="4"/>
    </row>
    <row r="565" spans="5:49" ht="15.75" customHeight="1">
      <c r="E565" s="23"/>
      <c r="F565" s="23"/>
      <c r="I565" s="4"/>
      <c r="J565" s="24"/>
      <c r="K565" s="25"/>
      <c r="L565" s="26"/>
      <c r="M565" s="9"/>
      <c r="N565" s="9"/>
      <c r="O565" s="4"/>
      <c r="P565" s="4"/>
      <c r="Q565" s="4"/>
      <c r="R565" s="4"/>
      <c r="S565" s="4"/>
      <c r="T565" s="4"/>
      <c r="AV565" s="27"/>
      <c r="AW565" s="4"/>
    </row>
    <row r="566" spans="5:49" ht="15.75" customHeight="1">
      <c r="E566" s="23"/>
      <c r="F566" s="23"/>
      <c r="I566" s="4"/>
      <c r="J566" s="24"/>
      <c r="K566" s="25"/>
      <c r="L566" s="26"/>
      <c r="M566" s="9"/>
      <c r="N566" s="9"/>
      <c r="O566" s="4"/>
      <c r="P566" s="4"/>
      <c r="Q566" s="4"/>
      <c r="R566" s="4"/>
      <c r="S566" s="4"/>
      <c r="T566" s="4"/>
      <c r="AV566" s="27"/>
      <c r="AW566" s="4"/>
    </row>
    <row r="567" spans="5:49" ht="15.75" customHeight="1">
      <c r="E567" s="23"/>
      <c r="F567" s="23"/>
      <c r="I567" s="4"/>
      <c r="J567" s="24"/>
      <c r="K567" s="25"/>
      <c r="L567" s="26"/>
      <c r="M567" s="9"/>
      <c r="N567" s="9"/>
      <c r="O567" s="4"/>
      <c r="P567" s="4"/>
      <c r="Q567" s="4"/>
      <c r="R567" s="4"/>
      <c r="S567" s="4"/>
      <c r="T567" s="4"/>
      <c r="AV567" s="27"/>
      <c r="AW567" s="4"/>
    </row>
    <row r="568" spans="5:49" ht="15.75" customHeight="1">
      <c r="E568" s="23"/>
      <c r="F568" s="23"/>
      <c r="I568" s="4"/>
      <c r="J568" s="24"/>
      <c r="K568" s="25"/>
      <c r="L568" s="26"/>
      <c r="M568" s="9"/>
      <c r="N568" s="9"/>
      <c r="O568" s="4"/>
      <c r="P568" s="4"/>
      <c r="Q568" s="4"/>
      <c r="R568" s="4"/>
      <c r="S568" s="4"/>
      <c r="T568" s="4"/>
      <c r="AV568" s="27"/>
      <c r="AW568" s="4"/>
    </row>
    <row r="569" spans="5:49" ht="15.75" customHeight="1">
      <c r="E569" s="23"/>
      <c r="F569" s="23"/>
      <c r="I569" s="4"/>
      <c r="J569" s="24"/>
      <c r="K569" s="25"/>
      <c r="L569" s="26"/>
      <c r="M569" s="9"/>
      <c r="N569" s="9"/>
      <c r="O569" s="4"/>
      <c r="P569" s="4"/>
      <c r="Q569" s="4"/>
      <c r="R569" s="4"/>
      <c r="S569" s="4"/>
      <c r="T569" s="4"/>
      <c r="AV569" s="27"/>
      <c r="AW569" s="4"/>
    </row>
    <row r="570" spans="5:49" ht="15.75" customHeight="1">
      <c r="E570" s="23"/>
      <c r="F570" s="23"/>
      <c r="I570" s="4"/>
      <c r="J570" s="24"/>
      <c r="K570" s="25"/>
      <c r="L570" s="26"/>
      <c r="M570" s="9"/>
      <c r="N570" s="9"/>
      <c r="O570" s="4"/>
      <c r="P570" s="4"/>
      <c r="Q570" s="4"/>
      <c r="R570" s="4"/>
      <c r="S570" s="4"/>
      <c r="T570" s="4"/>
      <c r="AV570" s="27"/>
      <c r="AW570" s="4"/>
    </row>
    <row r="571" spans="5:49" ht="15.75" customHeight="1">
      <c r="E571" s="23"/>
      <c r="F571" s="23"/>
      <c r="I571" s="4"/>
      <c r="J571" s="24"/>
      <c r="K571" s="25"/>
      <c r="L571" s="26"/>
      <c r="M571" s="9"/>
      <c r="N571" s="9"/>
      <c r="O571" s="4"/>
      <c r="P571" s="4"/>
      <c r="Q571" s="4"/>
      <c r="R571" s="4"/>
      <c r="S571" s="4"/>
      <c r="T571" s="4"/>
      <c r="AV571" s="27"/>
      <c r="AW571" s="4"/>
    </row>
    <row r="572" spans="5:49" ht="15.75" customHeight="1">
      <c r="E572" s="23"/>
      <c r="F572" s="23"/>
      <c r="I572" s="4"/>
      <c r="J572" s="24"/>
      <c r="K572" s="25"/>
      <c r="L572" s="26"/>
      <c r="M572" s="9"/>
      <c r="N572" s="9"/>
      <c r="O572" s="4"/>
      <c r="P572" s="4"/>
      <c r="Q572" s="4"/>
      <c r="R572" s="4"/>
      <c r="S572" s="4"/>
      <c r="T572" s="4"/>
      <c r="AV572" s="27"/>
      <c r="AW572" s="4"/>
    </row>
    <row r="573" spans="5:49" ht="15.75" customHeight="1">
      <c r="E573" s="23"/>
      <c r="F573" s="23"/>
      <c r="I573" s="4"/>
      <c r="J573" s="24"/>
      <c r="K573" s="25"/>
      <c r="L573" s="26"/>
      <c r="M573" s="9"/>
      <c r="N573" s="9"/>
      <c r="O573" s="4"/>
      <c r="P573" s="4"/>
      <c r="Q573" s="4"/>
      <c r="R573" s="4"/>
      <c r="S573" s="4"/>
      <c r="T573" s="4"/>
      <c r="AV573" s="27"/>
      <c r="AW573" s="4"/>
    </row>
    <row r="574" spans="5:49" ht="15.75" customHeight="1">
      <c r="E574" s="23"/>
      <c r="F574" s="23"/>
      <c r="I574" s="4"/>
      <c r="J574" s="24"/>
      <c r="K574" s="25"/>
      <c r="L574" s="26"/>
      <c r="M574" s="9"/>
      <c r="N574" s="9"/>
      <c r="O574" s="4"/>
      <c r="P574" s="4"/>
      <c r="Q574" s="4"/>
      <c r="R574" s="4"/>
      <c r="S574" s="4"/>
      <c r="T574" s="4"/>
      <c r="AV574" s="27"/>
      <c r="AW574" s="4"/>
    </row>
    <row r="575" spans="5:49" ht="15.75" customHeight="1">
      <c r="E575" s="23"/>
      <c r="F575" s="23"/>
      <c r="I575" s="4"/>
      <c r="J575" s="24"/>
      <c r="K575" s="25"/>
      <c r="L575" s="26"/>
      <c r="M575" s="9"/>
      <c r="N575" s="9"/>
      <c r="O575" s="4"/>
      <c r="P575" s="4"/>
      <c r="Q575" s="4"/>
      <c r="R575" s="4"/>
      <c r="S575" s="4"/>
      <c r="T575" s="4"/>
      <c r="AV575" s="27"/>
      <c r="AW575" s="4"/>
    </row>
    <row r="576" spans="5:49" ht="15.75" customHeight="1">
      <c r="E576" s="23"/>
      <c r="F576" s="23"/>
      <c r="I576" s="4"/>
      <c r="J576" s="24"/>
      <c r="K576" s="25"/>
      <c r="L576" s="26"/>
      <c r="M576" s="9"/>
      <c r="N576" s="9"/>
      <c r="O576" s="4"/>
      <c r="P576" s="4"/>
      <c r="Q576" s="4"/>
      <c r="R576" s="4"/>
      <c r="S576" s="4"/>
      <c r="T576" s="4"/>
      <c r="AV576" s="27"/>
      <c r="AW576" s="4"/>
    </row>
    <row r="577" spans="5:49" ht="15.75" customHeight="1">
      <c r="E577" s="23"/>
      <c r="F577" s="23"/>
      <c r="I577" s="4"/>
      <c r="J577" s="24"/>
      <c r="K577" s="25"/>
      <c r="L577" s="26"/>
      <c r="M577" s="9"/>
      <c r="N577" s="9"/>
      <c r="O577" s="4"/>
      <c r="P577" s="4"/>
      <c r="Q577" s="4"/>
      <c r="R577" s="4"/>
      <c r="S577" s="4"/>
      <c r="T577" s="4"/>
      <c r="AV577" s="27"/>
      <c r="AW577" s="4"/>
    </row>
    <row r="578" spans="5:49" ht="15.75" customHeight="1">
      <c r="E578" s="23"/>
      <c r="F578" s="23"/>
      <c r="I578" s="4"/>
      <c r="J578" s="24"/>
      <c r="K578" s="25"/>
      <c r="L578" s="26"/>
      <c r="M578" s="9"/>
      <c r="N578" s="9"/>
      <c r="O578" s="4"/>
      <c r="P578" s="4"/>
      <c r="Q578" s="4"/>
      <c r="R578" s="4"/>
      <c r="S578" s="4"/>
      <c r="T578" s="4"/>
      <c r="AV578" s="27"/>
      <c r="AW578" s="4"/>
    </row>
    <row r="579" spans="5:49" ht="15.75" customHeight="1">
      <c r="E579" s="23"/>
      <c r="F579" s="23"/>
      <c r="I579" s="4"/>
      <c r="J579" s="24"/>
      <c r="K579" s="25"/>
      <c r="L579" s="26"/>
      <c r="M579" s="9"/>
      <c r="N579" s="9"/>
      <c r="O579" s="4"/>
      <c r="P579" s="4"/>
      <c r="Q579" s="4"/>
      <c r="R579" s="4"/>
      <c r="S579" s="4"/>
      <c r="T579" s="4"/>
      <c r="AV579" s="27"/>
      <c r="AW579" s="4"/>
    </row>
    <row r="580" spans="5:49" ht="15.75" customHeight="1">
      <c r="E580" s="23"/>
      <c r="F580" s="23"/>
      <c r="I580" s="4"/>
      <c r="J580" s="24"/>
      <c r="K580" s="25"/>
      <c r="L580" s="26"/>
      <c r="M580" s="9"/>
      <c r="N580" s="9"/>
      <c r="O580" s="4"/>
      <c r="P580" s="4"/>
      <c r="Q580" s="4"/>
      <c r="R580" s="4"/>
      <c r="S580" s="4"/>
      <c r="T580" s="4"/>
      <c r="AV580" s="27"/>
      <c r="AW580" s="4"/>
    </row>
    <row r="581" spans="5:49" ht="15.75" customHeight="1">
      <c r="E581" s="23"/>
      <c r="F581" s="23"/>
      <c r="I581" s="4"/>
      <c r="J581" s="24"/>
      <c r="K581" s="25"/>
      <c r="L581" s="26"/>
      <c r="M581" s="9"/>
      <c r="N581" s="9"/>
      <c r="O581" s="4"/>
      <c r="P581" s="4"/>
      <c r="Q581" s="4"/>
      <c r="R581" s="4"/>
      <c r="S581" s="4"/>
      <c r="T581" s="4"/>
      <c r="AV581" s="27"/>
      <c r="AW581" s="4"/>
    </row>
    <row r="582" spans="5:49" ht="15.75" customHeight="1">
      <c r="E582" s="23"/>
      <c r="F582" s="23"/>
      <c r="I582" s="4"/>
      <c r="J582" s="24"/>
      <c r="K582" s="25"/>
      <c r="L582" s="26"/>
      <c r="M582" s="9"/>
      <c r="N582" s="9"/>
      <c r="O582" s="4"/>
      <c r="P582" s="4"/>
      <c r="Q582" s="4"/>
      <c r="R582" s="4"/>
      <c r="S582" s="4"/>
      <c r="T582" s="4"/>
      <c r="AV582" s="27"/>
      <c r="AW582" s="4"/>
    </row>
    <row r="583" spans="5:49" ht="15.75" customHeight="1">
      <c r="E583" s="23"/>
      <c r="F583" s="23"/>
      <c r="I583" s="4"/>
      <c r="J583" s="24"/>
      <c r="K583" s="25"/>
      <c r="L583" s="26"/>
      <c r="M583" s="9"/>
      <c r="N583" s="9"/>
      <c r="O583" s="4"/>
      <c r="P583" s="4"/>
      <c r="Q583" s="4"/>
      <c r="R583" s="4"/>
      <c r="S583" s="4"/>
      <c r="T583" s="4"/>
      <c r="AV583" s="27"/>
      <c r="AW583" s="4"/>
    </row>
    <row r="584" spans="5:49" ht="15.75" customHeight="1">
      <c r="E584" s="23"/>
      <c r="F584" s="23"/>
      <c r="I584" s="4"/>
      <c r="J584" s="24"/>
      <c r="K584" s="25"/>
      <c r="L584" s="26"/>
      <c r="M584" s="9"/>
      <c r="N584" s="9"/>
      <c r="O584" s="4"/>
      <c r="P584" s="4"/>
      <c r="Q584" s="4"/>
      <c r="R584" s="4"/>
      <c r="S584" s="4"/>
      <c r="T584" s="4"/>
      <c r="AV584" s="27"/>
      <c r="AW584" s="4"/>
    </row>
    <row r="585" spans="5:49" ht="15.75" customHeight="1">
      <c r="E585" s="23"/>
      <c r="F585" s="23"/>
      <c r="I585" s="4"/>
      <c r="J585" s="24"/>
      <c r="K585" s="25"/>
      <c r="L585" s="26"/>
      <c r="M585" s="9"/>
      <c r="N585" s="9"/>
      <c r="O585" s="4"/>
      <c r="P585" s="4"/>
      <c r="Q585" s="4"/>
      <c r="R585" s="4"/>
      <c r="S585" s="4"/>
      <c r="T585" s="4"/>
      <c r="AV585" s="27"/>
      <c r="AW585" s="4"/>
    </row>
    <row r="586" spans="5:49" ht="15.75" customHeight="1">
      <c r="E586" s="23"/>
      <c r="F586" s="23"/>
      <c r="I586" s="4"/>
      <c r="J586" s="24"/>
      <c r="K586" s="25"/>
      <c r="L586" s="26"/>
      <c r="M586" s="9"/>
      <c r="N586" s="9"/>
      <c r="O586" s="4"/>
      <c r="P586" s="4"/>
      <c r="Q586" s="4"/>
      <c r="R586" s="4"/>
      <c r="S586" s="4"/>
      <c r="T586" s="4"/>
      <c r="AV586" s="27"/>
      <c r="AW586" s="4"/>
    </row>
    <row r="587" spans="5:49" ht="15.75" customHeight="1">
      <c r="E587" s="23"/>
      <c r="F587" s="23"/>
      <c r="I587" s="4"/>
      <c r="J587" s="24"/>
      <c r="K587" s="25"/>
      <c r="L587" s="26"/>
      <c r="M587" s="9"/>
      <c r="N587" s="9"/>
      <c r="O587" s="4"/>
      <c r="P587" s="4"/>
      <c r="Q587" s="4"/>
      <c r="R587" s="4"/>
      <c r="S587" s="4"/>
      <c r="T587" s="4"/>
      <c r="AV587" s="27"/>
      <c r="AW587" s="4"/>
    </row>
    <row r="588" spans="5:49" ht="15.75" customHeight="1">
      <c r="E588" s="23"/>
      <c r="F588" s="23"/>
      <c r="I588" s="4"/>
      <c r="J588" s="24"/>
      <c r="K588" s="25"/>
      <c r="L588" s="26"/>
      <c r="M588" s="9"/>
      <c r="N588" s="9"/>
      <c r="O588" s="4"/>
      <c r="P588" s="4"/>
      <c r="Q588" s="4"/>
      <c r="R588" s="4"/>
      <c r="S588" s="4"/>
      <c r="T588" s="4"/>
      <c r="AV588" s="27"/>
      <c r="AW588" s="4"/>
    </row>
    <row r="589" spans="5:49" ht="15.75" customHeight="1">
      <c r="E589" s="23"/>
      <c r="F589" s="23"/>
      <c r="I589" s="4"/>
      <c r="J589" s="24"/>
      <c r="K589" s="25"/>
      <c r="L589" s="26"/>
      <c r="M589" s="9"/>
      <c r="N589" s="9"/>
      <c r="O589" s="4"/>
      <c r="P589" s="4"/>
      <c r="Q589" s="4"/>
      <c r="R589" s="4"/>
      <c r="S589" s="4"/>
      <c r="T589" s="4"/>
      <c r="AV589" s="27"/>
      <c r="AW589" s="4"/>
    </row>
    <row r="590" spans="5:49" ht="15.75" customHeight="1">
      <c r="E590" s="23"/>
      <c r="F590" s="23"/>
      <c r="I590" s="4"/>
      <c r="J590" s="24"/>
      <c r="K590" s="25"/>
      <c r="L590" s="26"/>
      <c r="M590" s="9"/>
      <c r="N590" s="9"/>
      <c r="O590" s="4"/>
      <c r="P590" s="4"/>
      <c r="Q590" s="4"/>
      <c r="R590" s="4"/>
      <c r="S590" s="4"/>
      <c r="T590" s="4"/>
      <c r="AV590" s="27"/>
      <c r="AW590" s="4"/>
    </row>
    <row r="591" spans="5:49" ht="15.75" customHeight="1">
      <c r="E591" s="23"/>
      <c r="F591" s="23"/>
      <c r="I591" s="4"/>
      <c r="J591" s="24"/>
      <c r="K591" s="25"/>
      <c r="L591" s="26"/>
      <c r="M591" s="9"/>
      <c r="N591" s="9"/>
      <c r="O591" s="4"/>
      <c r="P591" s="4"/>
      <c r="Q591" s="4"/>
      <c r="R591" s="4"/>
      <c r="S591" s="4"/>
      <c r="T591" s="4"/>
      <c r="AV591" s="27"/>
      <c r="AW591" s="4"/>
    </row>
    <row r="592" spans="5:49" ht="15.75" customHeight="1">
      <c r="E592" s="23"/>
      <c r="F592" s="23"/>
      <c r="I592" s="4"/>
      <c r="J592" s="24"/>
      <c r="K592" s="25"/>
      <c r="L592" s="26"/>
      <c r="M592" s="9"/>
      <c r="N592" s="9"/>
      <c r="O592" s="4"/>
      <c r="P592" s="4"/>
      <c r="Q592" s="4"/>
      <c r="R592" s="4"/>
      <c r="S592" s="4"/>
      <c r="T592" s="4"/>
      <c r="AV592" s="27"/>
      <c r="AW592" s="4"/>
    </row>
    <row r="593" spans="5:49" ht="15.75" customHeight="1">
      <c r="E593" s="23"/>
      <c r="F593" s="23"/>
      <c r="I593" s="4"/>
      <c r="J593" s="24"/>
      <c r="K593" s="25"/>
      <c r="L593" s="26"/>
      <c r="M593" s="9"/>
      <c r="N593" s="9"/>
      <c r="O593" s="4"/>
      <c r="P593" s="4"/>
      <c r="Q593" s="4"/>
      <c r="R593" s="4"/>
      <c r="S593" s="4"/>
      <c r="T593" s="4"/>
      <c r="AV593" s="27"/>
      <c r="AW593" s="4"/>
    </row>
    <row r="594" spans="5:49" ht="15.75" customHeight="1">
      <c r="E594" s="23"/>
      <c r="F594" s="23"/>
      <c r="I594" s="4"/>
      <c r="J594" s="24"/>
      <c r="K594" s="25"/>
      <c r="L594" s="26"/>
      <c r="M594" s="9"/>
      <c r="N594" s="9"/>
      <c r="O594" s="4"/>
      <c r="P594" s="4"/>
      <c r="Q594" s="4"/>
      <c r="R594" s="4"/>
      <c r="S594" s="4"/>
      <c r="T594" s="4"/>
      <c r="AV594" s="27"/>
      <c r="AW594" s="4"/>
    </row>
    <row r="595" spans="5:49" ht="15.75" customHeight="1">
      <c r="E595" s="23"/>
      <c r="F595" s="23"/>
      <c r="I595" s="4"/>
      <c r="J595" s="24"/>
      <c r="K595" s="25"/>
      <c r="L595" s="26"/>
      <c r="M595" s="9"/>
      <c r="N595" s="9"/>
      <c r="O595" s="4"/>
      <c r="P595" s="4"/>
      <c r="Q595" s="4"/>
      <c r="R595" s="4"/>
      <c r="S595" s="4"/>
      <c r="T595" s="4"/>
      <c r="AV595" s="27"/>
      <c r="AW595" s="4"/>
    </row>
    <row r="596" spans="5:49" ht="15.75" customHeight="1">
      <c r="E596" s="23"/>
      <c r="F596" s="23"/>
      <c r="I596" s="4"/>
      <c r="J596" s="24"/>
      <c r="K596" s="25"/>
      <c r="L596" s="26"/>
      <c r="M596" s="9"/>
      <c r="N596" s="9"/>
      <c r="O596" s="4"/>
      <c r="P596" s="4"/>
      <c r="Q596" s="4"/>
      <c r="R596" s="4"/>
      <c r="S596" s="4"/>
      <c r="T596" s="4"/>
      <c r="AV596" s="27"/>
      <c r="AW596" s="4"/>
    </row>
    <row r="597" spans="5:49" ht="15.75" customHeight="1">
      <c r="E597" s="23"/>
      <c r="F597" s="23"/>
      <c r="I597" s="4"/>
      <c r="J597" s="24"/>
      <c r="K597" s="25"/>
      <c r="L597" s="26"/>
      <c r="M597" s="9"/>
      <c r="N597" s="9"/>
      <c r="O597" s="4"/>
      <c r="P597" s="4"/>
      <c r="Q597" s="4"/>
      <c r="R597" s="4"/>
      <c r="S597" s="4"/>
      <c r="T597" s="4"/>
      <c r="AV597" s="27"/>
      <c r="AW597" s="4"/>
    </row>
    <row r="598" spans="5:49" ht="15.75" customHeight="1">
      <c r="E598" s="23"/>
      <c r="F598" s="23"/>
      <c r="I598" s="4"/>
      <c r="J598" s="24"/>
      <c r="K598" s="25"/>
      <c r="L598" s="26"/>
      <c r="M598" s="9"/>
      <c r="N598" s="9"/>
      <c r="O598" s="4"/>
      <c r="P598" s="4"/>
      <c r="Q598" s="4"/>
      <c r="R598" s="4"/>
      <c r="S598" s="4"/>
      <c r="T598" s="4"/>
      <c r="AV598" s="27"/>
      <c r="AW598" s="4"/>
    </row>
    <row r="599" spans="5:49" ht="15.75" customHeight="1">
      <c r="E599" s="23"/>
      <c r="F599" s="23"/>
      <c r="I599" s="4"/>
      <c r="J599" s="24"/>
      <c r="K599" s="25"/>
      <c r="L599" s="26"/>
      <c r="M599" s="9"/>
      <c r="N599" s="9"/>
      <c r="O599" s="4"/>
      <c r="P599" s="4"/>
      <c r="Q599" s="4"/>
      <c r="R599" s="4"/>
      <c r="S599" s="4"/>
      <c r="T599" s="4"/>
      <c r="AV599" s="27"/>
      <c r="AW599" s="4"/>
    </row>
    <row r="600" spans="5:49" ht="15.75" customHeight="1">
      <c r="E600" s="23"/>
      <c r="F600" s="23"/>
      <c r="I600" s="4"/>
      <c r="J600" s="24"/>
      <c r="K600" s="25"/>
      <c r="L600" s="26"/>
      <c r="M600" s="9"/>
      <c r="N600" s="9"/>
      <c r="O600" s="4"/>
      <c r="P600" s="4"/>
      <c r="Q600" s="4"/>
      <c r="R600" s="4"/>
      <c r="S600" s="4"/>
      <c r="T600" s="4"/>
      <c r="AV600" s="27"/>
      <c r="AW600" s="4"/>
    </row>
    <row r="601" spans="5:49" ht="15.75" customHeight="1">
      <c r="E601" s="23"/>
      <c r="F601" s="23"/>
      <c r="I601" s="4"/>
      <c r="J601" s="24"/>
      <c r="K601" s="25"/>
      <c r="L601" s="26"/>
      <c r="M601" s="9"/>
      <c r="N601" s="9"/>
      <c r="O601" s="4"/>
      <c r="P601" s="4"/>
      <c r="Q601" s="4"/>
      <c r="R601" s="4"/>
      <c r="S601" s="4"/>
      <c r="T601" s="4"/>
      <c r="AV601" s="27"/>
      <c r="AW601" s="4"/>
    </row>
    <row r="602" spans="5:49" ht="15.75" customHeight="1">
      <c r="E602" s="23"/>
      <c r="F602" s="23"/>
      <c r="I602" s="4"/>
      <c r="J602" s="24"/>
      <c r="K602" s="25"/>
      <c r="L602" s="26"/>
      <c r="M602" s="9"/>
      <c r="N602" s="9"/>
      <c r="O602" s="4"/>
      <c r="P602" s="4"/>
      <c r="Q602" s="4"/>
      <c r="R602" s="4"/>
      <c r="S602" s="4"/>
      <c r="T602" s="4"/>
      <c r="AV602" s="27"/>
      <c r="AW602" s="4"/>
    </row>
    <row r="603" spans="5:49" ht="15.75" customHeight="1">
      <c r="E603" s="23"/>
      <c r="F603" s="23"/>
      <c r="I603" s="4"/>
      <c r="J603" s="24"/>
      <c r="K603" s="25"/>
      <c r="L603" s="26"/>
      <c r="M603" s="9"/>
      <c r="N603" s="9"/>
      <c r="O603" s="4"/>
      <c r="P603" s="4"/>
      <c r="Q603" s="4"/>
      <c r="R603" s="4"/>
      <c r="S603" s="4"/>
      <c r="T603" s="4"/>
      <c r="AV603" s="27"/>
      <c r="AW603" s="4"/>
    </row>
    <row r="604" spans="5:49" ht="15.75" customHeight="1">
      <c r="E604" s="23"/>
      <c r="F604" s="23"/>
      <c r="I604" s="4"/>
      <c r="J604" s="24"/>
      <c r="K604" s="25"/>
      <c r="L604" s="26"/>
      <c r="M604" s="9"/>
      <c r="N604" s="9"/>
      <c r="O604" s="4"/>
      <c r="P604" s="4"/>
      <c r="Q604" s="4"/>
      <c r="R604" s="4"/>
      <c r="S604" s="4"/>
      <c r="T604" s="4"/>
      <c r="AV604" s="27"/>
      <c r="AW604" s="4"/>
    </row>
    <row r="605" spans="5:49" ht="15.75" customHeight="1">
      <c r="E605" s="23"/>
      <c r="F605" s="23"/>
      <c r="I605" s="4"/>
      <c r="J605" s="24"/>
      <c r="K605" s="25"/>
      <c r="L605" s="26"/>
      <c r="M605" s="9"/>
      <c r="N605" s="9"/>
      <c r="O605" s="4"/>
      <c r="P605" s="4"/>
      <c r="Q605" s="4"/>
      <c r="R605" s="4"/>
      <c r="S605" s="4"/>
      <c r="T605" s="4"/>
      <c r="AV605" s="27"/>
      <c r="AW605" s="4"/>
    </row>
    <row r="606" spans="5:49" ht="15.75" customHeight="1">
      <c r="E606" s="23"/>
      <c r="F606" s="23"/>
      <c r="I606" s="4"/>
      <c r="J606" s="24"/>
      <c r="K606" s="25"/>
      <c r="L606" s="26"/>
      <c r="M606" s="9"/>
      <c r="N606" s="9"/>
      <c r="O606" s="4"/>
      <c r="P606" s="4"/>
      <c r="Q606" s="4"/>
      <c r="R606" s="4"/>
      <c r="S606" s="4"/>
      <c r="T606" s="4"/>
      <c r="AV606" s="27"/>
      <c r="AW606" s="4"/>
    </row>
    <row r="607" spans="5:49" ht="15.75" customHeight="1">
      <c r="E607" s="23"/>
      <c r="F607" s="23"/>
      <c r="I607" s="4"/>
      <c r="J607" s="24"/>
      <c r="K607" s="25"/>
      <c r="L607" s="26"/>
      <c r="M607" s="9"/>
      <c r="N607" s="9"/>
      <c r="O607" s="4"/>
      <c r="P607" s="4"/>
      <c r="Q607" s="4"/>
      <c r="R607" s="4"/>
      <c r="S607" s="4"/>
      <c r="T607" s="4"/>
      <c r="AV607" s="27"/>
      <c r="AW607" s="4"/>
    </row>
    <row r="608" spans="5:49" ht="15.75" customHeight="1">
      <c r="E608" s="23"/>
      <c r="F608" s="23"/>
      <c r="I608" s="4"/>
      <c r="J608" s="24"/>
      <c r="K608" s="25"/>
      <c r="L608" s="26"/>
      <c r="M608" s="9"/>
      <c r="N608" s="9"/>
      <c r="O608" s="4"/>
      <c r="P608" s="4"/>
      <c r="Q608" s="4"/>
      <c r="R608" s="4"/>
      <c r="S608" s="4"/>
      <c r="T608" s="4"/>
      <c r="AV608" s="27"/>
      <c r="AW608" s="4"/>
    </row>
    <row r="609" spans="5:49" ht="15.75" customHeight="1">
      <c r="E609" s="23"/>
      <c r="F609" s="23"/>
      <c r="I609" s="4"/>
      <c r="J609" s="24"/>
      <c r="K609" s="25"/>
      <c r="L609" s="26"/>
      <c r="M609" s="9"/>
      <c r="N609" s="9"/>
      <c r="O609" s="4"/>
      <c r="P609" s="4"/>
      <c r="Q609" s="4"/>
      <c r="R609" s="4"/>
      <c r="S609" s="4"/>
      <c r="T609" s="4"/>
      <c r="AV609" s="27"/>
      <c r="AW609" s="4"/>
    </row>
    <row r="610" spans="5:49" ht="15.75" customHeight="1">
      <c r="E610" s="23"/>
      <c r="F610" s="23"/>
      <c r="I610" s="4"/>
      <c r="J610" s="24"/>
      <c r="K610" s="25"/>
      <c r="L610" s="26"/>
      <c r="M610" s="9"/>
      <c r="N610" s="9"/>
      <c r="O610" s="4"/>
      <c r="P610" s="4"/>
      <c r="Q610" s="4"/>
      <c r="R610" s="4"/>
      <c r="S610" s="4"/>
      <c r="T610" s="4"/>
      <c r="AV610" s="27"/>
      <c r="AW610" s="4"/>
    </row>
    <row r="611" spans="5:49" ht="15.75" customHeight="1">
      <c r="E611" s="23"/>
      <c r="F611" s="23"/>
      <c r="I611" s="4"/>
      <c r="J611" s="24"/>
      <c r="K611" s="25"/>
      <c r="L611" s="26"/>
      <c r="M611" s="9"/>
      <c r="N611" s="9"/>
      <c r="O611" s="4"/>
      <c r="P611" s="4"/>
      <c r="Q611" s="4"/>
      <c r="R611" s="4"/>
      <c r="S611" s="4"/>
      <c r="T611" s="4"/>
      <c r="AV611" s="27"/>
      <c r="AW611" s="4"/>
    </row>
    <row r="612" spans="5:49" ht="15.75" customHeight="1">
      <c r="E612" s="23"/>
      <c r="F612" s="23"/>
      <c r="I612" s="4"/>
      <c r="J612" s="24"/>
      <c r="K612" s="25"/>
      <c r="L612" s="26"/>
      <c r="M612" s="9"/>
      <c r="N612" s="9"/>
      <c r="O612" s="4"/>
      <c r="P612" s="4"/>
      <c r="Q612" s="4"/>
      <c r="R612" s="4"/>
      <c r="S612" s="4"/>
      <c r="T612" s="4"/>
      <c r="AV612" s="27"/>
      <c r="AW612" s="4"/>
    </row>
    <row r="613" spans="5:49" ht="15.75" customHeight="1">
      <c r="E613" s="23"/>
      <c r="F613" s="23"/>
      <c r="I613" s="4"/>
      <c r="J613" s="24"/>
      <c r="K613" s="25"/>
      <c r="L613" s="26"/>
      <c r="M613" s="9"/>
      <c r="N613" s="9"/>
      <c r="O613" s="4"/>
      <c r="P613" s="4"/>
      <c r="Q613" s="4"/>
      <c r="R613" s="4"/>
      <c r="S613" s="4"/>
      <c r="T613" s="4"/>
      <c r="AV613" s="27"/>
      <c r="AW613" s="4"/>
    </row>
    <row r="614" spans="5:49" ht="15.75" customHeight="1">
      <c r="E614" s="23"/>
      <c r="F614" s="23"/>
      <c r="I614" s="4"/>
      <c r="J614" s="24"/>
      <c r="K614" s="25"/>
      <c r="L614" s="26"/>
      <c r="M614" s="9"/>
      <c r="N614" s="9"/>
      <c r="O614" s="4"/>
      <c r="P614" s="4"/>
      <c r="Q614" s="4"/>
      <c r="R614" s="4"/>
      <c r="S614" s="4"/>
      <c r="T614" s="4"/>
      <c r="AV614" s="27"/>
      <c r="AW614" s="4"/>
    </row>
    <row r="615" spans="5:49" ht="15.75" customHeight="1">
      <c r="E615" s="23"/>
      <c r="F615" s="23"/>
      <c r="I615" s="4"/>
      <c r="J615" s="24"/>
      <c r="K615" s="25"/>
      <c r="L615" s="26"/>
      <c r="M615" s="9"/>
      <c r="N615" s="9"/>
      <c r="O615" s="4"/>
      <c r="P615" s="4"/>
      <c r="Q615" s="4"/>
      <c r="R615" s="4"/>
      <c r="S615" s="4"/>
      <c r="T615" s="4"/>
      <c r="AV615" s="27"/>
      <c r="AW615" s="4"/>
    </row>
    <row r="616" spans="5:49" ht="15.75" customHeight="1">
      <c r="E616" s="23"/>
      <c r="F616" s="23"/>
      <c r="I616" s="4"/>
      <c r="J616" s="24"/>
      <c r="K616" s="25"/>
      <c r="L616" s="26"/>
      <c r="M616" s="9"/>
      <c r="N616" s="9"/>
      <c r="O616" s="4"/>
      <c r="P616" s="4"/>
      <c r="Q616" s="4"/>
      <c r="R616" s="4"/>
      <c r="S616" s="4"/>
      <c r="T616" s="4"/>
      <c r="AV616" s="27"/>
      <c r="AW616" s="4"/>
    </row>
    <row r="617" spans="5:49" ht="15.75" customHeight="1">
      <c r="E617" s="23"/>
      <c r="F617" s="23"/>
      <c r="I617" s="4"/>
      <c r="J617" s="24"/>
      <c r="K617" s="25"/>
      <c r="L617" s="26"/>
      <c r="M617" s="9"/>
      <c r="N617" s="9"/>
      <c r="O617" s="4"/>
      <c r="P617" s="4"/>
      <c r="Q617" s="4"/>
      <c r="R617" s="4"/>
      <c r="S617" s="4"/>
      <c r="T617" s="4"/>
      <c r="AV617" s="27"/>
      <c r="AW617" s="4"/>
    </row>
    <row r="618" spans="5:49" ht="15.75" customHeight="1">
      <c r="E618" s="23"/>
      <c r="F618" s="23"/>
      <c r="I618" s="4"/>
      <c r="J618" s="24"/>
      <c r="K618" s="25"/>
      <c r="L618" s="26"/>
      <c r="M618" s="9"/>
      <c r="N618" s="9"/>
      <c r="O618" s="4"/>
      <c r="P618" s="4"/>
      <c r="Q618" s="4"/>
      <c r="R618" s="4"/>
      <c r="S618" s="4"/>
      <c r="T618" s="4"/>
      <c r="AV618" s="27"/>
      <c r="AW618" s="4"/>
    </row>
    <row r="619" spans="5:49" ht="15.75" customHeight="1">
      <c r="E619" s="23"/>
      <c r="F619" s="23"/>
      <c r="I619" s="4"/>
      <c r="J619" s="24"/>
      <c r="K619" s="25"/>
      <c r="L619" s="26"/>
      <c r="M619" s="9"/>
      <c r="N619" s="9"/>
      <c r="O619" s="4"/>
      <c r="P619" s="4"/>
      <c r="Q619" s="4"/>
      <c r="R619" s="4"/>
      <c r="S619" s="4"/>
      <c r="T619" s="4"/>
      <c r="AV619" s="27"/>
      <c r="AW619" s="4"/>
    </row>
    <row r="620" spans="5:49" ht="15.75" customHeight="1">
      <c r="E620" s="23"/>
      <c r="F620" s="23"/>
      <c r="I620" s="4"/>
      <c r="J620" s="24"/>
      <c r="K620" s="25"/>
      <c r="L620" s="26"/>
      <c r="M620" s="9"/>
      <c r="N620" s="9"/>
      <c r="O620" s="4"/>
      <c r="P620" s="4"/>
      <c r="Q620" s="4"/>
      <c r="R620" s="4"/>
      <c r="S620" s="4"/>
      <c r="T620" s="4"/>
      <c r="AV620" s="27"/>
      <c r="AW620" s="4"/>
    </row>
    <row r="621" spans="5:49" ht="15.75" customHeight="1">
      <c r="E621" s="23"/>
      <c r="F621" s="23"/>
      <c r="I621" s="4"/>
      <c r="J621" s="24"/>
      <c r="K621" s="25"/>
      <c r="L621" s="26"/>
      <c r="M621" s="9"/>
      <c r="N621" s="9"/>
      <c r="O621" s="4"/>
      <c r="P621" s="4"/>
      <c r="Q621" s="4"/>
      <c r="R621" s="4"/>
      <c r="S621" s="4"/>
      <c r="T621" s="4"/>
      <c r="AV621" s="27"/>
      <c r="AW621" s="4"/>
    </row>
    <row r="622" spans="5:49" ht="15.75" customHeight="1">
      <c r="E622" s="23"/>
      <c r="F622" s="23"/>
      <c r="I622" s="4"/>
      <c r="J622" s="24"/>
      <c r="K622" s="25"/>
      <c r="L622" s="26"/>
      <c r="M622" s="9"/>
      <c r="N622" s="9"/>
      <c r="O622" s="4"/>
      <c r="P622" s="4"/>
      <c r="Q622" s="4"/>
      <c r="R622" s="4"/>
      <c r="S622" s="4"/>
      <c r="T622" s="4"/>
      <c r="AV622" s="27"/>
      <c r="AW622" s="4"/>
    </row>
    <row r="623" spans="5:49" ht="15.75" customHeight="1">
      <c r="E623" s="23"/>
      <c r="F623" s="23"/>
      <c r="I623" s="4"/>
      <c r="J623" s="24"/>
      <c r="K623" s="25"/>
      <c r="L623" s="26"/>
      <c r="M623" s="9"/>
      <c r="N623" s="9"/>
      <c r="O623" s="4"/>
      <c r="P623" s="4"/>
      <c r="Q623" s="4"/>
      <c r="R623" s="4"/>
      <c r="S623" s="4"/>
      <c r="T623" s="4"/>
      <c r="AV623" s="27"/>
      <c r="AW623" s="4"/>
    </row>
    <row r="624" spans="5:49" ht="15.75" customHeight="1">
      <c r="E624" s="23"/>
      <c r="F624" s="23"/>
      <c r="I624" s="4"/>
      <c r="J624" s="24"/>
      <c r="K624" s="25"/>
      <c r="L624" s="26"/>
      <c r="M624" s="9"/>
      <c r="N624" s="9"/>
      <c r="O624" s="4"/>
      <c r="P624" s="4"/>
      <c r="Q624" s="4"/>
      <c r="R624" s="4"/>
      <c r="S624" s="4"/>
      <c r="T624" s="4"/>
      <c r="AV624" s="27"/>
      <c r="AW624" s="4"/>
    </row>
    <row r="625" spans="5:49" ht="15.75" customHeight="1">
      <c r="E625" s="23"/>
      <c r="F625" s="23"/>
      <c r="I625" s="4"/>
      <c r="J625" s="24"/>
      <c r="K625" s="25"/>
      <c r="L625" s="26"/>
      <c r="M625" s="9"/>
      <c r="N625" s="9"/>
      <c r="O625" s="4"/>
      <c r="P625" s="4"/>
      <c r="Q625" s="4"/>
      <c r="R625" s="4"/>
      <c r="S625" s="4"/>
      <c r="T625" s="4"/>
      <c r="AV625" s="27"/>
      <c r="AW625" s="4"/>
    </row>
    <row r="626" spans="5:49" ht="15.75" customHeight="1">
      <c r="E626" s="23"/>
      <c r="F626" s="23"/>
      <c r="I626" s="4"/>
      <c r="J626" s="24"/>
      <c r="K626" s="25"/>
      <c r="L626" s="26"/>
      <c r="M626" s="9"/>
      <c r="N626" s="9"/>
      <c r="O626" s="4"/>
      <c r="P626" s="4"/>
      <c r="Q626" s="4"/>
      <c r="R626" s="4"/>
      <c r="S626" s="4"/>
      <c r="T626" s="4"/>
      <c r="AV626" s="27"/>
      <c r="AW626" s="4"/>
    </row>
    <row r="627" spans="5:49" ht="15.75" customHeight="1">
      <c r="E627" s="23"/>
      <c r="F627" s="23"/>
      <c r="I627" s="4"/>
      <c r="J627" s="24"/>
      <c r="K627" s="25"/>
      <c r="L627" s="26"/>
      <c r="M627" s="9"/>
      <c r="N627" s="9"/>
      <c r="O627" s="4"/>
      <c r="P627" s="4"/>
      <c r="Q627" s="4"/>
      <c r="R627" s="4"/>
      <c r="S627" s="4"/>
      <c r="T627" s="4"/>
      <c r="AV627" s="27"/>
      <c r="AW627" s="4"/>
    </row>
    <row r="628" spans="5:49" ht="15.75" customHeight="1">
      <c r="E628" s="23"/>
      <c r="F628" s="23"/>
      <c r="I628" s="4"/>
      <c r="J628" s="24"/>
      <c r="K628" s="25"/>
      <c r="L628" s="26"/>
      <c r="M628" s="9"/>
      <c r="N628" s="9"/>
      <c r="O628" s="4"/>
      <c r="P628" s="4"/>
      <c r="Q628" s="4"/>
      <c r="R628" s="4"/>
      <c r="S628" s="4"/>
      <c r="T628" s="4"/>
      <c r="AV628" s="27"/>
      <c r="AW628" s="4"/>
    </row>
    <row r="629" spans="5:49" ht="15.75" customHeight="1">
      <c r="E629" s="23"/>
      <c r="F629" s="23"/>
      <c r="I629" s="4"/>
      <c r="J629" s="24"/>
      <c r="K629" s="25"/>
      <c r="L629" s="26"/>
      <c r="M629" s="9"/>
      <c r="N629" s="9"/>
      <c r="O629" s="4"/>
      <c r="P629" s="4"/>
      <c r="Q629" s="4"/>
      <c r="R629" s="4"/>
      <c r="S629" s="4"/>
      <c r="T629" s="4"/>
      <c r="AV629" s="27"/>
      <c r="AW629" s="4"/>
    </row>
    <row r="630" spans="5:49" ht="15.75" customHeight="1">
      <c r="E630" s="23"/>
      <c r="F630" s="23"/>
      <c r="I630" s="4"/>
      <c r="J630" s="24"/>
      <c r="K630" s="25"/>
      <c r="L630" s="26"/>
      <c r="M630" s="9"/>
      <c r="N630" s="9"/>
      <c r="O630" s="4"/>
      <c r="P630" s="4"/>
      <c r="Q630" s="4"/>
      <c r="R630" s="4"/>
      <c r="S630" s="4"/>
      <c r="T630" s="4"/>
      <c r="AV630" s="27"/>
      <c r="AW630" s="4"/>
    </row>
    <row r="631" spans="5:49" ht="15.75" customHeight="1">
      <c r="E631" s="23"/>
      <c r="F631" s="23"/>
      <c r="I631" s="4"/>
      <c r="J631" s="24"/>
      <c r="K631" s="25"/>
      <c r="L631" s="26"/>
      <c r="M631" s="9"/>
      <c r="N631" s="9"/>
      <c r="O631" s="4"/>
      <c r="P631" s="4"/>
      <c r="Q631" s="4"/>
      <c r="R631" s="4"/>
      <c r="S631" s="4"/>
      <c r="T631" s="4"/>
      <c r="AV631" s="27"/>
      <c r="AW631" s="4"/>
    </row>
    <row r="632" spans="5:49" ht="15.75" customHeight="1">
      <c r="E632" s="23"/>
      <c r="F632" s="23"/>
      <c r="I632" s="4"/>
      <c r="J632" s="24"/>
      <c r="K632" s="25"/>
      <c r="L632" s="26"/>
      <c r="M632" s="9"/>
      <c r="N632" s="9"/>
      <c r="O632" s="4"/>
      <c r="P632" s="4"/>
      <c r="Q632" s="4"/>
      <c r="R632" s="4"/>
      <c r="S632" s="4"/>
      <c r="T632" s="4"/>
      <c r="AV632" s="27"/>
      <c r="AW632" s="4"/>
    </row>
    <row r="633" spans="5:49" ht="15.75" customHeight="1">
      <c r="E633" s="23"/>
      <c r="F633" s="23"/>
      <c r="I633" s="4"/>
      <c r="J633" s="24"/>
      <c r="K633" s="25"/>
      <c r="L633" s="26"/>
      <c r="M633" s="9"/>
      <c r="N633" s="9"/>
      <c r="O633" s="4"/>
      <c r="P633" s="4"/>
      <c r="Q633" s="4"/>
      <c r="R633" s="4"/>
      <c r="S633" s="4"/>
      <c r="T633" s="4"/>
      <c r="AV633" s="27"/>
      <c r="AW633" s="4"/>
    </row>
    <row r="634" spans="5:49" ht="15.75" customHeight="1">
      <c r="E634" s="23"/>
      <c r="F634" s="23"/>
      <c r="I634" s="4"/>
      <c r="J634" s="24"/>
      <c r="K634" s="25"/>
      <c r="L634" s="26"/>
      <c r="M634" s="9"/>
      <c r="N634" s="9"/>
      <c r="O634" s="4"/>
      <c r="P634" s="4"/>
      <c r="Q634" s="4"/>
      <c r="R634" s="4"/>
      <c r="S634" s="4"/>
      <c r="T634" s="4"/>
      <c r="AV634" s="27"/>
      <c r="AW634" s="4"/>
    </row>
    <row r="635" spans="5:49" ht="15.75" customHeight="1">
      <c r="E635" s="23"/>
      <c r="F635" s="23"/>
      <c r="I635" s="4"/>
      <c r="J635" s="24"/>
      <c r="K635" s="25"/>
      <c r="L635" s="26"/>
      <c r="M635" s="9"/>
      <c r="N635" s="9"/>
      <c r="O635" s="4"/>
      <c r="P635" s="4"/>
      <c r="Q635" s="4"/>
      <c r="R635" s="4"/>
      <c r="S635" s="4"/>
      <c r="T635" s="4"/>
      <c r="AV635" s="27"/>
      <c r="AW635" s="4"/>
    </row>
    <row r="636" spans="5:49" ht="15.75" customHeight="1">
      <c r="E636" s="23"/>
      <c r="F636" s="23"/>
      <c r="I636" s="4"/>
      <c r="J636" s="24"/>
      <c r="K636" s="25"/>
      <c r="L636" s="26"/>
      <c r="M636" s="9"/>
      <c r="N636" s="9"/>
      <c r="O636" s="4"/>
      <c r="P636" s="4"/>
      <c r="Q636" s="4"/>
      <c r="R636" s="4"/>
      <c r="S636" s="4"/>
      <c r="T636" s="4"/>
      <c r="AV636" s="27"/>
      <c r="AW636" s="4"/>
    </row>
    <row r="637" spans="5:49" ht="15.75" customHeight="1">
      <c r="E637" s="23"/>
      <c r="F637" s="23"/>
      <c r="I637" s="4"/>
      <c r="J637" s="24"/>
      <c r="K637" s="25"/>
      <c r="L637" s="26"/>
      <c r="M637" s="9"/>
      <c r="N637" s="9"/>
      <c r="O637" s="4"/>
      <c r="P637" s="4"/>
      <c r="Q637" s="4"/>
      <c r="R637" s="4"/>
      <c r="S637" s="4"/>
      <c r="T637" s="4"/>
      <c r="AV637" s="27"/>
      <c r="AW637" s="4"/>
    </row>
    <row r="638" spans="5:49" ht="15.75" customHeight="1">
      <c r="E638" s="23"/>
      <c r="F638" s="23"/>
      <c r="I638" s="4"/>
      <c r="J638" s="24"/>
      <c r="K638" s="25"/>
      <c r="L638" s="26"/>
      <c r="M638" s="9"/>
      <c r="N638" s="9"/>
      <c r="O638" s="4"/>
      <c r="P638" s="4"/>
      <c r="Q638" s="4"/>
      <c r="R638" s="4"/>
      <c r="S638" s="4"/>
      <c r="T638" s="4"/>
      <c r="AV638" s="27"/>
      <c r="AW638" s="4"/>
    </row>
    <row r="639" spans="5:49" ht="15.75" customHeight="1">
      <c r="E639" s="23"/>
      <c r="F639" s="23"/>
      <c r="I639" s="4"/>
      <c r="J639" s="24"/>
      <c r="K639" s="25"/>
      <c r="L639" s="26"/>
      <c r="M639" s="9"/>
      <c r="N639" s="9"/>
      <c r="O639" s="4"/>
      <c r="P639" s="4"/>
      <c r="Q639" s="4"/>
      <c r="R639" s="4"/>
      <c r="S639" s="4"/>
      <c r="T639" s="4"/>
      <c r="AV639" s="27"/>
      <c r="AW639" s="4"/>
    </row>
    <row r="640" spans="5:49" ht="15.75" customHeight="1">
      <c r="E640" s="23"/>
      <c r="F640" s="23"/>
      <c r="I640" s="4"/>
      <c r="J640" s="24"/>
      <c r="K640" s="25"/>
      <c r="L640" s="26"/>
      <c r="M640" s="9"/>
      <c r="N640" s="9"/>
      <c r="O640" s="4"/>
      <c r="P640" s="4"/>
      <c r="Q640" s="4"/>
      <c r="R640" s="4"/>
      <c r="S640" s="4"/>
      <c r="T640" s="4"/>
      <c r="AV640" s="27"/>
      <c r="AW640" s="4"/>
    </row>
    <row r="641" spans="5:49" ht="15.75" customHeight="1">
      <c r="E641" s="23"/>
      <c r="F641" s="23"/>
      <c r="I641" s="4"/>
      <c r="J641" s="24"/>
      <c r="K641" s="25"/>
      <c r="L641" s="26"/>
      <c r="M641" s="9"/>
      <c r="N641" s="9"/>
      <c r="O641" s="4"/>
      <c r="P641" s="4"/>
      <c r="Q641" s="4"/>
      <c r="R641" s="4"/>
      <c r="S641" s="4"/>
      <c r="T641" s="4"/>
      <c r="AV641" s="27"/>
      <c r="AW641" s="4"/>
    </row>
    <row r="642" spans="5:49" ht="15.75" customHeight="1">
      <c r="E642" s="23"/>
      <c r="F642" s="23"/>
      <c r="I642" s="4"/>
      <c r="J642" s="24"/>
      <c r="K642" s="25"/>
      <c r="L642" s="26"/>
      <c r="M642" s="9"/>
      <c r="N642" s="9"/>
      <c r="O642" s="4"/>
      <c r="P642" s="4"/>
      <c r="Q642" s="4"/>
      <c r="R642" s="4"/>
      <c r="S642" s="4"/>
      <c r="T642" s="4"/>
      <c r="AV642" s="27"/>
      <c r="AW642" s="4"/>
    </row>
    <row r="643" spans="5:49" ht="15.75" customHeight="1">
      <c r="E643" s="23"/>
      <c r="F643" s="23"/>
      <c r="I643" s="4"/>
      <c r="J643" s="24"/>
      <c r="K643" s="25"/>
      <c r="L643" s="26"/>
      <c r="M643" s="9"/>
      <c r="N643" s="9"/>
      <c r="O643" s="4"/>
      <c r="P643" s="4"/>
      <c r="Q643" s="4"/>
      <c r="R643" s="4"/>
      <c r="S643" s="4"/>
      <c r="T643" s="4"/>
      <c r="AV643" s="27"/>
      <c r="AW643" s="4"/>
    </row>
    <row r="644" spans="5:49" ht="15.75" customHeight="1">
      <c r="E644" s="23"/>
      <c r="F644" s="23"/>
      <c r="I644" s="4"/>
      <c r="J644" s="24"/>
      <c r="K644" s="25"/>
      <c r="L644" s="26"/>
      <c r="M644" s="9"/>
      <c r="N644" s="9"/>
      <c r="O644" s="4"/>
      <c r="P644" s="4"/>
      <c r="Q644" s="4"/>
      <c r="R644" s="4"/>
      <c r="S644" s="4"/>
      <c r="T644" s="4"/>
      <c r="AV644" s="27"/>
      <c r="AW644" s="4"/>
    </row>
    <row r="645" spans="5:49" ht="15.75" customHeight="1">
      <c r="E645" s="23"/>
      <c r="F645" s="23"/>
      <c r="I645" s="4"/>
      <c r="J645" s="24"/>
      <c r="K645" s="25"/>
      <c r="L645" s="26"/>
      <c r="M645" s="9"/>
      <c r="N645" s="9"/>
      <c r="O645" s="4"/>
      <c r="P645" s="4"/>
      <c r="Q645" s="4"/>
      <c r="R645" s="4"/>
      <c r="S645" s="4"/>
      <c r="T645" s="4"/>
      <c r="AV645" s="27"/>
      <c r="AW645" s="4"/>
    </row>
    <row r="646" spans="5:49" ht="15.75" customHeight="1">
      <c r="E646" s="23"/>
      <c r="F646" s="23"/>
      <c r="I646" s="4"/>
      <c r="J646" s="24"/>
      <c r="K646" s="25"/>
      <c r="L646" s="26"/>
      <c r="M646" s="9"/>
      <c r="N646" s="9"/>
      <c r="O646" s="4"/>
      <c r="P646" s="4"/>
      <c r="Q646" s="4"/>
      <c r="R646" s="4"/>
      <c r="S646" s="4"/>
      <c r="T646" s="4"/>
      <c r="AV646" s="27"/>
      <c r="AW646" s="4"/>
    </row>
    <row r="647" spans="5:49" ht="15.75" customHeight="1">
      <c r="E647" s="23"/>
      <c r="F647" s="23"/>
      <c r="I647" s="4"/>
      <c r="J647" s="24"/>
      <c r="K647" s="25"/>
      <c r="L647" s="26"/>
      <c r="M647" s="9"/>
      <c r="N647" s="9"/>
      <c r="O647" s="4"/>
      <c r="P647" s="4"/>
      <c r="Q647" s="4"/>
      <c r="R647" s="4"/>
      <c r="S647" s="4"/>
      <c r="T647" s="4"/>
      <c r="AV647" s="27"/>
      <c r="AW647" s="4"/>
    </row>
    <row r="648" spans="5:49" ht="15.75" customHeight="1">
      <c r="E648" s="23"/>
      <c r="F648" s="23"/>
      <c r="I648" s="4"/>
      <c r="J648" s="24"/>
      <c r="K648" s="25"/>
      <c r="L648" s="26"/>
      <c r="M648" s="9"/>
      <c r="N648" s="9"/>
      <c r="O648" s="4"/>
      <c r="P648" s="4"/>
      <c r="Q648" s="4"/>
      <c r="R648" s="4"/>
      <c r="S648" s="4"/>
      <c r="T648" s="4"/>
      <c r="AV648" s="27"/>
      <c r="AW648" s="4"/>
    </row>
    <row r="649" spans="5:49" ht="15.75" customHeight="1">
      <c r="E649" s="23"/>
      <c r="F649" s="23"/>
      <c r="I649" s="4"/>
      <c r="J649" s="24"/>
      <c r="K649" s="25"/>
      <c r="L649" s="26"/>
      <c r="M649" s="9"/>
      <c r="N649" s="9"/>
      <c r="O649" s="4"/>
      <c r="P649" s="4"/>
      <c r="Q649" s="4"/>
      <c r="R649" s="4"/>
      <c r="S649" s="4"/>
      <c r="T649" s="4"/>
      <c r="AV649" s="27"/>
      <c r="AW649" s="4"/>
    </row>
    <row r="650" spans="5:49" ht="15.75" customHeight="1">
      <c r="E650" s="23"/>
      <c r="F650" s="23"/>
      <c r="I650" s="4"/>
      <c r="J650" s="24"/>
      <c r="K650" s="25"/>
      <c r="L650" s="26"/>
      <c r="M650" s="9"/>
      <c r="N650" s="9"/>
      <c r="O650" s="4"/>
      <c r="P650" s="4"/>
      <c r="Q650" s="4"/>
      <c r="R650" s="4"/>
      <c r="S650" s="4"/>
      <c r="T650" s="4"/>
      <c r="AV650" s="27"/>
      <c r="AW650" s="4"/>
    </row>
    <row r="651" spans="5:49" ht="15.75" customHeight="1">
      <c r="E651" s="23"/>
      <c r="F651" s="23"/>
      <c r="I651" s="4"/>
      <c r="J651" s="24"/>
      <c r="K651" s="25"/>
      <c r="L651" s="26"/>
      <c r="M651" s="9"/>
      <c r="N651" s="9"/>
      <c r="O651" s="4"/>
      <c r="P651" s="4"/>
      <c r="Q651" s="4"/>
      <c r="R651" s="4"/>
      <c r="S651" s="4"/>
      <c r="T651" s="4"/>
      <c r="AV651" s="27"/>
      <c r="AW651" s="4"/>
    </row>
    <row r="652" spans="5:49" ht="15.75" customHeight="1">
      <c r="E652" s="23"/>
      <c r="F652" s="23"/>
      <c r="I652" s="4"/>
      <c r="J652" s="24"/>
      <c r="K652" s="25"/>
      <c r="L652" s="26"/>
      <c r="M652" s="9"/>
      <c r="N652" s="9"/>
      <c r="O652" s="4"/>
      <c r="P652" s="4"/>
      <c r="Q652" s="4"/>
      <c r="R652" s="4"/>
      <c r="S652" s="4"/>
      <c r="T652" s="4"/>
      <c r="AV652" s="27"/>
      <c r="AW652" s="4"/>
    </row>
    <row r="653" spans="5:49" ht="15.75" customHeight="1">
      <c r="E653" s="23"/>
      <c r="F653" s="23"/>
      <c r="I653" s="4"/>
      <c r="J653" s="24"/>
      <c r="K653" s="25"/>
      <c r="L653" s="26"/>
      <c r="M653" s="9"/>
      <c r="N653" s="9"/>
      <c r="O653" s="4"/>
      <c r="P653" s="4"/>
      <c r="Q653" s="4"/>
      <c r="R653" s="4"/>
      <c r="S653" s="4"/>
      <c r="T653" s="4"/>
      <c r="AV653" s="27"/>
      <c r="AW653" s="4"/>
    </row>
    <row r="654" spans="5:49" ht="15.75" customHeight="1">
      <c r="E654" s="23"/>
      <c r="F654" s="23"/>
      <c r="I654" s="4"/>
      <c r="J654" s="24"/>
      <c r="K654" s="25"/>
      <c r="L654" s="26"/>
      <c r="M654" s="9"/>
      <c r="N654" s="9"/>
      <c r="O654" s="4"/>
      <c r="P654" s="4"/>
      <c r="Q654" s="4"/>
      <c r="R654" s="4"/>
      <c r="S654" s="4"/>
      <c r="T654" s="4"/>
      <c r="AV654" s="27"/>
      <c r="AW654" s="4"/>
    </row>
    <row r="655" spans="5:49" ht="15.75" customHeight="1">
      <c r="E655" s="23"/>
      <c r="F655" s="23"/>
      <c r="I655" s="4"/>
      <c r="J655" s="24"/>
      <c r="K655" s="25"/>
      <c r="L655" s="26"/>
      <c r="M655" s="9"/>
      <c r="N655" s="9"/>
      <c r="O655" s="4"/>
      <c r="P655" s="4"/>
      <c r="Q655" s="4"/>
      <c r="R655" s="4"/>
      <c r="S655" s="4"/>
      <c r="T655" s="4"/>
      <c r="AV655" s="27"/>
      <c r="AW655" s="4"/>
    </row>
    <row r="656" spans="5:49" ht="15.75" customHeight="1">
      <c r="E656" s="23"/>
      <c r="F656" s="23"/>
      <c r="I656" s="4"/>
      <c r="J656" s="24"/>
      <c r="K656" s="25"/>
      <c r="L656" s="26"/>
      <c r="M656" s="9"/>
      <c r="N656" s="9"/>
      <c r="O656" s="4"/>
      <c r="P656" s="4"/>
      <c r="Q656" s="4"/>
      <c r="R656" s="4"/>
      <c r="S656" s="4"/>
      <c r="T656" s="4"/>
      <c r="AV656" s="27"/>
      <c r="AW656" s="4"/>
    </row>
    <row r="657" spans="5:49" ht="15.75" customHeight="1">
      <c r="E657" s="23"/>
      <c r="F657" s="23"/>
      <c r="I657" s="4"/>
      <c r="J657" s="24"/>
      <c r="K657" s="25"/>
      <c r="L657" s="26"/>
      <c r="M657" s="9"/>
      <c r="N657" s="9"/>
      <c r="O657" s="4"/>
      <c r="P657" s="4"/>
      <c r="Q657" s="4"/>
      <c r="R657" s="4"/>
      <c r="S657" s="4"/>
      <c r="T657" s="4"/>
      <c r="AV657" s="27"/>
      <c r="AW657" s="4"/>
    </row>
    <row r="658" spans="5:49" ht="15.75" customHeight="1">
      <c r="E658" s="23"/>
      <c r="F658" s="23"/>
      <c r="I658" s="4"/>
      <c r="J658" s="24"/>
      <c r="K658" s="25"/>
      <c r="L658" s="26"/>
      <c r="M658" s="9"/>
      <c r="N658" s="9"/>
      <c r="O658" s="4"/>
      <c r="P658" s="4"/>
      <c r="Q658" s="4"/>
      <c r="R658" s="4"/>
      <c r="S658" s="4"/>
      <c r="T658" s="4"/>
      <c r="AV658" s="27"/>
      <c r="AW658" s="4"/>
    </row>
    <row r="659" spans="5:49" ht="15.75" customHeight="1">
      <c r="E659" s="23"/>
      <c r="F659" s="23"/>
      <c r="I659" s="4"/>
      <c r="J659" s="24"/>
      <c r="K659" s="25"/>
      <c r="L659" s="26"/>
      <c r="M659" s="9"/>
      <c r="N659" s="9"/>
      <c r="O659" s="4"/>
      <c r="P659" s="4"/>
      <c r="Q659" s="4"/>
      <c r="R659" s="4"/>
      <c r="S659" s="4"/>
      <c r="T659" s="4"/>
      <c r="AV659" s="27"/>
      <c r="AW659" s="4"/>
    </row>
    <row r="660" spans="5:49" ht="15.75" customHeight="1">
      <c r="E660" s="23"/>
      <c r="F660" s="23"/>
      <c r="I660" s="4"/>
      <c r="J660" s="24"/>
      <c r="K660" s="25"/>
      <c r="L660" s="26"/>
      <c r="M660" s="9"/>
      <c r="N660" s="9"/>
      <c r="O660" s="4"/>
      <c r="P660" s="4"/>
      <c r="Q660" s="4"/>
      <c r="R660" s="4"/>
      <c r="S660" s="4"/>
      <c r="T660" s="4"/>
      <c r="AV660" s="27"/>
      <c r="AW660" s="4"/>
    </row>
    <row r="661" spans="5:49" ht="15.75" customHeight="1">
      <c r="E661" s="23"/>
      <c r="F661" s="23"/>
      <c r="I661" s="4"/>
      <c r="J661" s="24"/>
      <c r="K661" s="25"/>
      <c r="L661" s="26"/>
      <c r="M661" s="9"/>
      <c r="N661" s="9"/>
      <c r="O661" s="4"/>
      <c r="P661" s="4"/>
      <c r="Q661" s="4"/>
      <c r="R661" s="4"/>
      <c r="S661" s="4"/>
      <c r="T661" s="4"/>
      <c r="AV661" s="27"/>
      <c r="AW661" s="4"/>
    </row>
    <row r="662" spans="5:49" ht="15.75" customHeight="1">
      <c r="E662" s="23"/>
      <c r="F662" s="23"/>
      <c r="I662" s="4"/>
      <c r="J662" s="24"/>
      <c r="K662" s="25"/>
      <c r="L662" s="26"/>
      <c r="M662" s="9"/>
      <c r="N662" s="9"/>
      <c r="O662" s="4"/>
      <c r="P662" s="4"/>
      <c r="Q662" s="4"/>
      <c r="R662" s="4"/>
      <c r="S662" s="4"/>
      <c r="T662" s="4"/>
      <c r="AV662" s="27"/>
      <c r="AW662" s="4"/>
    </row>
    <row r="663" spans="5:49" ht="15.75" customHeight="1">
      <c r="E663" s="23"/>
      <c r="F663" s="23"/>
      <c r="I663" s="4"/>
      <c r="J663" s="24"/>
      <c r="K663" s="25"/>
      <c r="L663" s="26"/>
      <c r="M663" s="9"/>
      <c r="N663" s="9"/>
      <c r="O663" s="4"/>
      <c r="P663" s="4"/>
      <c r="Q663" s="4"/>
      <c r="R663" s="4"/>
      <c r="S663" s="4"/>
      <c r="T663" s="4"/>
      <c r="AV663" s="27"/>
      <c r="AW663" s="4"/>
    </row>
    <row r="664" spans="5:49" ht="15.75" customHeight="1">
      <c r="E664" s="23"/>
      <c r="F664" s="23"/>
      <c r="I664" s="4"/>
      <c r="J664" s="24"/>
      <c r="K664" s="25"/>
      <c r="L664" s="26"/>
      <c r="M664" s="9"/>
      <c r="N664" s="9"/>
      <c r="O664" s="4"/>
      <c r="P664" s="4"/>
      <c r="Q664" s="4"/>
      <c r="R664" s="4"/>
      <c r="S664" s="4"/>
      <c r="T664" s="4"/>
      <c r="AV664" s="27"/>
      <c r="AW664" s="4"/>
    </row>
    <row r="665" spans="5:49" ht="15.75" customHeight="1">
      <c r="E665" s="23"/>
      <c r="F665" s="23"/>
      <c r="I665" s="4"/>
      <c r="J665" s="24"/>
      <c r="K665" s="25"/>
      <c r="L665" s="26"/>
      <c r="M665" s="9"/>
      <c r="N665" s="9"/>
      <c r="O665" s="4"/>
      <c r="P665" s="4"/>
      <c r="Q665" s="4"/>
      <c r="R665" s="4"/>
      <c r="S665" s="4"/>
      <c r="T665" s="4"/>
      <c r="AV665" s="27"/>
      <c r="AW665" s="4"/>
    </row>
    <row r="666" spans="5:49" ht="15.75" customHeight="1">
      <c r="E666" s="23"/>
      <c r="F666" s="23"/>
      <c r="I666" s="4"/>
      <c r="J666" s="24"/>
      <c r="K666" s="25"/>
      <c r="L666" s="26"/>
      <c r="M666" s="9"/>
      <c r="N666" s="9"/>
      <c r="O666" s="4"/>
      <c r="P666" s="4"/>
      <c r="Q666" s="4"/>
      <c r="R666" s="4"/>
      <c r="S666" s="4"/>
      <c r="T666" s="4"/>
      <c r="AV666" s="27"/>
      <c r="AW666" s="4"/>
    </row>
    <row r="667" spans="5:49" ht="15.75" customHeight="1">
      <c r="E667" s="23"/>
      <c r="F667" s="23"/>
      <c r="I667" s="4"/>
      <c r="J667" s="24"/>
      <c r="K667" s="25"/>
      <c r="L667" s="26"/>
      <c r="M667" s="9"/>
      <c r="N667" s="9"/>
      <c r="O667" s="4"/>
      <c r="P667" s="4"/>
      <c r="Q667" s="4"/>
      <c r="R667" s="4"/>
      <c r="S667" s="4"/>
      <c r="T667" s="4"/>
      <c r="AV667" s="27"/>
      <c r="AW667" s="4"/>
    </row>
    <row r="668" spans="5:49" ht="15.75" customHeight="1">
      <c r="E668" s="23"/>
      <c r="F668" s="23"/>
      <c r="I668" s="4"/>
      <c r="J668" s="24"/>
      <c r="K668" s="25"/>
      <c r="L668" s="26"/>
      <c r="M668" s="9"/>
      <c r="N668" s="9"/>
      <c r="O668" s="4"/>
      <c r="P668" s="4"/>
      <c r="Q668" s="4"/>
      <c r="R668" s="4"/>
      <c r="S668" s="4"/>
      <c r="T668" s="4"/>
      <c r="AV668" s="27"/>
      <c r="AW668" s="4"/>
    </row>
    <row r="669" spans="5:49" ht="15.75" customHeight="1">
      <c r="E669" s="23"/>
      <c r="F669" s="23"/>
      <c r="I669" s="4"/>
      <c r="J669" s="24"/>
      <c r="K669" s="25"/>
      <c r="L669" s="26"/>
      <c r="M669" s="9"/>
      <c r="N669" s="9"/>
      <c r="O669" s="4"/>
      <c r="P669" s="4"/>
      <c r="Q669" s="4"/>
      <c r="R669" s="4"/>
      <c r="S669" s="4"/>
      <c r="T669" s="4"/>
      <c r="AV669" s="27"/>
      <c r="AW669" s="4"/>
    </row>
    <row r="670" spans="5:49" ht="15.75" customHeight="1">
      <c r="E670" s="23"/>
      <c r="F670" s="23"/>
      <c r="I670" s="4"/>
      <c r="J670" s="24"/>
      <c r="K670" s="25"/>
      <c r="L670" s="26"/>
      <c r="M670" s="9"/>
      <c r="N670" s="9"/>
      <c r="O670" s="4"/>
      <c r="P670" s="4"/>
      <c r="Q670" s="4"/>
      <c r="R670" s="4"/>
      <c r="S670" s="4"/>
      <c r="T670" s="4"/>
      <c r="AV670" s="27"/>
      <c r="AW670" s="4"/>
    </row>
    <row r="671" spans="5:49" ht="15.75" customHeight="1">
      <c r="E671" s="23"/>
      <c r="F671" s="23"/>
      <c r="I671" s="4"/>
      <c r="J671" s="24"/>
      <c r="K671" s="25"/>
      <c r="L671" s="26"/>
      <c r="M671" s="9"/>
      <c r="N671" s="9"/>
      <c r="O671" s="4"/>
      <c r="P671" s="4"/>
      <c r="Q671" s="4"/>
      <c r="R671" s="4"/>
      <c r="S671" s="4"/>
      <c r="T671" s="4"/>
      <c r="AV671" s="27"/>
      <c r="AW671" s="4"/>
    </row>
    <row r="672" spans="5:49" ht="15.75" customHeight="1">
      <c r="E672" s="23"/>
      <c r="F672" s="23"/>
      <c r="I672" s="4"/>
      <c r="J672" s="24"/>
      <c r="K672" s="25"/>
      <c r="L672" s="26"/>
      <c r="M672" s="9"/>
      <c r="N672" s="9"/>
      <c r="O672" s="4"/>
      <c r="P672" s="4"/>
      <c r="Q672" s="4"/>
      <c r="R672" s="4"/>
      <c r="S672" s="4"/>
      <c r="T672" s="4"/>
      <c r="AV672" s="27"/>
      <c r="AW672" s="4"/>
    </row>
    <row r="673" spans="5:49" ht="15.75" customHeight="1">
      <c r="E673" s="23"/>
      <c r="F673" s="23"/>
      <c r="I673" s="4"/>
      <c r="J673" s="24"/>
      <c r="K673" s="25"/>
      <c r="L673" s="26"/>
      <c r="M673" s="9"/>
      <c r="N673" s="9"/>
      <c r="O673" s="4"/>
      <c r="P673" s="4"/>
      <c r="Q673" s="4"/>
      <c r="R673" s="4"/>
      <c r="S673" s="4"/>
      <c r="T673" s="4"/>
      <c r="AV673" s="27"/>
      <c r="AW673" s="4"/>
    </row>
    <row r="674" spans="5:49" ht="15.75" customHeight="1">
      <c r="E674" s="23"/>
      <c r="F674" s="23"/>
      <c r="I674" s="4"/>
      <c r="J674" s="24"/>
      <c r="K674" s="25"/>
      <c r="L674" s="26"/>
      <c r="M674" s="9"/>
      <c r="N674" s="9"/>
      <c r="O674" s="4"/>
      <c r="P674" s="4"/>
      <c r="Q674" s="4"/>
      <c r="R674" s="4"/>
      <c r="S674" s="4"/>
      <c r="T674" s="4"/>
      <c r="AV674" s="27"/>
      <c r="AW674" s="4"/>
    </row>
    <row r="675" spans="5:49" ht="15.75" customHeight="1">
      <c r="E675" s="23"/>
      <c r="F675" s="23"/>
      <c r="I675" s="4"/>
      <c r="J675" s="24"/>
      <c r="K675" s="25"/>
      <c r="L675" s="26"/>
      <c r="M675" s="9"/>
      <c r="N675" s="9"/>
      <c r="O675" s="4"/>
      <c r="P675" s="4"/>
      <c r="Q675" s="4"/>
      <c r="R675" s="4"/>
      <c r="S675" s="4"/>
      <c r="T675" s="4"/>
      <c r="AV675" s="27"/>
      <c r="AW675" s="4"/>
    </row>
    <row r="676" spans="5:49" ht="15.75" customHeight="1">
      <c r="E676" s="23"/>
      <c r="F676" s="23"/>
      <c r="I676" s="4"/>
      <c r="J676" s="24"/>
      <c r="K676" s="25"/>
      <c r="L676" s="26"/>
      <c r="M676" s="9"/>
      <c r="N676" s="9"/>
      <c r="O676" s="4"/>
      <c r="P676" s="4"/>
      <c r="Q676" s="4"/>
      <c r="R676" s="4"/>
      <c r="S676" s="4"/>
      <c r="T676" s="4"/>
      <c r="AV676" s="27"/>
      <c r="AW676" s="4"/>
    </row>
    <row r="677" spans="5:49" ht="15.75" customHeight="1">
      <c r="E677" s="23"/>
      <c r="F677" s="23"/>
      <c r="I677" s="4"/>
      <c r="J677" s="24"/>
      <c r="K677" s="25"/>
      <c r="L677" s="26"/>
      <c r="M677" s="9"/>
      <c r="N677" s="9"/>
      <c r="O677" s="4"/>
      <c r="P677" s="4"/>
      <c r="Q677" s="4"/>
      <c r="R677" s="4"/>
      <c r="S677" s="4"/>
      <c r="T677" s="4"/>
      <c r="AV677" s="27"/>
      <c r="AW677" s="4"/>
    </row>
    <row r="678" spans="5:49" ht="15.75" customHeight="1">
      <c r="E678" s="23"/>
      <c r="F678" s="23"/>
      <c r="I678" s="4"/>
      <c r="J678" s="24"/>
      <c r="K678" s="25"/>
      <c r="L678" s="26"/>
      <c r="M678" s="9"/>
      <c r="N678" s="9"/>
      <c r="O678" s="4"/>
      <c r="P678" s="4"/>
      <c r="Q678" s="4"/>
      <c r="R678" s="4"/>
      <c r="S678" s="4"/>
      <c r="T678" s="4"/>
      <c r="AV678" s="27"/>
      <c r="AW678" s="4"/>
    </row>
    <row r="679" spans="5:49" ht="15.75" customHeight="1">
      <c r="E679" s="23"/>
      <c r="F679" s="23"/>
      <c r="I679" s="4"/>
      <c r="J679" s="24"/>
      <c r="K679" s="25"/>
      <c r="L679" s="26"/>
      <c r="M679" s="9"/>
      <c r="N679" s="9"/>
      <c r="O679" s="4"/>
      <c r="P679" s="4"/>
      <c r="Q679" s="4"/>
      <c r="R679" s="4"/>
      <c r="S679" s="4"/>
      <c r="T679" s="4"/>
      <c r="AV679" s="27"/>
      <c r="AW679" s="4"/>
    </row>
    <row r="680" spans="5:49" ht="15.75" customHeight="1">
      <c r="E680" s="23"/>
      <c r="F680" s="23"/>
      <c r="I680" s="4"/>
      <c r="J680" s="24"/>
      <c r="K680" s="25"/>
      <c r="L680" s="26"/>
      <c r="M680" s="9"/>
      <c r="N680" s="9"/>
      <c r="O680" s="4"/>
      <c r="P680" s="4"/>
      <c r="Q680" s="4"/>
      <c r="R680" s="4"/>
      <c r="S680" s="4"/>
      <c r="T680" s="4"/>
      <c r="AV680" s="27"/>
      <c r="AW680" s="4"/>
    </row>
    <row r="681" spans="5:49" ht="15.75" customHeight="1">
      <c r="E681" s="23"/>
      <c r="F681" s="23"/>
      <c r="I681" s="4"/>
      <c r="J681" s="24"/>
      <c r="K681" s="25"/>
      <c r="L681" s="26"/>
      <c r="M681" s="9"/>
      <c r="N681" s="9"/>
      <c r="O681" s="4"/>
      <c r="P681" s="4"/>
      <c r="Q681" s="4"/>
      <c r="R681" s="4"/>
      <c r="S681" s="4"/>
      <c r="T681" s="4"/>
      <c r="AV681" s="27"/>
      <c r="AW681" s="4"/>
    </row>
    <row r="682" spans="5:49" ht="15.75" customHeight="1">
      <c r="E682" s="23"/>
      <c r="F682" s="23"/>
      <c r="I682" s="4"/>
      <c r="J682" s="24"/>
      <c r="K682" s="25"/>
      <c r="L682" s="26"/>
      <c r="M682" s="9"/>
      <c r="N682" s="9"/>
      <c r="O682" s="4"/>
      <c r="P682" s="4"/>
      <c r="Q682" s="4"/>
      <c r="R682" s="4"/>
      <c r="S682" s="4"/>
      <c r="T682" s="4"/>
      <c r="AV682" s="27"/>
      <c r="AW682" s="4"/>
    </row>
    <row r="683" spans="5:49" ht="15.75" customHeight="1">
      <c r="E683" s="23"/>
      <c r="F683" s="23"/>
      <c r="I683" s="4"/>
      <c r="J683" s="24"/>
      <c r="K683" s="25"/>
      <c r="L683" s="26"/>
      <c r="M683" s="9"/>
      <c r="N683" s="9"/>
      <c r="O683" s="4"/>
      <c r="P683" s="4"/>
      <c r="Q683" s="4"/>
      <c r="R683" s="4"/>
      <c r="S683" s="4"/>
      <c r="T683" s="4"/>
      <c r="AV683" s="27"/>
      <c r="AW683" s="4"/>
    </row>
    <row r="684" spans="5:49" ht="15.75" customHeight="1">
      <c r="E684" s="23"/>
      <c r="F684" s="23"/>
      <c r="I684" s="4"/>
      <c r="J684" s="24"/>
      <c r="K684" s="25"/>
      <c r="L684" s="26"/>
      <c r="M684" s="9"/>
      <c r="N684" s="9"/>
      <c r="O684" s="4"/>
      <c r="P684" s="4"/>
      <c r="Q684" s="4"/>
      <c r="R684" s="4"/>
      <c r="S684" s="4"/>
      <c r="T684" s="4"/>
      <c r="AV684" s="27"/>
      <c r="AW684" s="4"/>
    </row>
    <row r="685" spans="5:49" ht="15.75" customHeight="1">
      <c r="E685" s="23"/>
      <c r="F685" s="23"/>
      <c r="I685" s="4"/>
      <c r="J685" s="24"/>
      <c r="K685" s="25"/>
      <c r="L685" s="26"/>
      <c r="M685" s="9"/>
      <c r="N685" s="9"/>
      <c r="O685" s="4"/>
      <c r="P685" s="4"/>
      <c r="Q685" s="4"/>
      <c r="R685" s="4"/>
      <c r="S685" s="4"/>
      <c r="T685" s="4"/>
      <c r="AV685" s="27"/>
      <c r="AW685" s="4"/>
    </row>
    <row r="686" spans="5:49" ht="15.75" customHeight="1">
      <c r="E686" s="23"/>
      <c r="F686" s="23"/>
      <c r="I686" s="4"/>
      <c r="J686" s="24"/>
      <c r="K686" s="25"/>
      <c r="L686" s="26"/>
      <c r="M686" s="9"/>
      <c r="N686" s="9"/>
      <c r="O686" s="4"/>
      <c r="P686" s="4"/>
      <c r="Q686" s="4"/>
      <c r="R686" s="4"/>
      <c r="S686" s="4"/>
      <c r="T686" s="4"/>
      <c r="AV686" s="27"/>
      <c r="AW686" s="4"/>
    </row>
    <row r="687" spans="5:49" ht="15.75" customHeight="1">
      <c r="E687" s="23"/>
      <c r="F687" s="23"/>
      <c r="I687" s="4"/>
      <c r="J687" s="24"/>
      <c r="K687" s="25"/>
      <c r="L687" s="26"/>
      <c r="M687" s="9"/>
      <c r="N687" s="9"/>
      <c r="O687" s="4"/>
      <c r="P687" s="4"/>
      <c r="Q687" s="4"/>
      <c r="R687" s="4"/>
      <c r="S687" s="4"/>
      <c r="T687" s="4"/>
      <c r="AV687" s="27"/>
      <c r="AW687" s="4"/>
    </row>
    <row r="688" spans="5:49" ht="15.75" customHeight="1">
      <c r="E688" s="23"/>
      <c r="F688" s="23"/>
      <c r="I688" s="4"/>
      <c r="J688" s="24"/>
      <c r="K688" s="25"/>
      <c r="L688" s="26"/>
      <c r="M688" s="9"/>
      <c r="N688" s="9"/>
      <c r="O688" s="4"/>
      <c r="P688" s="4"/>
      <c r="Q688" s="4"/>
      <c r="R688" s="4"/>
      <c r="S688" s="4"/>
      <c r="T688" s="4"/>
      <c r="AV688" s="27"/>
      <c r="AW688" s="4"/>
    </row>
    <row r="689" spans="5:49" ht="15.75" customHeight="1">
      <c r="E689" s="23"/>
      <c r="F689" s="23"/>
      <c r="I689" s="4"/>
      <c r="J689" s="24"/>
      <c r="K689" s="25"/>
      <c r="L689" s="26"/>
      <c r="M689" s="9"/>
      <c r="N689" s="9"/>
      <c r="O689" s="4"/>
      <c r="P689" s="4"/>
      <c r="Q689" s="4"/>
      <c r="R689" s="4"/>
      <c r="S689" s="4"/>
      <c r="T689" s="4"/>
      <c r="AV689" s="27"/>
      <c r="AW689" s="4"/>
    </row>
    <row r="690" spans="5:49" ht="15.75" customHeight="1">
      <c r="E690" s="23"/>
      <c r="F690" s="23"/>
      <c r="I690" s="4"/>
      <c r="J690" s="24"/>
      <c r="K690" s="25"/>
      <c r="L690" s="26"/>
      <c r="M690" s="9"/>
      <c r="N690" s="9"/>
      <c r="O690" s="4"/>
      <c r="P690" s="4"/>
      <c r="Q690" s="4"/>
      <c r="R690" s="4"/>
      <c r="S690" s="4"/>
      <c r="T690" s="4"/>
      <c r="AV690" s="27"/>
      <c r="AW690" s="4"/>
    </row>
    <row r="691" spans="5:49" ht="15.75" customHeight="1">
      <c r="E691" s="23"/>
      <c r="F691" s="23"/>
      <c r="I691" s="4"/>
      <c r="J691" s="24"/>
      <c r="K691" s="25"/>
      <c r="L691" s="26"/>
      <c r="M691" s="9"/>
      <c r="N691" s="9"/>
      <c r="O691" s="4"/>
      <c r="P691" s="4"/>
      <c r="Q691" s="4"/>
      <c r="R691" s="4"/>
      <c r="S691" s="4"/>
      <c r="T691" s="4"/>
      <c r="AV691" s="27"/>
      <c r="AW691" s="4"/>
    </row>
    <row r="692" spans="5:49" ht="15.75" customHeight="1">
      <c r="E692" s="23"/>
      <c r="F692" s="23"/>
      <c r="I692" s="4"/>
      <c r="J692" s="24"/>
      <c r="K692" s="25"/>
      <c r="L692" s="26"/>
      <c r="M692" s="9"/>
      <c r="N692" s="9"/>
      <c r="O692" s="4"/>
      <c r="P692" s="4"/>
      <c r="Q692" s="4"/>
      <c r="R692" s="4"/>
      <c r="S692" s="4"/>
      <c r="T692" s="4"/>
      <c r="AV692" s="27"/>
      <c r="AW692" s="4"/>
    </row>
    <row r="693" spans="5:49" ht="15.75" customHeight="1">
      <c r="E693" s="23"/>
      <c r="F693" s="23"/>
      <c r="I693" s="4"/>
      <c r="J693" s="24"/>
      <c r="K693" s="25"/>
      <c r="L693" s="26"/>
      <c r="M693" s="9"/>
      <c r="N693" s="9"/>
      <c r="O693" s="4"/>
      <c r="P693" s="4"/>
      <c r="Q693" s="4"/>
      <c r="R693" s="4"/>
      <c r="S693" s="4"/>
      <c r="T693" s="4"/>
      <c r="AV693" s="27"/>
      <c r="AW693" s="4"/>
    </row>
    <row r="694" spans="5:49" ht="15.75" customHeight="1">
      <c r="E694" s="23"/>
      <c r="F694" s="23"/>
      <c r="I694" s="4"/>
      <c r="J694" s="24"/>
      <c r="K694" s="25"/>
      <c r="L694" s="26"/>
      <c r="M694" s="9"/>
      <c r="N694" s="9"/>
      <c r="O694" s="4"/>
      <c r="P694" s="4"/>
      <c r="Q694" s="4"/>
      <c r="R694" s="4"/>
      <c r="S694" s="4"/>
      <c r="T694" s="4"/>
      <c r="AV694" s="27"/>
      <c r="AW694" s="4"/>
    </row>
    <row r="695" spans="5:49" ht="15.75" customHeight="1">
      <c r="E695" s="23"/>
      <c r="F695" s="23"/>
      <c r="I695" s="4"/>
      <c r="J695" s="24"/>
      <c r="K695" s="25"/>
      <c r="L695" s="26"/>
      <c r="M695" s="9"/>
      <c r="N695" s="9"/>
      <c r="O695" s="4"/>
      <c r="P695" s="4"/>
      <c r="Q695" s="4"/>
      <c r="R695" s="4"/>
      <c r="S695" s="4"/>
      <c r="T695" s="4"/>
      <c r="AV695" s="27"/>
      <c r="AW695" s="4"/>
    </row>
    <row r="696" spans="5:49" ht="15.75" customHeight="1">
      <c r="E696" s="23"/>
      <c r="F696" s="23"/>
      <c r="I696" s="4"/>
      <c r="J696" s="24"/>
      <c r="K696" s="25"/>
      <c r="L696" s="26"/>
      <c r="M696" s="9"/>
      <c r="N696" s="9"/>
      <c r="O696" s="4"/>
      <c r="P696" s="4"/>
      <c r="Q696" s="4"/>
      <c r="R696" s="4"/>
      <c r="S696" s="4"/>
      <c r="T696" s="4"/>
      <c r="AV696" s="27"/>
      <c r="AW696" s="4"/>
    </row>
    <row r="697" spans="5:49" ht="15.75" customHeight="1">
      <c r="E697" s="23"/>
      <c r="F697" s="23"/>
      <c r="I697" s="4"/>
      <c r="J697" s="24"/>
      <c r="K697" s="25"/>
      <c r="L697" s="26"/>
      <c r="M697" s="9"/>
      <c r="N697" s="9"/>
      <c r="O697" s="4"/>
      <c r="P697" s="4"/>
      <c r="Q697" s="4"/>
      <c r="R697" s="4"/>
      <c r="S697" s="4"/>
      <c r="T697" s="4"/>
      <c r="AV697" s="27"/>
      <c r="AW697" s="4"/>
    </row>
    <row r="698" spans="5:49" ht="15.75" customHeight="1">
      <c r="E698" s="23"/>
      <c r="F698" s="23"/>
      <c r="I698" s="4"/>
      <c r="J698" s="24"/>
      <c r="K698" s="25"/>
      <c r="L698" s="26"/>
      <c r="M698" s="9"/>
      <c r="N698" s="9"/>
      <c r="O698" s="4"/>
      <c r="P698" s="4"/>
      <c r="Q698" s="4"/>
      <c r="R698" s="4"/>
      <c r="S698" s="4"/>
      <c r="T698" s="4"/>
      <c r="AV698" s="27"/>
      <c r="AW698" s="4"/>
    </row>
    <row r="699" spans="5:49" ht="15.75" customHeight="1">
      <c r="E699" s="23"/>
      <c r="F699" s="23"/>
      <c r="I699" s="4"/>
      <c r="J699" s="24"/>
      <c r="K699" s="25"/>
      <c r="L699" s="26"/>
      <c r="M699" s="9"/>
      <c r="N699" s="9"/>
      <c r="O699" s="4"/>
      <c r="P699" s="4"/>
      <c r="Q699" s="4"/>
      <c r="R699" s="4"/>
      <c r="S699" s="4"/>
      <c r="T699" s="4"/>
      <c r="AV699" s="27"/>
      <c r="AW699" s="4"/>
    </row>
    <row r="700" spans="5:49" ht="15.75" customHeight="1">
      <c r="E700" s="23"/>
      <c r="F700" s="23"/>
      <c r="I700" s="4"/>
      <c r="J700" s="24"/>
      <c r="K700" s="25"/>
      <c r="L700" s="26"/>
      <c r="M700" s="9"/>
      <c r="N700" s="9"/>
      <c r="O700" s="4"/>
      <c r="P700" s="4"/>
      <c r="Q700" s="4"/>
      <c r="R700" s="4"/>
      <c r="S700" s="4"/>
      <c r="T700" s="4"/>
      <c r="AV700" s="27"/>
      <c r="AW700" s="4"/>
    </row>
    <row r="701" spans="5:49" ht="15.75" customHeight="1">
      <c r="E701" s="23"/>
      <c r="F701" s="23"/>
      <c r="I701" s="4"/>
      <c r="J701" s="24"/>
      <c r="K701" s="25"/>
      <c r="L701" s="26"/>
      <c r="M701" s="9"/>
      <c r="N701" s="9"/>
      <c r="O701" s="4"/>
      <c r="P701" s="4"/>
      <c r="Q701" s="4"/>
      <c r="R701" s="4"/>
      <c r="S701" s="4"/>
      <c r="T701" s="4"/>
      <c r="AV701" s="27"/>
      <c r="AW701" s="4"/>
    </row>
    <row r="702" spans="5:49" ht="15.75" customHeight="1">
      <c r="E702" s="23"/>
      <c r="F702" s="23"/>
      <c r="I702" s="4"/>
      <c r="J702" s="24"/>
      <c r="K702" s="25"/>
      <c r="L702" s="26"/>
      <c r="M702" s="9"/>
      <c r="N702" s="9"/>
      <c r="O702" s="4"/>
      <c r="P702" s="4"/>
      <c r="Q702" s="4"/>
      <c r="R702" s="4"/>
      <c r="S702" s="4"/>
      <c r="T702" s="4"/>
      <c r="AV702" s="27"/>
      <c r="AW702" s="4"/>
    </row>
    <row r="703" spans="5:49" ht="15.75" customHeight="1">
      <c r="E703" s="23"/>
      <c r="F703" s="23"/>
      <c r="I703" s="4"/>
      <c r="J703" s="24"/>
      <c r="K703" s="25"/>
      <c r="L703" s="26"/>
      <c r="M703" s="9"/>
      <c r="N703" s="9"/>
      <c r="O703" s="4"/>
      <c r="P703" s="4"/>
      <c r="Q703" s="4"/>
      <c r="R703" s="4"/>
      <c r="S703" s="4"/>
      <c r="T703" s="4"/>
      <c r="AV703" s="27"/>
      <c r="AW703" s="4"/>
    </row>
    <row r="704" spans="5:49" ht="15.75" customHeight="1">
      <c r="E704" s="23"/>
      <c r="F704" s="23"/>
      <c r="I704" s="4"/>
      <c r="J704" s="24"/>
      <c r="K704" s="25"/>
      <c r="L704" s="26"/>
      <c r="M704" s="9"/>
      <c r="N704" s="9"/>
      <c r="O704" s="4"/>
      <c r="P704" s="4"/>
      <c r="Q704" s="4"/>
      <c r="R704" s="4"/>
      <c r="S704" s="4"/>
      <c r="T704" s="4"/>
      <c r="AV704" s="27"/>
      <c r="AW704" s="4"/>
    </row>
    <row r="705" spans="5:49" ht="15.75" customHeight="1">
      <c r="E705" s="23"/>
      <c r="F705" s="23"/>
      <c r="I705" s="4"/>
      <c r="J705" s="24"/>
      <c r="K705" s="25"/>
      <c r="L705" s="26"/>
      <c r="M705" s="9"/>
      <c r="N705" s="9"/>
      <c r="O705" s="4"/>
      <c r="P705" s="4"/>
      <c r="Q705" s="4"/>
      <c r="R705" s="4"/>
      <c r="S705" s="4"/>
      <c r="T705" s="4"/>
      <c r="AV705" s="27"/>
      <c r="AW705" s="4"/>
    </row>
    <row r="706" spans="5:49" ht="15.75" customHeight="1">
      <c r="E706" s="23"/>
      <c r="F706" s="23"/>
      <c r="I706" s="4"/>
      <c r="J706" s="24"/>
      <c r="K706" s="25"/>
      <c r="L706" s="26"/>
      <c r="M706" s="9"/>
      <c r="N706" s="9"/>
      <c r="O706" s="4"/>
      <c r="P706" s="4"/>
      <c r="Q706" s="4"/>
      <c r="R706" s="4"/>
      <c r="S706" s="4"/>
      <c r="T706" s="4"/>
      <c r="AV706" s="27"/>
      <c r="AW706" s="4"/>
    </row>
    <row r="707" spans="5:49" ht="15.75" customHeight="1">
      <c r="E707" s="23"/>
      <c r="F707" s="23"/>
      <c r="I707" s="4"/>
      <c r="J707" s="24"/>
      <c r="K707" s="25"/>
      <c r="L707" s="26"/>
      <c r="M707" s="9"/>
      <c r="N707" s="9"/>
      <c r="O707" s="4"/>
      <c r="P707" s="4"/>
      <c r="Q707" s="4"/>
      <c r="R707" s="4"/>
      <c r="S707" s="4"/>
      <c r="T707" s="4"/>
      <c r="AV707" s="27"/>
      <c r="AW707" s="4"/>
    </row>
    <row r="708" spans="5:49" ht="15.75" customHeight="1">
      <c r="E708" s="23"/>
      <c r="F708" s="23"/>
      <c r="I708" s="4"/>
      <c r="J708" s="24"/>
      <c r="K708" s="25"/>
      <c r="L708" s="26"/>
      <c r="M708" s="9"/>
      <c r="N708" s="9"/>
      <c r="O708" s="4"/>
      <c r="P708" s="4"/>
      <c r="Q708" s="4"/>
      <c r="R708" s="4"/>
      <c r="S708" s="4"/>
      <c r="T708" s="4"/>
      <c r="AV708" s="27"/>
      <c r="AW708" s="4"/>
    </row>
    <row r="709" spans="5:49" ht="15.75" customHeight="1">
      <c r="E709" s="23"/>
      <c r="F709" s="23"/>
      <c r="I709" s="4"/>
      <c r="J709" s="24"/>
      <c r="K709" s="25"/>
      <c r="L709" s="26"/>
      <c r="M709" s="9"/>
      <c r="N709" s="9"/>
      <c r="O709" s="4"/>
      <c r="P709" s="4"/>
      <c r="Q709" s="4"/>
      <c r="R709" s="4"/>
      <c r="S709" s="4"/>
      <c r="T709" s="4"/>
      <c r="AV709" s="27"/>
      <c r="AW709" s="4"/>
    </row>
    <row r="710" spans="5:49" ht="15.75" customHeight="1">
      <c r="E710" s="23"/>
      <c r="F710" s="23"/>
      <c r="I710" s="4"/>
      <c r="J710" s="24"/>
      <c r="K710" s="25"/>
      <c r="L710" s="26"/>
      <c r="M710" s="9"/>
      <c r="N710" s="9"/>
      <c r="O710" s="4"/>
      <c r="P710" s="4"/>
      <c r="Q710" s="4"/>
      <c r="R710" s="4"/>
      <c r="S710" s="4"/>
      <c r="T710" s="4"/>
      <c r="AV710" s="27"/>
      <c r="AW710" s="4"/>
    </row>
    <row r="711" spans="5:49" ht="15.75" customHeight="1">
      <c r="E711" s="23"/>
      <c r="F711" s="23"/>
      <c r="I711" s="4"/>
      <c r="J711" s="24"/>
      <c r="K711" s="25"/>
      <c r="L711" s="26"/>
      <c r="M711" s="9"/>
      <c r="N711" s="9"/>
      <c r="O711" s="4"/>
      <c r="P711" s="4"/>
      <c r="Q711" s="4"/>
      <c r="R711" s="4"/>
      <c r="S711" s="4"/>
      <c r="T711" s="4"/>
      <c r="AV711" s="27"/>
      <c r="AW711" s="4"/>
    </row>
    <row r="712" spans="5:49" ht="15.75" customHeight="1">
      <c r="E712" s="23"/>
      <c r="F712" s="23"/>
      <c r="I712" s="4"/>
      <c r="J712" s="24"/>
      <c r="K712" s="25"/>
      <c r="L712" s="26"/>
      <c r="M712" s="9"/>
      <c r="N712" s="9"/>
      <c r="O712" s="4"/>
      <c r="P712" s="4"/>
      <c r="Q712" s="4"/>
      <c r="R712" s="4"/>
      <c r="S712" s="4"/>
      <c r="T712" s="4"/>
      <c r="AV712" s="27"/>
      <c r="AW712" s="4"/>
    </row>
    <row r="713" spans="5:49" ht="15.75" customHeight="1">
      <c r="E713" s="23"/>
      <c r="F713" s="23"/>
      <c r="I713" s="4"/>
      <c r="J713" s="24"/>
      <c r="K713" s="25"/>
      <c r="L713" s="26"/>
      <c r="M713" s="9"/>
      <c r="N713" s="9"/>
      <c r="O713" s="4"/>
      <c r="P713" s="4"/>
      <c r="Q713" s="4"/>
      <c r="R713" s="4"/>
      <c r="S713" s="4"/>
      <c r="T713" s="4"/>
      <c r="AV713" s="27"/>
      <c r="AW713" s="4"/>
    </row>
    <row r="714" spans="5:49" ht="15.75" customHeight="1">
      <c r="E714" s="23"/>
      <c r="F714" s="23"/>
      <c r="I714" s="4"/>
      <c r="J714" s="24"/>
      <c r="K714" s="25"/>
      <c r="L714" s="26"/>
      <c r="M714" s="9"/>
      <c r="N714" s="9"/>
      <c r="O714" s="4"/>
      <c r="P714" s="4"/>
      <c r="Q714" s="4"/>
      <c r="R714" s="4"/>
      <c r="S714" s="4"/>
      <c r="T714" s="4"/>
      <c r="AV714" s="27"/>
      <c r="AW714" s="4"/>
    </row>
    <row r="715" spans="5:49" ht="15.75" customHeight="1">
      <c r="E715" s="23"/>
      <c r="F715" s="23"/>
      <c r="I715" s="4"/>
      <c r="J715" s="24"/>
      <c r="K715" s="25"/>
      <c r="L715" s="26"/>
      <c r="M715" s="9"/>
      <c r="N715" s="9"/>
      <c r="O715" s="4"/>
      <c r="P715" s="4"/>
      <c r="Q715" s="4"/>
      <c r="R715" s="4"/>
      <c r="S715" s="4"/>
      <c r="T715" s="4"/>
      <c r="AV715" s="27"/>
      <c r="AW715" s="4"/>
    </row>
    <row r="716" spans="5:49" ht="15.75" customHeight="1">
      <c r="E716" s="23"/>
      <c r="F716" s="23"/>
      <c r="I716" s="4"/>
      <c r="J716" s="24"/>
      <c r="K716" s="25"/>
      <c r="L716" s="26"/>
      <c r="M716" s="9"/>
      <c r="N716" s="9"/>
      <c r="O716" s="4"/>
      <c r="P716" s="4"/>
      <c r="Q716" s="4"/>
      <c r="R716" s="4"/>
      <c r="S716" s="4"/>
      <c r="T716" s="4"/>
      <c r="AV716" s="27"/>
      <c r="AW716" s="4"/>
    </row>
    <row r="717" spans="5:49" ht="15.75" customHeight="1">
      <c r="E717" s="23"/>
      <c r="F717" s="23"/>
      <c r="I717" s="4"/>
      <c r="J717" s="24"/>
      <c r="K717" s="25"/>
      <c r="L717" s="26"/>
      <c r="M717" s="9"/>
      <c r="N717" s="9"/>
      <c r="O717" s="4"/>
      <c r="P717" s="4"/>
      <c r="Q717" s="4"/>
      <c r="R717" s="4"/>
      <c r="S717" s="4"/>
      <c r="T717" s="4"/>
      <c r="AV717" s="27"/>
      <c r="AW717" s="4"/>
    </row>
    <row r="718" spans="5:49" ht="15.75" customHeight="1">
      <c r="E718" s="23"/>
      <c r="F718" s="23"/>
      <c r="I718" s="4"/>
      <c r="J718" s="24"/>
      <c r="K718" s="25"/>
      <c r="L718" s="26"/>
      <c r="M718" s="9"/>
      <c r="N718" s="9"/>
      <c r="O718" s="4"/>
      <c r="P718" s="4"/>
      <c r="Q718" s="4"/>
      <c r="R718" s="4"/>
      <c r="S718" s="4"/>
      <c r="T718" s="4"/>
      <c r="AV718" s="27"/>
      <c r="AW718" s="4"/>
    </row>
    <row r="719" spans="5:49" ht="15.75" customHeight="1">
      <c r="E719" s="23"/>
      <c r="F719" s="23"/>
      <c r="I719" s="4"/>
      <c r="J719" s="24"/>
      <c r="K719" s="25"/>
      <c r="L719" s="26"/>
      <c r="M719" s="9"/>
      <c r="N719" s="9"/>
      <c r="O719" s="4"/>
      <c r="P719" s="4"/>
      <c r="Q719" s="4"/>
      <c r="R719" s="4"/>
      <c r="S719" s="4"/>
      <c r="T719" s="4"/>
      <c r="AV719" s="27"/>
      <c r="AW719" s="4"/>
    </row>
    <row r="720" spans="5:49" ht="15.75" customHeight="1">
      <c r="E720" s="23"/>
      <c r="F720" s="23"/>
      <c r="I720" s="4"/>
      <c r="J720" s="24"/>
      <c r="K720" s="25"/>
      <c r="L720" s="26"/>
      <c r="M720" s="9"/>
      <c r="N720" s="9"/>
      <c r="O720" s="4"/>
      <c r="P720" s="4"/>
      <c r="Q720" s="4"/>
      <c r="R720" s="4"/>
      <c r="S720" s="4"/>
      <c r="T720" s="4"/>
      <c r="AV720" s="27"/>
      <c r="AW720" s="4"/>
    </row>
    <row r="721" spans="5:49" ht="15.75" customHeight="1">
      <c r="E721" s="23"/>
      <c r="F721" s="23"/>
      <c r="I721" s="4"/>
      <c r="J721" s="24"/>
      <c r="K721" s="25"/>
      <c r="L721" s="26"/>
      <c r="M721" s="9"/>
      <c r="N721" s="9"/>
      <c r="O721" s="4"/>
      <c r="P721" s="4"/>
      <c r="Q721" s="4"/>
      <c r="R721" s="4"/>
      <c r="S721" s="4"/>
      <c r="T721" s="4"/>
      <c r="AV721" s="27"/>
      <c r="AW721" s="4"/>
    </row>
    <row r="722" spans="5:49" ht="15.75" customHeight="1">
      <c r="E722" s="23"/>
      <c r="F722" s="23"/>
      <c r="I722" s="4"/>
      <c r="J722" s="24"/>
      <c r="K722" s="25"/>
      <c r="L722" s="26"/>
      <c r="M722" s="9"/>
      <c r="N722" s="9"/>
      <c r="O722" s="4"/>
      <c r="P722" s="4"/>
      <c r="Q722" s="4"/>
      <c r="R722" s="4"/>
      <c r="S722" s="4"/>
      <c r="T722" s="4"/>
      <c r="AV722" s="27"/>
      <c r="AW722" s="4"/>
    </row>
    <row r="723" spans="5:49" ht="15.75" customHeight="1">
      <c r="E723" s="23"/>
      <c r="F723" s="23"/>
      <c r="I723" s="4"/>
      <c r="J723" s="24"/>
      <c r="K723" s="25"/>
      <c r="L723" s="26"/>
      <c r="M723" s="9"/>
      <c r="N723" s="9"/>
      <c r="O723" s="4"/>
      <c r="P723" s="4"/>
      <c r="Q723" s="4"/>
      <c r="R723" s="4"/>
      <c r="S723" s="4"/>
      <c r="T723" s="4"/>
      <c r="AV723" s="27"/>
      <c r="AW723" s="4"/>
    </row>
    <row r="724" spans="5:49" ht="15.75" customHeight="1">
      <c r="E724" s="23"/>
      <c r="F724" s="23"/>
      <c r="I724" s="4"/>
      <c r="J724" s="24"/>
      <c r="K724" s="25"/>
      <c r="L724" s="26"/>
      <c r="M724" s="9"/>
      <c r="N724" s="9"/>
      <c r="O724" s="4"/>
      <c r="P724" s="4"/>
      <c r="Q724" s="4"/>
      <c r="R724" s="4"/>
      <c r="S724" s="4"/>
      <c r="T724" s="4"/>
      <c r="AV724" s="27"/>
      <c r="AW724" s="4"/>
    </row>
    <row r="725" spans="5:49" ht="15.75" customHeight="1">
      <c r="E725" s="23"/>
      <c r="F725" s="23"/>
      <c r="I725" s="4"/>
      <c r="J725" s="24"/>
      <c r="K725" s="25"/>
      <c r="L725" s="26"/>
      <c r="M725" s="9"/>
      <c r="N725" s="9"/>
      <c r="O725" s="4"/>
      <c r="P725" s="4"/>
      <c r="Q725" s="4"/>
      <c r="R725" s="4"/>
      <c r="S725" s="4"/>
      <c r="T725" s="4"/>
      <c r="AV725" s="27"/>
      <c r="AW725" s="4"/>
    </row>
    <row r="726" spans="5:49" ht="15.75" customHeight="1">
      <c r="E726" s="23"/>
      <c r="F726" s="23"/>
      <c r="I726" s="4"/>
      <c r="J726" s="24"/>
      <c r="K726" s="25"/>
      <c r="L726" s="26"/>
      <c r="M726" s="9"/>
      <c r="N726" s="9"/>
      <c r="O726" s="4"/>
      <c r="P726" s="4"/>
      <c r="Q726" s="4"/>
      <c r="R726" s="4"/>
      <c r="S726" s="4"/>
      <c r="T726" s="4"/>
      <c r="AV726" s="27"/>
      <c r="AW726" s="4"/>
    </row>
    <row r="727" spans="5:49" ht="15.75" customHeight="1">
      <c r="E727" s="23"/>
      <c r="F727" s="23"/>
      <c r="I727" s="4"/>
      <c r="J727" s="24"/>
      <c r="K727" s="25"/>
      <c r="L727" s="26"/>
      <c r="M727" s="9"/>
      <c r="N727" s="9"/>
      <c r="O727" s="4"/>
      <c r="P727" s="4"/>
      <c r="Q727" s="4"/>
      <c r="R727" s="4"/>
      <c r="S727" s="4"/>
      <c r="T727" s="4"/>
      <c r="AV727" s="27"/>
      <c r="AW727" s="4"/>
    </row>
    <row r="728" spans="5:49" ht="15.75" customHeight="1">
      <c r="E728" s="23"/>
      <c r="F728" s="23"/>
      <c r="I728" s="4"/>
      <c r="J728" s="24"/>
      <c r="K728" s="25"/>
      <c r="L728" s="26"/>
      <c r="M728" s="9"/>
      <c r="N728" s="9"/>
      <c r="O728" s="4"/>
      <c r="P728" s="4"/>
      <c r="Q728" s="4"/>
      <c r="R728" s="4"/>
      <c r="S728" s="4"/>
      <c r="T728" s="4"/>
      <c r="AV728" s="27"/>
      <c r="AW728" s="4"/>
    </row>
    <row r="729" spans="5:49" ht="15.75" customHeight="1">
      <c r="E729" s="23"/>
      <c r="F729" s="23"/>
      <c r="I729" s="4"/>
      <c r="J729" s="24"/>
      <c r="K729" s="25"/>
      <c r="L729" s="26"/>
      <c r="M729" s="9"/>
      <c r="N729" s="9"/>
      <c r="O729" s="4"/>
      <c r="P729" s="4"/>
      <c r="Q729" s="4"/>
      <c r="R729" s="4"/>
      <c r="S729" s="4"/>
      <c r="T729" s="4"/>
      <c r="AV729" s="27"/>
      <c r="AW729" s="4"/>
    </row>
    <row r="730" spans="5:49" ht="15.75" customHeight="1">
      <c r="E730" s="23"/>
      <c r="F730" s="23"/>
      <c r="I730" s="4"/>
      <c r="J730" s="24"/>
      <c r="K730" s="25"/>
      <c r="L730" s="26"/>
      <c r="M730" s="9"/>
      <c r="N730" s="9"/>
      <c r="O730" s="4"/>
      <c r="P730" s="4"/>
      <c r="Q730" s="4"/>
      <c r="R730" s="4"/>
      <c r="S730" s="4"/>
      <c r="T730" s="4"/>
      <c r="AV730" s="27"/>
      <c r="AW730" s="4"/>
    </row>
    <row r="731" spans="5:49" ht="15.75" customHeight="1">
      <c r="E731" s="23"/>
      <c r="F731" s="23"/>
      <c r="I731" s="4"/>
      <c r="J731" s="24"/>
      <c r="K731" s="25"/>
      <c r="L731" s="26"/>
      <c r="M731" s="9"/>
      <c r="N731" s="9"/>
      <c r="O731" s="4"/>
      <c r="P731" s="4"/>
      <c r="Q731" s="4"/>
      <c r="R731" s="4"/>
      <c r="S731" s="4"/>
      <c r="T731" s="4"/>
      <c r="AV731" s="27"/>
      <c r="AW731" s="4"/>
    </row>
    <row r="732" spans="5:49" ht="15.75" customHeight="1">
      <c r="E732" s="23"/>
      <c r="F732" s="23"/>
      <c r="I732" s="4"/>
      <c r="J732" s="24"/>
      <c r="K732" s="25"/>
      <c r="L732" s="26"/>
      <c r="M732" s="9"/>
      <c r="N732" s="9"/>
      <c r="O732" s="4"/>
      <c r="P732" s="4"/>
      <c r="Q732" s="4"/>
      <c r="R732" s="4"/>
      <c r="S732" s="4"/>
      <c r="T732" s="4"/>
      <c r="AV732" s="27"/>
      <c r="AW732" s="4"/>
    </row>
    <row r="733" spans="5:49" ht="15.75" customHeight="1">
      <c r="E733" s="23"/>
      <c r="F733" s="23"/>
      <c r="I733" s="4"/>
      <c r="J733" s="24"/>
      <c r="K733" s="25"/>
      <c r="L733" s="26"/>
      <c r="M733" s="9"/>
      <c r="N733" s="9"/>
      <c r="O733" s="4"/>
      <c r="P733" s="4"/>
      <c r="Q733" s="4"/>
      <c r="R733" s="4"/>
      <c r="S733" s="4"/>
      <c r="T733" s="4"/>
      <c r="AV733" s="27"/>
      <c r="AW733" s="4"/>
    </row>
    <row r="734" spans="5:49" ht="15.75" customHeight="1">
      <c r="E734" s="23"/>
      <c r="F734" s="23"/>
      <c r="I734" s="4"/>
      <c r="J734" s="24"/>
      <c r="K734" s="25"/>
      <c r="L734" s="26"/>
      <c r="M734" s="9"/>
      <c r="N734" s="9"/>
      <c r="O734" s="4"/>
      <c r="P734" s="4"/>
      <c r="Q734" s="4"/>
      <c r="R734" s="4"/>
      <c r="S734" s="4"/>
      <c r="T734" s="4"/>
      <c r="AV734" s="27"/>
      <c r="AW734" s="4"/>
    </row>
    <row r="735" spans="5:49" ht="15.75" customHeight="1">
      <c r="E735" s="23"/>
      <c r="F735" s="23"/>
      <c r="I735" s="4"/>
      <c r="J735" s="24"/>
      <c r="K735" s="25"/>
      <c r="L735" s="26"/>
      <c r="M735" s="9"/>
      <c r="N735" s="9"/>
      <c r="O735" s="4"/>
      <c r="P735" s="4"/>
      <c r="Q735" s="4"/>
      <c r="R735" s="4"/>
      <c r="S735" s="4"/>
      <c r="T735" s="4"/>
      <c r="AV735" s="27"/>
      <c r="AW735" s="4"/>
    </row>
    <row r="736" spans="5:49" ht="15.75" customHeight="1">
      <c r="E736" s="23"/>
      <c r="F736" s="23"/>
      <c r="I736" s="4"/>
      <c r="J736" s="24"/>
      <c r="K736" s="25"/>
      <c r="L736" s="26"/>
      <c r="M736" s="9"/>
      <c r="N736" s="9"/>
      <c r="O736" s="4"/>
      <c r="P736" s="4"/>
      <c r="Q736" s="4"/>
      <c r="R736" s="4"/>
      <c r="S736" s="4"/>
      <c r="T736" s="4"/>
      <c r="AV736" s="27"/>
      <c r="AW736" s="4"/>
    </row>
    <row r="737" spans="5:49" ht="15.75" customHeight="1">
      <c r="E737" s="23"/>
      <c r="F737" s="23"/>
      <c r="I737" s="4"/>
      <c r="J737" s="24"/>
      <c r="K737" s="25"/>
      <c r="L737" s="26"/>
      <c r="M737" s="9"/>
      <c r="N737" s="9"/>
      <c r="O737" s="4"/>
      <c r="P737" s="4"/>
      <c r="Q737" s="4"/>
      <c r="R737" s="4"/>
      <c r="S737" s="4"/>
      <c r="T737" s="4"/>
      <c r="AV737" s="27"/>
      <c r="AW737" s="4"/>
    </row>
    <row r="738" spans="5:49" ht="15.75" customHeight="1">
      <c r="E738" s="23"/>
      <c r="F738" s="23"/>
      <c r="I738" s="4"/>
      <c r="J738" s="24"/>
      <c r="K738" s="25"/>
      <c r="L738" s="26"/>
      <c r="M738" s="9"/>
      <c r="N738" s="9"/>
      <c r="O738" s="4"/>
      <c r="P738" s="4"/>
      <c r="Q738" s="4"/>
      <c r="R738" s="4"/>
      <c r="S738" s="4"/>
      <c r="T738" s="4"/>
      <c r="AV738" s="27"/>
      <c r="AW738" s="4"/>
    </row>
    <row r="739" spans="5:49" ht="15.75" customHeight="1">
      <c r="E739" s="23"/>
      <c r="F739" s="23"/>
      <c r="I739" s="4"/>
      <c r="J739" s="24"/>
      <c r="K739" s="25"/>
      <c r="L739" s="26"/>
      <c r="M739" s="9"/>
      <c r="N739" s="9"/>
      <c r="O739" s="4"/>
      <c r="P739" s="4"/>
      <c r="Q739" s="4"/>
      <c r="R739" s="4"/>
      <c r="S739" s="4"/>
      <c r="T739" s="4"/>
      <c r="AV739" s="27"/>
      <c r="AW739" s="4"/>
    </row>
    <row r="740" spans="5:49" ht="15.75" customHeight="1">
      <c r="E740" s="23"/>
      <c r="F740" s="23"/>
      <c r="I740" s="4"/>
      <c r="J740" s="24"/>
      <c r="K740" s="25"/>
      <c r="L740" s="26"/>
      <c r="M740" s="9"/>
      <c r="N740" s="9"/>
      <c r="O740" s="4"/>
      <c r="P740" s="4"/>
      <c r="Q740" s="4"/>
      <c r="R740" s="4"/>
      <c r="S740" s="4"/>
      <c r="T740" s="4"/>
      <c r="AV740" s="27"/>
      <c r="AW740" s="4"/>
    </row>
    <row r="741" spans="5:49" ht="15.75" customHeight="1">
      <c r="E741" s="23"/>
      <c r="F741" s="23"/>
      <c r="I741" s="4"/>
      <c r="J741" s="24"/>
      <c r="K741" s="25"/>
      <c r="L741" s="26"/>
      <c r="M741" s="9"/>
      <c r="N741" s="9"/>
      <c r="O741" s="4"/>
      <c r="P741" s="4"/>
      <c r="Q741" s="4"/>
      <c r="R741" s="4"/>
      <c r="S741" s="4"/>
      <c r="T741" s="4"/>
      <c r="AV741" s="27"/>
      <c r="AW741" s="4"/>
    </row>
    <row r="742" spans="5:49" ht="15.75" customHeight="1">
      <c r="E742" s="23"/>
      <c r="F742" s="23"/>
      <c r="I742" s="4"/>
      <c r="J742" s="24"/>
      <c r="K742" s="25"/>
      <c r="L742" s="26"/>
      <c r="M742" s="9"/>
      <c r="N742" s="9"/>
      <c r="O742" s="4"/>
      <c r="P742" s="4"/>
      <c r="Q742" s="4"/>
      <c r="R742" s="4"/>
      <c r="S742" s="4"/>
      <c r="T742" s="4"/>
      <c r="AV742" s="27"/>
      <c r="AW742" s="4"/>
    </row>
    <row r="743" spans="5:49" ht="15.75" customHeight="1">
      <c r="E743" s="23"/>
      <c r="F743" s="23"/>
      <c r="I743" s="4"/>
      <c r="J743" s="24"/>
      <c r="K743" s="25"/>
      <c r="L743" s="26"/>
      <c r="M743" s="9"/>
      <c r="N743" s="9"/>
      <c r="O743" s="4"/>
      <c r="P743" s="4"/>
      <c r="Q743" s="4"/>
      <c r="R743" s="4"/>
      <c r="S743" s="4"/>
      <c r="T743" s="4"/>
      <c r="AV743" s="27"/>
      <c r="AW743" s="4"/>
    </row>
    <row r="744" spans="5:49" ht="15.75" customHeight="1">
      <c r="E744" s="23"/>
      <c r="F744" s="23"/>
      <c r="I744" s="4"/>
      <c r="J744" s="24"/>
      <c r="K744" s="25"/>
      <c r="L744" s="26"/>
      <c r="M744" s="9"/>
      <c r="N744" s="9"/>
      <c r="O744" s="4"/>
      <c r="P744" s="4"/>
      <c r="Q744" s="4"/>
      <c r="R744" s="4"/>
      <c r="S744" s="4"/>
      <c r="T744" s="4"/>
      <c r="AV744" s="27"/>
      <c r="AW744" s="4"/>
    </row>
    <row r="745" spans="5:49" ht="15.75" customHeight="1">
      <c r="E745" s="23"/>
      <c r="F745" s="23"/>
      <c r="I745" s="4"/>
      <c r="J745" s="24"/>
      <c r="K745" s="25"/>
      <c r="L745" s="26"/>
      <c r="M745" s="9"/>
      <c r="N745" s="9"/>
      <c r="O745" s="4"/>
      <c r="P745" s="4"/>
      <c r="Q745" s="4"/>
      <c r="R745" s="4"/>
      <c r="S745" s="4"/>
      <c r="T745" s="4"/>
      <c r="AV745" s="27"/>
      <c r="AW745" s="4"/>
    </row>
    <row r="746" spans="5:49" ht="15.75" customHeight="1">
      <c r="E746" s="23"/>
      <c r="F746" s="23"/>
      <c r="I746" s="4"/>
      <c r="J746" s="24"/>
      <c r="K746" s="25"/>
      <c r="L746" s="26"/>
      <c r="M746" s="9"/>
      <c r="N746" s="9"/>
      <c r="O746" s="4"/>
      <c r="P746" s="4"/>
      <c r="Q746" s="4"/>
      <c r="R746" s="4"/>
      <c r="S746" s="4"/>
      <c r="T746" s="4"/>
      <c r="AV746" s="27"/>
      <c r="AW746" s="4"/>
    </row>
    <row r="747" spans="5:49" ht="15.75" customHeight="1">
      <c r="E747" s="23"/>
      <c r="F747" s="23"/>
      <c r="I747" s="4"/>
      <c r="J747" s="24"/>
      <c r="K747" s="25"/>
      <c r="L747" s="26"/>
      <c r="M747" s="9"/>
      <c r="N747" s="9"/>
      <c r="O747" s="4"/>
      <c r="P747" s="4"/>
      <c r="Q747" s="4"/>
      <c r="R747" s="4"/>
      <c r="S747" s="4"/>
      <c r="T747" s="4"/>
      <c r="AV747" s="27"/>
      <c r="AW747" s="4"/>
    </row>
    <row r="748" spans="5:49" ht="15.75" customHeight="1">
      <c r="E748" s="23"/>
      <c r="F748" s="23"/>
      <c r="I748" s="4"/>
      <c r="J748" s="24"/>
      <c r="K748" s="25"/>
      <c r="L748" s="26"/>
      <c r="M748" s="9"/>
      <c r="N748" s="9"/>
      <c r="O748" s="4"/>
      <c r="P748" s="4"/>
      <c r="Q748" s="4"/>
      <c r="R748" s="4"/>
      <c r="S748" s="4"/>
      <c r="T748" s="4"/>
      <c r="AV748" s="27"/>
      <c r="AW748" s="4"/>
    </row>
    <row r="749" spans="5:49" ht="15.75" customHeight="1">
      <c r="E749" s="23"/>
      <c r="F749" s="23"/>
      <c r="I749" s="4"/>
      <c r="J749" s="24"/>
      <c r="K749" s="25"/>
      <c r="L749" s="26"/>
      <c r="M749" s="9"/>
      <c r="N749" s="9"/>
      <c r="O749" s="4"/>
      <c r="P749" s="4"/>
      <c r="Q749" s="4"/>
      <c r="R749" s="4"/>
      <c r="S749" s="4"/>
      <c r="T749" s="4"/>
      <c r="AV749" s="27"/>
      <c r="AW749" s="4"/>
    </row>
    <row r="750" spans="5:49" ht="15.75" customHeight="1">
      <c r="E750" s="23"/>
      <c r="F750" s="23"/>
      <c r="I750" s="4"/>
      <c r="J750" s="24"/>
      <c r="K750" s="25"/>
      <c r="L750" s="26"/>
      <c r="M750" s="9"/>
      <c r="N750" s="9"/>
      <c r="O750" s="4"/>
      <c r="P750" s="4"/>
      <c r="Q750" s="4"/>
      <c r="R750" s="4"/>
      <c r="S750" s="4"/>
      <c r="T750" s="4"/>
      <c r="AV750" s="27"/>
      <c r="AW750" s="4"/>
    </row>
    <row r="751" spans="5:49" ht="15.75" customHeight="1">
      <c r="E751" s="23"/>
      <c r="F751" s="23"/>
      <c r="I751" s="4"/>
      <c r="J751" s="24"/>
      <c r="K751" s="25"/>
      <c r="L751" s="26"/>
      <c r="M751" s="9"/>
      <c r="N751" s="9"/>
      <c r="O751" s="4"/>
      <c r="P751" s="4"/>
      <c r="Q751" s="4"/>
      <c r="R751" s="4"/>
      <c r="S751" s="4"/>
      <c r="T751" s="4"/>
      <c r="AV751" s="27"/>
      <c r="AW751" s="4"/>
    </row>
    <row r="752" spans="5:49" ht="15.75" customHeight="1">
      <c r="E752" s="23"/>
      <c r="F752" s="23"/>
      <c r="I752" s="4"/>
      <c r="J752" s="24"/>
      <c r="K752" s="25"/>
      <c r="L752" s="26"/>
      <c r="M752" s="9"/>
      <c r="N752" s="9"/>
      <c r="O752" s="4"/>
      <c r="P752" s="4"/>
      <c r="Q752" s="4"/>
      <c r="R752" s="4"/>
      <c r="S752" s="4"/>
      <c r="T752" s="4"/>
      <c r="AV752" s="27"/>
      <c r="AW752" s="4"/>
    </row>
    <row r="753" spans="5:49" ht="15.75" customHeight="1">
      <c r="E753" s="23"/>
      <c r="F753" s="23"/>
      <c r="I753" s="4"/>
      <c r="J753" s="24"/>
      <c r="K753" s="25"/>
      <c r="L753" s="26"/>
      <c r="M753" s="9"/>
      <c r="N753" s="9"/>
      <c r="O753" s="4"/>
      <c r="P753" s="4"/>
      <c r="Q753" s="4"/>
      <c r="R753" s="4"/>
      <c r="S753" s="4"/>
      <c r="T753" s="4"/>
      <c r="AV753" s="27"/>
      <c r="AW753" s="4"/>
    </row>
    <row r="754" spans="5:49" ht="15.75" customHeight="1">
      <c r="E754" s="23"/>
      <c r="F754" s="23"/>
      <c r="I754" s="4"/>
      <c r="J754" s="24"/>
      <c r="K754" s="25"/>
      <c r="L754" s="26"/>
      <c r="M754" s="9"/>
      <c r="N754" s="9"/>
      <c r="O754" s="4"/>
      <c r="P754" s="4"/>
      <c r="Q754" s="4"/>
      <c r="R754" s="4"/>
      <c r="S754" s="4"/>
      <c r="T754" s="4"/>
      <c r="AV754" s="27"/>
      <c r="AW754" s="4"/>
    </row>
    <row r="755" spans="5:49" ht="15.75" customHeight="1">
      <c r="E755" s="23"/>
      <c r="F755" s="23"/>
      <c r="I755" s="4"/>
      <c r="J755" s="24"/>
      <c r="K755" s="25"/>
      <c r="L755" s="26"/>
      <c r="M755" s="9"/>
      <c r="N755" s="9"/>
      <c r="O755" s="4"/>
      <c r="P755" s="4"/>
      <c r="Q755" s="4"/>
      <c r="R755" s="4"/>
      <c r="S755" s="4"/>
      <c r="T755" s="4"/>
      <c r="AV755" s="27"/>
      <c r="AW755" s="4"/>
    </row>
    <row r="756" spans="5:49" ht="15.75" customHeight="1">
      <c r="E756" s="23"/>
      <c r="F756" s="23"/>
      <c r="I756" s="4"/>
      <c r="J756" s="24"/>
      <c r="K756" s="25"/>
      <c r="L756" s="26"/>
      <c r="M756" s="9"/>
      <c r="N756" s="9"/>
      <c r="O756" s="4"/>
      <c r="P756" s="4"/>
      <c r="Q756" s="4"/>
      <c r="R756" s="4"/>
      <c r="S756" s="4"/>
      <c r="T756" s="4"/>
      <c r="AV756" s="27"/>
      <c r="AW756" s="4"/>
    </row>
    <row r="757" spans="5:49" ht="15.75" customHeight="1">
      <c r="E757" s="23"/>
      <c r="F757" s="23"/>
      <c r="I757" s="4"/>
      <c r="J757" s="24"/>
      <c r="K757" s="25"/>
      <c r="L757" s="26"/>
      <c r="M757" s="9"/>
      <c r="N757" s="9"/>
      <c r="O757" s="4"/>
      <c r="P757" s="4"/>
      <c r="Q757" s="4"/>
      <c r="R757" s="4"/>
      <c r="S757" s="4"/>
      <c r="T757" s="4"/>
      <c r="AV757" s="27"/>
      <c r="AW757" s="4"/>
    </row>
    <row r="758" spans="5:49" ht="15.75" customHeight="1">
      <c r="E758" s="23"/>
      <c r="F758" s="23"/>
      <c r="I758" s="4"/>
      <c r="J758" s="24"/>
      <c r="K758" s="25"/>
      <c r="L758" s="26"/>
      <c r="M758" s="9"/>
      <c r="N758" s="9"/>
      <c r="O758" s="4"/>
      <c r="P758" s="4"/>
      <c r="Q758" s="4"/>
      <c r="R758" s="4"/>
      <c r="S758" s="4"/>
      <c r="T758" s="4"/>
      <c r="AV758" s="27"/>
      <c r="AW758" s="4"/>
    </row>
    <row r="759" spans="5:49" ht="15.75" customHeight="1">
      <c r="E759" s="23"/>
      <c r="F759" s="23"/>
      <c r="I759" s="4"/>
      <c r="J759" s="24"/>
      <c r="K759" s="25"/>
      <c r="L759" s="26"/>
      <c r="M759" s="9"/>
      <c r="N759" s="9"/>
      <c r="O759" s="4"/>
      <c r="P759" s="4"/>
      <c r="Q759" s="4"/>
      <c r="R759" s="4"/>
      <c r="S759" s="4"/>
      <c r="T759" s="4"/>
      <c r="AV759" s="27"/>
      <c r="AW759" s="4"/>
    </row>
    <row r="760" spans="5:49" ht="15.75" customHeight="1">
      <c r="E760" s="23"/>
      <c r="F760" s="23"/>
      <c r="I760" s="4"/>
      <c r="J760" s="24"/>
      <c r="K760" s="25"/>
      <c r="L760" s="26"/>
      <c r="M760" s="9"/>
      <c r="N760" s="9"/>
      <c r="O760" s="4"/>
      <c r="P760" s="4"/>
      <c r="Q760" s="4"/>
      <c r="R760" s="4"/>
      <c r="S760" s="4"/>
      <c r="T760" s="4"/>
      <c r="AV760" s="27"/>
      <c r="AW760" s="4"/>
    </row>
    <row r="761" spans="5:49" ht="15.75" customHeight="1">
      <c r="E761" s="23"/>
      <c r="F761" s="23"/>
      <c r="I761" s="4"/>
      <c r="J761" s="24"/>
      <c r="K761" s="25"/>
      <c r="L761" s="26"/>
      <c r="M761" s="9"/>
      <c r="N761" s="9"/>
      <c r="O761" s="4"/>
      <c r="P761" s="4"/>
      <c r="Q761" s="4"/>
      <c r="R761" s="4"/>
      <c r="S761" s="4"/>
      <c r="T761" s="4"/>
      <c r="AV761" s="27"/>
      <c r="AW761" s="4"/>
    </row>
    <row r="762" spans="5:49" ht="15.75" customHeight="1">
      <c r="E762" s="23"/>
      <c r="F762" s="23"/>
      <c r="I762" s="4"/>
      <c r="J762" s="24"/>
      <c r="K762" s="25"/>
      <c r="L762" s="26"/>
      <c r="M762" s="9"/>
      <c r="N762" s="9"/>
      <c r="O762" s="4"/>
      <c r="P762" s="4"/>
      <c r="Q762" s="4"/>
      <c r="R762" s="4"/>
      <c r="S762" s="4"/>
      <c r="T762" s="4"/>
      <c r="AV762" s="27"/>
      <c r="AW762" s="4"/>
    </row>
    <row r="763" spans="5:49" ht="15.75" customHeight="1">
      <c r="E763" s="23"/>
      <c r="F763" s="23"/>
      <c r="I763" s="4"/>
      <c r="J763" s="24"/>
      <c r="K763" s="25"/>
      <c r="L763" s="26"/>
      <c r="M763" s="9"/>
      <c r="N763" s="9"/>
      <c r="O763" s="4"/>
      <c r="P763" s="4"/>
      <c r="Q763" s="4"/>
      <c r="R763" s="4"/>
      <c r="S763" s="4"/>
      <c r="T763" s="4"/>
      <c r="AV763" s="27"/>
      <c r="AW763" s="4"/>
    </row>
    <row r="764" spans="5:49" ht="15.75" customHeight="1">
      <c r="E764" s="23"/>
      <c r="F764" s="23"/>
      <c r="I764" s="4"/>
      <c r="J764" s="24"/>
      <c r="K764" s="25"/>
      <c r="L764" s="26"/>
      <c r="M764" s="9"/>
      <c r="N764" s="9"/>
      <c r="O764" s="4"/>
      <c r="P764" s="4"/>
      <c r="Q764" s="4"/>
      <c r="R764" s="4"/>
      <c r="S764" s="4"/>
      <c r="T764" s="4"/>
      <c r="AV764" s="27"/>
      <c r="AW764" s="4"/>
    </row>
    <row r="765" spans="5:49" ht="15.75" customHeight="1">
      <c r="E765" s="23"/>
      <c r="F765" s="23"/>
      <c r="I765" s="4"/>
      <c r="J765" s="24"/>
      <c r="K765" s="25"/>
      <c r="L765" s="26"/>
      <c r="M765" s="9"/>
      <c r="N765" s="9"/>
      <c r="O765" s="4"/>
      <c r="P765" s="4"/>
      <c r="Q765" s="4"/>
      <c r="R765" s="4"/>
      <c r="S765" s="4"/>
      <c r="T765" s="4"/>
      <c r="AV765" s="27"/>
      <c r="AW765" s="4"/>
    </row>
    <row r="766" spans="5:49" ht="15.75" customHeight="1">
      <c r="E766" s="23"/>
      <c r="F766" s="23"/>
      <c r="I766" s="4"/>
      <c r="J766" s="24"/>
      <c r="K766" s="25"/>
      <c r="L766" s="26"/>
      <c r="M766" s="9"/>
      <c r="N766" s="9"/>
      <c r="O766" s="4"/>
      <c r="P766" s="4"/>
      <c r="Q766" s="4"/>
      <c r="R766" s="4"/>
      <c r="S766" s="4"/>
      <c r="T766" s="4"/>
      <c r="AV766" s="27"/>
      <c r="AW766" s="4"/>
    </row>
    <row r="767" spans="5:49" ht="15.75" customHeight="1">
      <c r="E767" s="23"/>
      <c r="F767" s="23"/>
      <c r="I767" s="4"/>
      <c r="J767" s="24"/>
      <c r="K767" s="25"/>
      <c r="L767" s="26"/>
      <c r="M767" s="9"/>
      <c r="N767" s="9"/>
      <c r="O767" s="4"/>
      <c r="P767" s="4"/>
      <c r="Q767" s="4"/>
      <c r="R767" s="4"/>
      <c r="S767" s="4"/>
      <c r="T767" s="4"/>
      <c r="AV767" s="27"/>
      <c r="AW767" s="4"/>
    </row>
    <row r="768" spans="5:49" ht="15.75" customHeight="1">
      <c r="E768" s="23"/>
      <c r="F768" s="23"/>
      <c r="I768" s="4"/>
      <c r="J768" s="24"/>
      <c r="K768" s="25"/>
      <c r="L768" s="26"/>
      <c r="M768" s="9"/>
      <c r="N768" s="9"/>
      <c r="O768" s="4"/>
      <c r="P768" s="4"/>
      <c r="Q768" s="4"/>
      <c r="R768" s="4"/>
      <c r="S768" s="4"/>
      <c r="T768" s="4"/>
      <c r="AV768" s="27"/>
      <c r="AW768" s="4"/>
    </row>
    <row r="769" spans="5:49" ht="15.75" customHeight="1">
      <c r="E769" s="23"/>
      <c r="F769" s="23"/>
      <c r="I769" s="4"/>
      <c r="J769" s="24"/>
      <c r="K769" s="25"/>
      <c r="L769" s="26"/>
      <c r="M769" s="9"/>
      <c r="N769" s="9"/>
      <c r="O769" s="4"/>
      <c r="P769" s="4"/>
      <c r="Q769" s="4"/>
      <c r="R769" s="4"/>
      <c r="S769" s="4"/>
      <c r="T769" s="4"/>
      <c r="AV769" s="27"/>
      <c r="AW769" s="4"/>
    </row>
    <row r="770" spans="5:49" ht="15.75" customHeight="1">
      <c r="E770" s="23"/>
      <c r="F770" s="23"/>
      <c r="I770" s="4"/>
      <c r="J770" s="24"/>
      <c r="K770" s="25"/>
      <c r="L770" s="26"/>
      <c r="M770" s="9"/>
      <c r="N770" s="9"/>
      <c r="O770" s="4"/>
      <c r="P770" s="4"/>
      <c r="Q770" s="4"/>
      <c r="R770" s="4"/>
      <c r="S770" s="4"/>
      <c r="T770" s="4"/>
      <c r="AV770" s="27"/>
      <c r="AW770" s="4"/>
    </row>
    <row r="771" spans="5:49" ht="15.75" customHeight="1">
      <c r="E771" s="23"/>
      <c r="F771" s="23"/>
      <c r="I771" s="4"/>
      <c r="J771" s="24"/>
      <c r="K771" s="25"/>
      <c r="L771" s="26"/>
      <c r="M771" s="9"/>
      <c r="N771" s="9"/>
      <c r="O771" s="4"/>
      <c r="P771" s="4"/>
      <c r="Q771" s="4"/>
      <c r="R771" s="4"/>
      <c r="S771" s="4"/>
      <c r="T771" s="4"/>
      <c r="AV771" s="27"/>
      <c r="AW771" s="4"/>
    </row>
    <row r="772" spans="5:49" ht="15.75" customHeight="1">
      <c r="E772" s="23"/>
      <c r="F772" s="23"/>
      <c r="I772" s="4"/>
      <c r="J772" s="24"/>
      <c r="K772" s="25"/>
      <c r="L772" s="26"/>
      <c r="M772" s="9"/>
      <c r="N772" s="9"/>
      <c r="O772" s="4"/>
      <c r="P772" s="4"/>
      <c r="Q772" s="4"/>
      <c r="R772" s="4"/>
      <c r="S772" s="4"/>
      <c r="T772" s="4"/>
      <c r="AV772" s="27"/>
      <c r="AW772" s="4"/>
    </row>
    <row r="773" spans="5:49" ht="15.75" customHeight="1">
      <c r="E773" s="23"/>
      <c r="F773" s="23"/>
      <c r="I773" s="4"/>
      <c r="J773" s="24"/>
      <c r="K773" s="25"/>
      <c r="L773" s="26"/>
      <c r="M773" s="9"/>
      <c r="N773" s="9"/>
      <c r="O773" s="4"/>
      <c r="P773" s="4"/>
      <c r="Q773" s="4"/>
      <c r="R773" s="4"/>
      <c r="S773" s="4"/>
      <c r="T773" s="4"/>
      <c r="AV773" s="27"/>
      <c r="AW773" s="4"/>
    </row>
    <row r="774" spans="5:49" ht="15.75" customHeight="1">
      <c r="E774" s="23"/>
      <c r="F774" s="23"/>
      <c r="I774" s="4"/>
      <c r="J774" s="24"/>
      <c r="K774" s="25"/>
      <c r="L774" s="26"/>
      <c r="M774" s="9"/>
      <c r="N774" s="9"/>
      <c r="O774" s="4"/>
      <c r="P774" s="4"/>
      <c r="Q774" s="4"/>
      <c r="R774" s="4"/>
      <c r="S774" s="4"/>
      <c r="T774" s="4"/>
      <c r="AV774" s="27"/>
      <c r="AW774" s="4"/>
    </row>
    <row r="775" spans="5:49" ht="15.75" customHeight="1">
      <c r="E775" s="23"/>
      <c r="F775" s="23"/>
      <c r="I775" s="4"/>
      <c r="J775" s="24"/>
      <c r="K775" s="25"/>
      <c r="L775" s="26"/>
      <c r="M775" s="9"/>
      <c r="N775" s="9"/>
      <c r="O775" s="4"/>
      <c r="P775" s="4"/>
      <c r="Q775" s="4"/>
      <c r="R775" s="4"/>
      <c r="S775" s="4"/>
      <c r="T775" s="4"/>
      <c r="AV775" s="27"/>
      <c r="AW775" s="4"/>
    </row>
    <row r="776" spans="5:49" ht="15.75" customHeight="1">
      <c r="E776" s="23"/>
      <c r="F776" s="23"/>
      <c r="I776" s="4"/>
      <c r="J776" s="24"/>
      <c r="K776" s="25"/>
      <c r="L776" s="26"/>
      <c r="M776" s="9"/>
      <c r="N776" s="9"/>
      <c r="O776" s="4"/>
      <c r="P776" s="4"/>
      <c r="Q776" s="4"/>
      <c r="R776" s="4"/>
      <c r="S776" s="4"/>
      <c r="T776" s="4"/>
      <c r="AV776" s="27"/>
      <c r="AW776" s="4"/>
    </row>
    <row r="777" spans="5:49" ht="15.75" customHeight="1">
      <c r="E777" s="23"/>
      <c r="F777" s="23"/>
      <c r="I777" s="4"/>
      <c r="J777" s="24"/>
      <c r="K777" s="25"/>
      <c r="L777" s="26"/>
      <c r="M777" s="9"/>
      <c r="N777" s="9"/>
      <c r="O777" s="4"/>
      <c r="P777" s="4"/>
      <c r="Q777" s="4"/>
      <c r="R777" s="4"/>
      <c r="S777" s="4"/>
      <c r="T777" s="4"/>
      <c r="AV777" s="27"/>
      <c r="AW777" s="4"/>
    </row>
    <row r="778" spans="5:49" ht="15.75" customHeight="1">
      <c r="E778" s="23"/>
      <c r="F778" s="23"/>
      <c r="I778" s="4"/>
      <c r="J778" s="24"/>
      <c r="K778" s="25"/>
      <c r="L778" s="26"/>
      <c r="M778" s="9"/>
      <c r="N778" s="9"/>
      <c r="O778" s="4"/>
      <c r="P778" s="4"/>
      <c r="Q778" s="4"/>
      <c r="R778" s="4"/>
      <c r="S778" s="4"/>
      <c r="T778" s="4"/>
      <c r="AV778" s="27"/>
      <c r="AW778" s="4"/>
    </row>
    <row r="779" spans="5:49" ht="15.75" customHeight="1">
      <c r="E779" s="23"/>
      <c r="F779" s="23"/>
      <c r="I779" s="4"/>
      <c r="J779" s="24"/>
      <c r="K779" s="25"/>
      <c r="L779" s="26"/>
      <c r="M779" s="9"/>
      <c r="N779" s="9"/>
      <c r="O779" s="4"/>
      <c r="P779" s="4"/>
      <c r="Q779" s="4"/>
      <c r="R779" s="4"/>
      <c r="S779" s="4"/>
      <c r="T779" s="4"/>
      <c r="AV779" s="27"/>
      <c r="AW779" s="4"/>
    </row>
    <row r="780" spans="5:49" ht="15.75" customHeight="1">
      <c r="E780" s="23"/>
      <c r="F780" s="23"/>
      <c r="I780" s="4"/>
      <c r="J780" s="24"/>
      <c r="K780" s="25"/>
      <c r="L780" s="26"/>
      <c r="M780" s="9"/>
      <c r="N780" s="9"/>
      <c r="O780" s="4"/>
      <c r="P780" s="4"/>
      <c r="Q780" s="4"/>
      <c r="R780" s="4"/>
      <c r="S780" s="4"/>
      <c r="T780" s="4"/>
      <c r="AV780" s="27"/>
      <c r="AW780" s="4"/>
    </row>
    <row r="781" spans="5:49" ht="15.75" customHeight="1">
      <c r="E781" s="23"/>
      <c r="F781" s="23"/>
      <c r="I781" s="4"/>
      <c r="J781" s="24"/>
      <c r="K781" s="25"/>
      <c r="L781" s="26"/>
      <c r="M781" s="9"/>
      <c r="N781" s="9"/>
      <c r="O781" s="4"/>
      <c r="P781" s="4"/>
      <c r="Q781" s="4"/>
      <c r="R781" s="4"/>
      <c r="S781" s="4"/>
      <c r="T781" s="4"/>
      <c r="AV781" s="27"/>
      <c r="AW781" s="4"/>
    </row>
    <row r="782" spans="5:49" ht="15.75" customHeight="1">
      <c r="E782" s="23"/>
      <c r="F782" s="23"/>
      <c r="I782" s="4"/>
      <c r="J782" s="24"/>
      <c r="K782" s="25"/>
      <c r="L782" s="26"/>
      <c r="M782" s="9"/>
      <c r="N782" s="9"/>
      <c r="O782" s="4"/>
      <c r="P782" s="4"/>
      <c r="Q782" s="4"/>
      <c r="R782" s="4"/>
      <c r="S782" s="4"/>
      <c r="T782" s="4"/>
      <c r="AV782" s="27"/>
      <c r="AW782" s="4"/>
    </row>
    <row r="783" spans="5:49" ht="15.75" customHeight="1">
      <c r="E783" s="23"/>
      <c r="F783" s="23"/>
      <c r="I783" s="4"/>
      <c r="J783" s="24"/>
      <c r="K783" s="25"/>
      <c r="L783" s="26"/>
      <c r="M783" s="9"/>
      <c r="N783" s="9"/>
      <c r="O783" s="4"/>
      <c r="P783" s="4"/>
      <c r="Q783" s="4"/>
      <c r="R783" s="4"/>
      <c r="S783" s="4"/>
      <c r="T783" s="4"/>
      <c r="AV783" s="27"/>
      <c r="AW783" s="4"/>
    </row>
    <row r="784" spans="5:49" ht="15.75" customHeight="1">
      <c r="E784" s="23"/>
      <c r="F784" s="23"/>
      <c r="I784" s="4"/>
      <c r="J784" s="24"/>
      <c r="K784" s="25"/>
      <c r="L784" s="26"/>
      <c r="M784" s="9"/>
      <c r="N784" s="9"/>
      <c r="O784" s="4"/>
      <c r="P784" s="4"/>
      <c r="Q784" s="4"/>
      <c r="R784" s="4"/>
      <c r="S784" s="4"/>
      <c r="T784" s="4"/>
      <c r="AV784" s="27"/>
      <c r="AW784" s="4"/>
    </row>
    <row r="785" spans="5:49" ht="15.75" customHeight="1">
      <c r="E785" s="23"/>
      <c r="F785" s="23"/>
      <c r="I785" s="4"/>
      <c r="J785" s="24"/>
      <c r="K785" s="25"/>
      <c r="L785" s="26"/>
      <c r="M785" s="9"/>
      <c r="N785" s="9"/>
      <c r="O785" s="4"/>
      <c r="P785" s="4"/>
      <c r="Q785" s="4"/>
      <c r="R785" s="4"/>
      <c r="S785" s="4"/>
      <c r="T785" s="4"/>
      <c r="AV785" s="27"/>
      <c r="AW785" s="4"/>
    </row>
    <row r="786" spans="5:49" ht="15.75" customHeight="1">
      <c r="E786" s="23"/>
      <c r="F786" s="23"/>
      <c r="I786" s="4"/>
      <c r="J786" s="24"/>
      <c r="K786" s="25"/>
      <c r="L786" s="26"/>
      <c r="M786" s="9"/>
      <c r="N786" s="9"/>
      <c r="O786" s="4"/>
      <c r="P786" s="4"/>
      <c r="Q786" s="4"/>
      <c r="R786" s="4"/>
      <c r="S786" s="4"/>
      <c r="T786" s="4"/>
      <c r="AV786" s="27"/>
      <c r="AW786" s="4"/>
    </row>
    <row r="787" spans="5:49" ht="15.75" customHeight="1">
      <c r="E787" s="23"/>
      <c r="F787" s="23"/>
      <c r="I787" s="4"/>
      <c r="J787" s="24"/>
      <c r="K787" s="25"/>
      <c r="L787" s="26"/>
      <c r="M787" s="9"/>
      <c r="N787" s="9"/>
      <c r="O787" s="4"/>
      <c r="P787" s="4"/>
      <c r="Q787" s="4"/>
      <c r="R787" s="4"/>
      <c r="S787" s="4"/>
      <c r="T787" s="4"/>
      <c r="AV787" s="27"/>
      <c r="AW787" s="4"/>
    </row>
    <row r="788" spans="5:49" ht="15.75" customHeight="1">
      <c r="E788" s="23"/>
      <c r="F788" s="23"/>
      <c r="I788" s="4"/>
      <c r="J788" s="24"/>
      <c r="K788" s="25"/>
      <c r="L788" s="26"/>
      <c r="M788" s="9"/>
      <c r="N788" s="9"/>
      <c r="O788" s="4"/>
      <c r="P788" s="4"/>
      <c r="Q788" s="4"/>
      <c r="R788" s="4"/>
      <c r="S788" s="4"/>
      <c r="T788" s="4"/>
      <c r="AV788" s="27"/>
      <c r="AW788" s="4"/>
    </row>
    <row r="789" spans="5:49" ht="15.75" customHeight="1">
      <c r="E789" s="23"/>
      <c r="F789" s="23"/>
      <c r="I789" s="4"/>
      <c r="J789" s="24"/>
      <c r="K789" s="25"/>
      <c r="L789" s="26"/>
      <c r="M789" s="9"/>
      <c r="N789" s="9"/>
      <c r="O789" s="4"/>
      <c r="P789" s="4"/>
      <c r="Q789" s="4"/>
      <c r="R789" s="4"/>
      <c r="S789" s="4"/>
      <c r="T789" s="4"/>
      <c r="AV789" s="27"/>
      <c r="AW789" s="4"/>
    </row>
    <row r="790" spans="5:49" ht="15.75" customHeight="1">
      <c r="E790" s="23"/>
      <c r="F790" s="23"/>
      <c r="I790" s="4"/>
      <c r="J790" s="24"/>
      <c r="K790" s="25"/>
      <c r="L790" s="26"/>
      <c r="M790" s="9"/>
      <c r="N790" s="9"/>
      <c r="O790" s="4"/>
      <c r="P790" s="4"/>
      <c r="Q790" s="4"/>
      <c r="R790" s="4"/>
      <c r="S790" s="4"/>
      <c r="T790" s="4"/>
      <c r="AV790" s="27"/>
      <c r="AW790" s="4"/>
    </row>
    <row r="791" spans="5:49" ht="15.75" customHeight="1">
      <c r="E791" s="23"/>
      <c r="F791" s="23"/>
      <c r="I791" s="4"/>
      <c r="J791" s="24"/>
      <c r="K791" s="25"/>
      <c r="L791" s="26"/>
      <c r="M791" s="9"/>
      <c r="N791" s="9"/>
      <c r="O791" s="4"/>
      <c r="P791" s="4"/>
      <c r="Q791" s="4"/>
      <c r="R791" s="4"/>
      <c r="S791" s="4"/>
      <c r="T791" s="4"/>
      <c r="AV791" s="27"/>
      <c r="AW791" s="4"/>
    </row>
    <row r="792" spans="5:49" ht="15.75" customHeight="1">
      <c r="E792" s="23"/>
      <c r="F792" s="23"/>
      <c r="I792" s="4"/>
      <c r="J792" s="24"/>
      <c r="K792" s="25"/>
      <c r="L792" s="26"/>
      <c r="M792" s="9"/>
      <c r="N792" s="9"/>
      <c r="O792" s="4"/>
      <c r="P792" s="4"/>
      <c r="Q792" s="4"/>
      <c r="R792" s="4"/>
      <c r="S792" s="4"/>
      <c r="T792" s="4"/>
      <c r="AV792" s="27"/>
      <c r="AW792" s="4"/>
    </row>
    <row r="793" spans="5:49" ht="15.75" customHeight="1">
      <c r="E793" s="23"/>
      <c r="F793" s="23"/>
      <c r="I793" s="4"/>
      <c r="J793" s="24"/>
      <c r="K793" s="25"/>
      <c r="L793" s="26"/>
      <c r="M793" s="9"/>
      <c r="N793" s="9"/>
      <c r="O793" s="4"/>
      <c r="P793" s="4"/>
      <c r="Q793" s="4"/>
      <c r="R793" s="4"/>
      <c r="S793" s="4"/>
      <c r="T793" s="4"/>
      <c r="AV793" s="27"/>
      <c r="AW793" s="4"/>
    </row>
    <row r="794" spans="5:49" ht="15.75" customHeight="1">
      <c r="E794" s="23"/>
      <c r="F794" s="23"/>
      <c r="I794" s="4"/>
      <c r="J794" s="24"/>
      <c r="K794" s="25"/>
      <c r="L794" s="26"/>
      <c r="M794" s="9"/>
      <c r="N794" s="9"/>
      <c r="O794" s="4"/>
      <c r="P794" s="4"/>
      <c r="Q794" s="4"/>
      <c r="R794" s="4"/>
      <c r="S794" s="4"/>
      <c r="T794" s="4"/>
      <c r="AV794" s="27"/>
      <c r="AW794" s="4"/>
    </row>
    <row r="795" spans="5:49" ht="15.75" customHeight="1">
      <c r="E795" s="23"/>
      <c r="F795" s="23"/>
      <c r="I795" s="4"/>
      <c r="J795" s="24"/>
      <c r="K795" s="25"/>
      <c r="L795" s="26"/>
      <c r="M795" s="9"/>
      <c r="N795" s="9"/>
      <c r="O795" s="4"/>
      <c r="P795" s="4"/>
      <c r="Q795" s="4"/>
      <c r="R795" s="4"/>
      <c r="S795" s="4"/>
      <c r="T795" s="4"/>
      <c r="AV795" s="27"/>
      <c r="AW795" s="4"/>
    </row>
    <row r="796" spans="5:49" ht="15.75" customHeight="1">
      <c r="E796" s="23"/>
      <c r="F796" s="23"/>
      <c r="I796" s="4"/>
      <c r="J796" s="24"/>
      <c r="K796" s="25"/>
      <c r="L796" s="26"/>
      <c r="M796" s="9"/>
      <c r="N796" s="9"/>
      <c r="O796" s="4"/>
      <c r="P796" s="4"/>
      <c r="Q796" s="4"/>
      <c r="R796" s="4"/>
      <c r="S796" s="4"/>
      <c r="T796" s="4"/>
      <c r="AV796" s="27"/>
      <c r="AW796" s="4"/>
    </row>
    <row r="797" spans="5:49" ht="15.75" customHeight="1">
      <c r="E797" s="23"/>
      <c r="F797" s="23"/>
      <c r="I797" s="4"/>
      <c r="J797" s="24"/>
      <c r="K797" s="25"/>
      <c r="L797" s="26"/>
      <c r="M797" s="9"/>
      <c r="N797" s="9"/>
      <c r="O797" s="4"/>
      <c r="P797" s="4"/>
      <c r="Q797" s="4"/>
      <c r="R797" s="4"/>
      <c r="S797" s="4"/>
      <c r="T797" s="4"/>
      <c r="AV797" s="27"/>
      <c r="AW797" s="4"/>
    </row>
    <row r="798" spans="5:49" ht="15.75" customHeight="1">
      <c r="E798" s="23"/>
      <c r="F798" s="23"/>
      <c r="I798" s="4"/>
      <c r="J798" s="24"/>
      <c r="K798" s="25"/>
      <c r="L798" s="26"/>
      <c r="M798" s="9"/>
      <c r="N798" s="9"/>
      <c r="O798" s="4"/>
      <c r="P798" s="4"/>
      <c r="Q798" s="4"/>
      <c r="R798" s="4"/>
      <c r="S798" s="4"/>
      <c r="T798" s="4"/>
      <c r="AV798" s="27"/>
      <c r="AW798" s="4"/>
    </row>
    <row r="799" spans="5:49" ht="15.75" customHeight="1">
      <c r="E799" s="23"/>
      <c r="F799" s="23"/>
      <c r="I799" s="4"/>
      <c r="J799" s="24"/>
      <c r="K799" s="25"/>
      <c r="L799" s="26"/>
      <c r="M799" s="9"/>
      <c r="N799" s="9"/>
      <c r="O799" s="4"/>
      <c r="P799" s="4"/>
      <c r="Q799" s="4"/>
      <c r="R799" s="4"/>
      <c r="S799" s="4"/>
      <c r="T799" s="4"/>
      <c r="AV799" s="27"/>
      <c r="AW799" s="4"/>
    </row>
    <row r="800" spans="5:49" ht="15.75" customHeight="1">
      <c r="E800" s="23"/>
      <c r="F800" s="23"/>
      <c r="I800" s="4"/>
      <c r="J800" s="24"/>
      <c r="K800" s="25"/>
      <c r="L800" s="26"/>
      <c r="M800" s="9"/>
      <c r="N800" s="9"/>
      <c r="O800" s="4"/>
      <c r="P800" s="4"/>
      <c r="Q800" s="4"/>
      <c r="R800" s="4"/>
      <c r="S800" s="4"/>
      <c r="T800" s="4"/>
      <c r="AV800" s="27"/>
      <c r="AW800" s="4"/>
    </row>
    <row r="801" spans="5:49" ht="15.75" customHeight="1">
      <c r="E801" s="23"/>
      <c r="F801" s="23"/>
      <c r="I801" s="4"/>
      <c r="J801" s="24"/>
      <c r="K801" s="25"/>
      <c r="L801" s="26"/>
      <c r="M801" s="9"/>
      <c r="N801" s="9"/>
      <c r="O801" s="4"/>
      <c r="P801" s="4"/>
      <c r="Q801" s="4"/>
      <c r="R801" s="4"/>
      <c r="S801" s="4"/>
      <c r="T801" s="4"/>
      <c r="AV801" s="27"/>
      <c r="AW801" s="4"/>
    </row>
    <row r="802" spans="5:49" ht="15.75" customHeight="1">
      <c r="E802" s="23"/>
      <c r="F802" s="23"/>
      <c r="I802" s="4"/>
      <c r="J802" s="24"/>
      <c r="K802" s="25"/>
      <c r="L802" s="26"/>
      <c r="M802" s="9"/>
      <c r="N802" s="9"/>
      <c r="O802" s="4"/>
      <c r="P802" s="4"/>
      <c r="Q802" s="4"/>
      <c r="R802" s="4"/>
      <c r="S802" s="4"/>
      <c r="T802" s="4"/>
      <c r="AV802" s="27"/>
      <c r="AW802" s="4"/>
    </row>
    <row r="803" spans="5:49" ht="15.75" customHeight="1">
      <c r="E803" s="23"/>
      <c r="F803" s="23"/>
      <c r="I803" s="4"/>
      <c r="J803" s="24"/>
      <c r="K803" s="25"/>
      <c r="L803" s="26"/>
      <c r="M803" s="9"/>
      <c r="N803" s="9"/>
      <c r="O803" s="4"/>
      <c r="P803" s="4"/>
      <c r="Q803" s="4"/>
      <c r="R803" s="4"/>
      <c r="S803" s="4"/>
      <c r="T803" s="4"/>
      <c r="AV803" s="27"/>
      <c r="AW803" s="4"/>
    </row>
    <row r="804" spans="5:49" ht="15.75" customHeight="1">
      <c r="E804" s="23"/>
      <c r="F804" s="23"/>
      <c r="I804" s="4"/>
      <c r="J804" s="24"/>
      <c r="K804" s="25"/>
      <c r="L804" s="26"/>
      <c r="M804" s="9"/>
      <c r="N804" s="9"/>
      <c r="O804" s="4"/>
      <c r="P804" s="4"/>
      <c r="Q804" s="4"/>
      <c r="R804" s="4"/>
      <c r="S804" s="4"/>
      <c r="T804" s="4"/>
      <c r="AV804" s="27"/>
      <c r="AW804" s="4"/>
    </row>
    <row r="805" spans="5:49" ht="15.75" customHeight="1">
      <c r="E805" s="23"/>
      <c r="F805" s="23"/>
      <c r="I805" s="4"/>
      <c r="J805" s="24"/>
      <c r="K805" s="25"/>
      <c r="L805" s="26"/>
      <c r="M805" s="9"/>
      <c r="N805" s="9"/>
      <c r="O805" s="4"/>
      <c r="P805" s="4"/>
      <c r="Q805" s="4"/>
      <c r="R805" s="4"/>
      <c r="S805" s="4"/>
      <c r="T805" s="4"/>
      <c r="AV805" s="27"/>
      <c r="AW805" s="4"/>
    </row>
    <row r="806" spans="5:49" ht="15.75" customHeight="1">
      <c r="E806" s="23"/>
      <c r="F806" s="23"/>
      <c r="I806" s="4"/>
      <c r="J806" s="24"/>
      <c r="K806" s="25"/>
      <c r="L806" s="26"/>
      <c r="M806" s="9"/>
      <c r="N806" s="9"/>
      <c r="O806" s="4"/>
      <c r="P806" s="4"/>
      <c r="Q806" s="4"/>
      <c r="R806" s="4"/>
      <c r="S806" s="4"/>
      <c r="T806" s="4"/>
      <c r="AV806" s="27"/>
      <c r="AW806" s="4"/>
    </row>
    <row r="807" spans="5:49" ht="15.75" customHeight="1">
      <c r="E807" s="23"/>
      <c r="F807" s="23"/>
      <c r="I807" s="4"/>
      <c r="J807" s="24"/>
      <c r="K807" s="25"/>
      <c r="L807" s="26"/>
      <c r="M807" s="9"/>
      <c r="N807" s="9"/>
      <c r="O807" s="4"/>
      <c r="P807" s="4"/>
      <c r="Q807" s="4"/>
      <c r="R807" s="4"/>
      <c r="S807" s="4"/>
      <c r="T807" s="4"/>
      <c r="AV807" s="27"/>
      <c r="AW807" s="4"/>
    </row>
    <row r="808" spans="5:49" ht="15.75" customHeight="1">
      <c r="E808" s="23"/>
      <c r="F808" s="23"/>
      <c r="I808" s="4"/>
      <c r="J808" s="24"/>
      <c r="K808" s="25"/>
      <c r="L808" s="26"/>
      <c r="M808" s="9"/>
      <c r="N808" s="9"/>
      <c r="O808" s="4"/>
      <c r="P808" s="4"/>
      <c r="Q808" s="4"/>
      <c r="R808" s="4"/>
      <c r="S808" s="4"/>
      <c r="T808" s="4"/>
      <c r="AV808" s="27"/>
      <c r="AW808" s="4"/>
    </row>
    <row r="809" spans="5:49" ht="15.75" customHeight="1">
      <c r="E809" s="23"/>
      <c r="F809" s="23"/>
      <c r="I809" s="4"/>
      <c r="J809" s="24"/>
      <c r="K809" s="25"/>
      <c r="L809" s="26"/>
      <c r="M809" s="9"/>
      <c r="N809" s="9"/>
      <c r="O809" s="4"/>
      <c r="P809" s="4"/>
      <c r="Q809" s="4"/>
      <c r="R809" s="4"/>
      <c r="S809" s="4"/>
      <c r="T809" s="4"/>
      <c r="AV809" s="27"/>
      <c r="AW809" s="4"/>
    </row>
    <row r="810" spans="5:49" ht="15.75" customHeight="1">
      <c r="E810" s="23"/>
      <c r="F810" s="23"/>
      <c r="I810" s="4"/>
      <c r="J810" s="24"/>
      <c r="K810" s="25"/>
      <c r="L810" s="26"/>
      <c r="M810" s="9"/>
      <c r="N810" s="9"/>
      <c r="O810" s="4"/>
      <c r="P810" s="4"/>
      <c r="Q810" s="4"/>
      <c r="R810" s="4"/>
      <c r="S810" s="4"/>
      <c r="T810" s="4"/>
      <c r="AV810" s="27"/>
      <c r="AW810" s="4"/>
    </row>
    <row r="811" spans="5:49" ht="15.75" customHeight="1">
      <c r="E811" s="23"/>
      <c r="F811" s="23"/>
      <c r="I811" s="4"/>
      <c r="J811" s="24"/>
      <c r="K811" s="25"/>
      <c r="L811" s="26"/>
      <c r="M811" s="9"/>
      <c r="N811" s="9"/>
      <c r="O811" s="4"/>
      <c r="P811" s="4"/>
      <c r="Q811" s="4"/>
      <c r="R811" s="4"/>
      <c r="S811" s="4"/>
      <c r="T811" s="4"/>
      <c r="AV811" s="27"/>
      <c r="AW811" s="4"/>
    </row>
    <row r="812" spans="5:49" ht="15.75" customHeight="1">
      <c r="E812" s="23"/>
      <c r="F812" s="23"/>
      <c r="I812" s="4"/>
      <c r="J812" s="24"/>
      <c r="K812" s="25"/>
      <c r="L812" s="26"/>
      <c r="M812" s="9"/>
      <c r="N812" s="9"/>
      <c r="O812" s="4"/>
      <c r="P812" s="4"/>
      <c r="Q812" s="4"/>
      <c r="R812" s="4"/>
      <c r="S812" s="4"/>
      <c r="T812" s="4"/>
      <c r="AV812" s="27"/>
      <c r="AW812" s="4"/>
    </row>
    <row r="813" spans="5:49" ht="15.75" customHeight="1">
      <c r="E813" s="23"/>
      <c r="F813" s="23"/>
      <c r="I813" s="4"/>
      <c r="J813" s="24"/>
      <c r="K813" s="25"/>
      <c r="L813" s="26"/>
      <c r="M813" s="9"/>
      <c r="N813" s="9"/>
      <c r="O813" s="4"/>
      <c r="P813" s="4"/>
      <c r="Q813" s="4"/>
      <c r="R813" s="4"/>
      <c r="S813" s="4"/>
      <c r="T813" s="4"/>
      <c r="AV813" s="27"/>
      <c r="AW813" s="4"/>
    </row>
    <row r="814" spans="5:49" ht="15.75" customHeight="1">
      <c r="E814" s="23"/>
      <c r="F814" s="23"/>
      <c r="I814" s="4"/>
      <c r="J814" s="24"/>
      <c r="K814" s="25"/>
      <c r="L814" s="26"/>
      <c r="M814" s="9"/>
      <c r="N814" s="9"/>
      <c r="O814" s="4"/>
      <c r="P814" s="4"/>
      <c r="Q814" s="4"/>
      <c r="R814" s="4"/>
      <c r="S814" s="4"/>
      <c r="T814" s="4"/>
      <c r="AV814" s="27"/>
      <c r="AW814" s="4"/>
    </row>
    <row r="815" spans="5:49" ht="15.75" customHeight="1">
      <c r="E815" s="23"/>
      <c r="F815" s="23"/>
      <c r="I815" s="4"/>
      <c r="J815" s="24"/>
      <c r="K815" s="25"/>
      <c r="L815" s="26"/>
      <c r="M815" s="9"/>
      <c r="N815" s="9"/>
      <c r="O815" s="4"/>
      <c r="P815" s="4"/>
      <c r="Q815" s="4"/>
      <c r="R815" s="4"/>
      <c r="S815" s="4"/>
      <c r="T815" s="4"/>
      <c r="AV815" s="27"/>
      <c r="AW815" s="4"/>
    </row>
    <row r="816" spans="5:49" ht="15.75" customHeight="1">
      <c r="E816" s="23"/>
      <c r="F816" s="23"/>
      <c r="I816" s="4"/>
      <c r="J816" s="24"/>
      <c r="K816" s="25"/>
      <c r="L816" s="26"/>
      <c r="M816" s="9"/>
      <c r="N816" s="9"/>
      <c r="O816" s="4"/>
      <c r="P816" s="4"/>
      <c r="Q816" s="4"/>
      <c r="R816" s="4"/>
      <c r="S816" s="4"/>
      <c r="T816" s="4"/>
      <c r="AV816" s="27"/>
      <c r="AW816" s="4"/>
    </row>
    <row r="817" spans="5:49" ht="15.75" customHeight="1">
      <c r="E817" s="23"/>
      <c r="F817" s="23"/>
      <c r="I817" s="4"/>
      <c r="J817" s="24"/>
      <c r="K817" s="25"/>
      <c r="L817" s="26"/>
      <c r="M817" s="9"/>
      <c r="N817" s="9"/>
      <c r="O817" s="4"/>
      <c r="P817" s="4"/>
      <c r="Q817" s="4"/>
      <c r="R817" s="4"/>
      <c r="S817" s="4"/>
      <c r="T817" s="4"/>
      <c r="AV817" s="27"/>
      <c r="AW817" s="4"/>
    </row>
    <row r="818" spans="5:49" ht="15.75" customHeight="1">
      <c r="E818" s="23"/>
      <c r="F818" s="23"/>
      <c r="I818" s="4"/>
      <c r="J818" s="24"/>
      <c r="K818" s="25"/>
      <c r="L818" s="26"/>
      <c r="M818" s="9"/>
      <c r="N818" s="9"/>
      <c r="O818" s="4"/>
      <c r="P818" s="4"/>
      <c r="Q818" s="4"/>
      <c r="R818" s="4"/>
      <c r="S818" s="4"/>
      <c r="T818" s="4"/>
      <c r="AV818" s="27"/>
      <c r="AW818" s="4"/>
    </row>
    <row r="819" spans="5:49" ht="15.75" customHeight="1">
      <c r="E819" s="23"/>
      <c r="F819" s="23"/>
      <c r="I819" s="4"/>
      <c r="J819" s="24"/>
      <c r="K819" s="25"/>
      <c r="L819" s="26"/>
      <c r="M819" s="9"/>
      <c r="N819" s="9"/>
      <c r="O819" s="4"/>
      <c r="P819" s="4"/>
      <c r="Q819" s="4"/>
      <c r="R819" s="4"/>
      <c r="S819" s="4"/>
      <c r="T819" s="4"/>
      <c r="AV819" s="27"/>
      <c r="AW819" s="4"/>
    </row>
    <row r="820" spans="5:49" ht="15.75" customHeight="1">
      <c r="E820" s="23"/>
      <c r="F820" s="23"/>
      <c r="I820" s="4"/>
      <c r="J820" s="24"/>
      <c r="K820" s="25"/>
      <c r="L820" s="26"/>
      <c r="M820" s="9"/>
      <c r="N820" s="9"/>
      <c r="O820" s="4"/>
      <c r="P820" s="4"/>
      <c r="Q820" s="4"/>
      <c r="R820" s="4"/>
      <c r="S820" s="4"/>
      <c r="T820" s="4"/>
      <c r="AV820" s="27"/>
      <c r="AW820" s="4"/>
    </row>
    <row r="821" spans="5:49" ht="15.75" customHeight="1">
      <c r="E821" s="23"/>
      <c r="F821" s="23"/>
      <c r="I821" s="4"/>
      <c r="J821" s="24"/>
      <c r="K821" s="25"/>
      <c r="L821" s="26"/>
      <c r="M821" s="9"/>
      <c r="N821" s="9"/>
      <c r="O821" s="4"/>
      <c r="P821" s="4"/>
      <c r="Q821" s="4"/>
      <c r="R821" s="4"/>
      <c r="S821" s="4"/>
      <c r="T821" s="4"/>
      <c r="AV821" s="27"/>
      <c r="AW821" s="4"/>
    </row>
    <row r="822" spans="5:49" ht="15.75" customHeight="1">
      <c r="E822" s="23"/>
      <c r="F822" s="23"/>
      <c r="I822" s="4"/>
      <c r="J822" s="24"/>
      <c r="K822" s="25"/>
      <c r="L822" s="26"/>
      <c r="M822" s="9"/>
      <c r="N822" s="9"/>
      <c r="O822" s="4"/>
      <c r="P822" s="4"/>
      <c r="Q822" s="4"/>
      <c r="R822" s="4"/>
      <c r="S822" s="4"/>
      <c r="T822" s="4"/>
      <c r="AV822" s="27"/>
      <c r="AW822" s="4"/>
    </row>
    <row r="823" spans="5:49" ht="15.75" customHeight="1">
      <c r="E823" s="23"/>
      <c r="F823" s="23"/>
      <c r="I823" s="4"/>
      <c r="J823" s="24"/>
      <c r="K823" s="25"/>
      <c r="L823" s="26"/>
      <c r="M823" s="9"/>
      <c r="N823" s="9"/>
      <c r="O823" s="4"/>
      <c r="P823" s="4"/>
      <c r="Q823" s="4"/>
      <c r="R823" s="4"/>
      <c r="S823" s="4"/>
      <c r="T823" s="4"/>
      <c r="AV823" s="27"/>
      <c r="AW823" s="4"/>
    </row>
    <row r="824" spans="5:49" ht="15.75" customHeight="1">
      <c r="E824" s="23"/>
      <c r="F824" s="23"/>
      <c r="I824" s="4"/>
      <c r="J824" s="24"/>
      <c r="K824" s="25"/>
      <c r="L824" s="26"/>
      <c r="M824" s="9"/>
      <c r="N824" s="9"/>
      <c r="O824" s="4"/>
      <c r="P824" s="4"/>
      <c r="Q824" s="4"/>
      <c r="R824" s="4"/>
      <c r="S824" s="4"/>
      <c r="T824" s="4"/>
      <c r="AV824" s="27"/>
      <c r="AW824" s="4"/>
    </row>
    <row r="825" spans="5:49" ht="15.75" customHeight="1">
      <c r="E825" s="23"/>
      <c r="F825" s="23"/>
      <c r="I825" s="4"/>
      <c r="J825" s="24"/>
      <c r="K825" s="25"/>
      <c r="L825" s="26"/>
      <c r="M825" s="9"/>
      <c r="N825" s="9"/>
      <c r="O825" s="4"/>
      <c r="P825" s="4"/>
      <c r="Q825" s="4"/>
      <c r="R825" s="4"/>
      <c r="S825" s="4"/>
      <c r="T825" s="4"/>
      <c r="AV825" s="27"/>
      <c r="AW825" s="4"/>
    </row>
    <row r="826" spans="5:49" ht="15.75" customHeight="1">
      <c r="E826" s="23"/>
      <c r="F826" s="23"/>
      <c r="I826" s="4"/>
      <c r="J826" s="24"/>
      <c r="K826" s="25"/>
      <c r="L826" s="26"/>
      <c r="M826" s="9"/>
      <c r="N826" s="9"/>
      <c r="O826" s="4"/>
      <c r="P826" s="4"/>
      <c r="Q826" s="4"/>
      <c r="R826" s="4"/>
      <c r="S826" s="4"/>
      <c r="T826" s="4"/>
      <c r="AV826" s="27"/>
      <c r="AW826" s="4"/>
    </row>
    <row r="827" spans="5:49" ht="15.75" customHeight="1">
      <c r="E827" s="23"/>
      <c r="F827" s="23"/>
      <c r="I827" s="4"/>
      <c r="J827" s="24"/>
      <c r="K827" s="25"/>
      <c r="L827" s="26"/>
      <c r="M827" s="9"/>
      <c r="N827" s="9"/>
      <c r="O827" s="4"/>
      <c r="P827" s="4"/>
      <c r="Q827" s="4"/>
      <c r="R827" s="4"/>
      <c r="S827" s="4"/>
      <c r="T827" s="4"/>
      <c r="AV827" s="27"/>
      <c r="AW827" s="4"/>
    </row>
    <row r="828" spans="5:49" ht="15.75" customHeight="1">
      <c r="E828" s="23"/>
      <c r="F828" s="23"/>
      <c r="I828" s="4"/>
      <c r="J828" s="24"/>
      <c r="K828" s="25"/>
      <c r="L828" s="26"/>
      <c r="M828" s="9"/>
      <c r="N828" s="9"/>
      <c r="O828" s="4"/>
      <c r="P828" s="4"/>
      <c r="Q828" s="4"/>
      <c r="R828" s="4"/>
      <c r="S828" s="4"/>
      <c r="T828" s="4"/>
      <c r="AV828" s="27"/>
      <c r="AW828" s="4"/>
    </row>
    <row r="829" spans="5:49" ht="15.75" customHeight="1">
      <c r="E829" s="23"/>
      <c r="F829" s="23"/>
      <c r="I829" s="4"/>
      <c r="J829" s="24"/>
      <c r="K829" s="25"/>
      <c r="L829" s="26"/>
      <c r="M829" s="9"/>
      <c r="N829" s="9"/>
      <c r="O829" s="4"/>
      <c r="P829" s="4"/>
      <c r="Q829" s="4"/>
      <c r="R829" s="4"/>
      <c r="S829" s="4"/>
      <c r="T829" s="4"/>
      <c r="AV829" s="27"/>
      <c r="AW829" s="4"/>
    </row>
    <row r="830" spans="5:49" ht="15.75" customHeight="1">
      <c r="E830" s="23"/>
      <c r="F830" s="23"/>
      <c r="I830" s="4"/>
      <c r="J830" s="24"/>
      <c r="K830" s="25"/>
      <c r="L830" s="26"/>
      <c r="M830" s="9"/>
      <c r="N830" s="9"/>
      <c r="O830" s="4"/>
      <c r="P830" s="4"/>
      <c r="Q830" s="4"/>
      <c r="R830" s="4"/>
      <c r="S830" s="4"/>
      <c r="T830" s="4"/>
      <c r="AV830" s="27"/>
      <c r="AW830" s="4"/>
    </row>
    <row r="831" spans="5:49" ht="15.75" customHeight="1">
      <c r="E831" s="23"/>
      <c r="F831" s="23"/>
      <c r="I831" s="4"/>
      <c r="J831" s="24"/>
      <c r="K831" s="25"/>
      <c r="L831" s="26"/>
      <c r="M831" s="9"/>
      <c r="N831" s="9"/>
      <c r="O831" s="4"/>
      <c r="P831" s="4"/>
      <c r="Q831" s="4"/>
      <c r="R831" s="4"/>
      <c r="S831" s="4"/>
      <c r="T831" s="4"/>
      <c r="AV831" s="27"/>
      <c r="AW831" s="4"/>
    </row>
    <row r="832" spans="5:49" ht="15.75" customHeight="1">
      <c r="E832" s="23"/>
      <c r="F832" s="23"/>
      <c r="I832" s="4"/>
      <c r="J832" s="24"/>
      <c r="K832" s="25"/>
      <c r="L832" s="26"/>
      <c r="M832" s="9"/>
      <c r="N832" s="9"/>
      <c r="O832" s="4"/>
      <c r="P832" s="4"/>
      <c r="Q832" s="4"/>
      <c r="R832" s="4"/>
      <c r="S832" s="4"/>
      <c r="T832" s="4"/>
      <c r="AV832" s="27"/>
      <c r="AW832" s="4"/>
    </row>
    <row r="833" spans="5:49" ht="15.75" customHeight="1">
      <c r="E833" s="23"/>
      <c r="F833" s="23"/>
      <c r="I833" s="4"/>
      <c r="J833" s="24"/>
      <c r="K833" s="25"/>
      <c r="L833" s="26"/>
      <c r="M833" s="9"/>
      <c r="N833" s="9"/>
      <c r="O833" s="4"/>
      <c r="P833" s="4"/>
      <c r="Q833" s="4"/>
      <c r="R833" s="4"/>
      <c r="S833" s="4"/>
      <c r="T833" s="4"/>
      <c r="AV833" s="27"/>
      <c r="AW833" s="4"/>
    </row>
    <row r="834" spans="5:49" ht="15.75" customHeight="1">
      <c r="E834" s="23"/>
      <c r="F834" s="23"/>
      <c r="I834" s="4"/>
      <c r="J834" s="24"/>
      <c r="K834" s="25"/>
      <c r="L834" s="26"/>
      <c r="M834" s="9"/>
      <c r="N834" s="9"/>
      <c r="O834" s="4"/>
      <c r="P834" s="4"/>
      <c r="Q834" s="4"/>
      <c r="R834" s="4"/>
      <c r="S834" s="4"/>
      <c r="T834" s="4"/>
      <c r="AV834" s="27"/>
      <c r="AW834" s="4"/>
    </row>
    <row r="835" spans="5:49" ht="15.75" customHeight="1">
      <c r="E835" s="23"/>
      <c r="F835" s="23"/>
      <c r="I835" s="4"/>
      <c r="J835" s="24"/>
      <c r="K835" s="25"/>
      <c r="L835" s="26"/>
      <c r="M835" s="9"/>
      <c r="N835" s="9"/>
      <c r="O835" s="4"/>
      <c r="P835" s="4"/>
      <c r="Q835" s="4"/>
      <c r="R835" s="4"/>
      <c r="S835" s="4"/>
      <c r="T835" s="4"/>
      <c r="AV835" s="27"/>
      <c r="AW835" s="4"/>
    </row>
    <row r="836" spans="5:49" ht="15.75" customHeight="1">
      <c r="E836" s="23"/>
      <c r="F836" s="23"/>
      <c r="I836" s="4"/>
      <c r="J836" s="24"/>
      <c r="K836" s="25"/>
      <c r="L836" s="26"/>
      <c r="M836" s="9"/>
      <c r="N836" s="9"/>
      <c r="O836" s="4"/>
      <c r="P836" s="4"/>
      <c r="Q836" s="4"/>
      <c r="R836" s="4"/>
      <c r="S836" s="4"/>
      <c r="T836" s="4"/>
      <c r="AV836" s="27"/>
      <c r="AW836" s="4"/>
    </row>
    <row r="837" spans="5:49" ht="15.75" customHeight="1">
      <c r="E837" s="23"/>
      <c r="F837" s="23"/>
      <c r="I837" s="4"/>
      <c r="J837" s="24"/>
      <c r="K837" s="25"/>
      <c r="L837" s="26"/>
      <c r="M837" s="9"/>
      <c r="N837" s="9"/>
      <c r="O837" s="4"/>
      <c r="P837" s="4"/>
      <c r="Q837" s="4"/>
      <c r="R837" s="4"/>
      <c r="S837" s="4"/>
      <c r="T837" s="4"/>
      <c r="AV837" s="27"/>
      <c r="AW837" s="4"/>
    </row>
    <row r="838" spans="5:49" ht="15.75" customHeight="1">
      <c r="E838" s="23"/>
      <c r="F838" s="23"/>
      <c r="I838" s="4"/>
      <c r="J838" s="24"/>
      <c r="K838" s="25"/>
      <c r="L838" s="26"/>
      <c r="M838" s="9"/>
      <c r="N838" s="9"/>
      <c r="O838" s="4"/>
      <c r="P838" s="4"/>
      <c r="Q838" s="4"/>
      <c r="R838" s="4"/>
      <c r="S838" s="4"/>
      <c r="T838" s="4"/>
      <c r="AV838" s="27"/>
      <c r="AW838" s="4"/>
    </row>
    <row r="839" spans="5:49" ht="15.75" customHeight="1">
      <c r="E839" s="23"/>
      <c r="F839" s="23"/>
      <c r="I839" s="4"/>
      <c r="J839" s="24"/>
      <c r="K839" s="25"/>
      <c r="L839" s="26"/>
      <c r="M839" s="9"/>
      <c r="N839" s="9"/>
      <c r="O839" s="4"/>
      <c r="P839" s="4"/>
      <c r="Q839" s="4"/>
      <c r="R839" s="4"/>
      <c r="S839" s="4"/>
      <c r="T839" s="4"/>
      <c r="AV839" s="27"/>
      <c r="AW839" s="4"/>
    </row>
    <row r="840" spans="5:49" ht="15.75" customHeight="1">
      <c r="E840" s="23"/>
      <c r="F840" s="23"/>
      <c r="I840" s="4"/>
      <c r="J840" s="24"/>
      <c r="K840" s="25"/>
      <c r="L840" s="26"/>
      <c r="M840" s="9"/>
      <c r="N840" s="9"/>
      <c r="O840" s="4"/>
      <c r="P840" s="4"/>
      <c r="Q840" s="4"/>
      <c r="R840" s="4"/>
      <c r="S840" s="4"/>
      <c r="T840" s="4"/>
      <c r="AV840" s="27"/>
      <c r="AW840" s="4"/>
    </row>
    <row r="841" spans="5:49" ht="15.75" customHeight="1">
      <c r="E841" s="23"/>
      <c r="F841" s="23"/>
      <c r="I841" s="4"/>
      <c r="J841" s="24"/>
      <c r="K841" s="25"/>
      <c r="L841" s="26"/>
      <c r="M841" s="9"/>
      <c r="N841" s="9"/>
      <c r="O841" s="4"/>
      <c r="P841" s="4"/>
      <c r="Q841" s="4"/>
      <c r="R841" s="4"/>
      <c r="S841" s="4"/>
      <c r="T841" s="4"/>
      <c r="AV841" s="27"/>
      <c r="AW841" s="4"/>
    </row>
    <row r="842" spans="5:49" ht="15.75" customHeight="1">
      <c r="E842" s="23"/>
      <c r="F842" s="23"/>
      <c r="I842" s="4"/>
      <c r="J842" s="24"/>
      <c r="K842" s="25"/>
      <c r="L842" s="26"/>
      <c r="M842" s="9"/>
      <c r="N842" s="9"/>
      <c r="O842" s="4"/>
      <c r="P842" s="4"/>
      <c r="Q842" s="4"/>
      <c r="R842" s="4"/>
      <c r="S842" s="4"/>
      <c r="T842" s="4"/>
      <c r="AV842" s="27"/>
      <c r="AW842" s="4"/>
    </row>
    <row r="843" spans="5:49" ht="15.75" customHeight="1">
      <c r="E843" s="23"/>
      <c r="F843" s="23"/>
      <c r="I843" s="4"/>
      <c r="J843" s="24"/>
      <c r="K843" s="25"/>
      <c r="L843" s="26"/>
      <c r="M843" s="9"/>
      <c r="N843" s="9"/>
      <c r="O843" s="4"/>
      <c r="P843" s="4"/>
      <c r="Q843" s="4"/>
      <c r="R843" s="4"/>
      <c r="S843" s="4"/>
      <c r="T843" s="4"/>
      <c r="AV843" s="27"/>
      <c r="AW843" s="4"/>
    </row>
    <row r="844" spans="5:49" ht="15.75" customHeight="1">
      <c r="E844" s="23"/>
      <c r="F844" s="23"/>
      <c r="I844" s="4"/>
      <c r="J844" s="24"/>
      <c r="K844" s="25"/>
      <c r="L844" s="26"/>
      <c r="M844" s="9"/>
      <c r="N844" s="9"/>
      <c r="O844" s="4"/>
      <c r="P844" s="4"/>
      <c r="Q844" s="4"/>
      <c r="R844" s="4"/>
      <c r="S844" s="4"/>
      <c r="T844" s="4"/>
      <c r="AV844" s="27"/>
      <c r="AW844" s="4"/>
    </row>
    <row r="845" spans="5:49" ht="15.75" customHeight="1">
      <c r="E845" s="23"/>
      <c r="F845" s="23"/>
      <c r="I845" s="4"/>
      <c r="J845" s="24"/>
      <c r="K845" s="25"/>
      <c r="L845" s="26"/>
      <c r="M845" s="9"/>
      <c r="N845" s="9"/>
      <c r="O845" s="4"/>
      <c r="P845" s="4"/>
      <c r="Q845" s="4"/>
      <c r="R845" s="4"/>
      <c r="S845" s="4"/>
      <c r="T845" s="4"/>
      <c r="AV845" s="27"/>
      <c r="AW845" s="4"/>
    </row>
    <row r="846" spans="5:49" ht="15.75" customHeight="1">
      <c r="E846" s="23"/>
      <c r="F846" s="23"/>
      <c r="I846" s="4"/>
      <c r="J846" s="24"/>
      <c r="K846" s="25"/>
      <c r="L846" s="26"/>
      <c r="M846" s="9"/>
      <c r="N846" s="9"/>
      <c r="O846" s="4"/>
      <c r="P846" s="4"/>
      <c r="Q846" s="4"/>
      <c r="R846" s="4"/>
      <c r="S846" s="4"/>
      <c r="T846" s="4"/>
      <c r="AV846" s="27"/>
      <c r="AW846" s="4"/>
    </row>
    <row r="847" spans="5:49" ht="15.75" customHeight="1">
      <c r="E847" s="23"/>
      <c r="F847" s="23"/>
      <c r="I847" s="4"/>
      <c r="J847" s="24"/>
      <c r="K847" s="25"/>
      <c r="L847" s="26"/>
      <c r="M847" s="9"/>
      <c r="N847" s="9"/>
      <c r="O847" s="4"/>
      <c r="P847" s="4"/>
      <c r="Q847" s="4"/>
      <c r="R847" s="4"/>
      <c r="S847" s="4"/>
      <c r="T847" s="4"/>
      <c r="AV847" s="27"/>
      <c r="AW847" s="4"/>
    </row>
    <row r="848" spans="5:49" ht="15.75" customHeight="1">
      <c r="E848" s="23"/>
      <c r="F848" s="23"/>
      <c r="I848" s="4"/>
      <c r="J848" s="24"/>
      <c r="K848" s="25"/>
      <c r="L848" s="26"/>
      <c r="M848" s="9"/>
      <c r="N848" s="9"/>
      <c r="O848" s="4"/>
      <c r="P848" s="4"/>
      <c r="Q848" s="4"/>
      <c r="R848" s="4"/>
      <c r="S848" s="4"/>
      <c r="T848" s="4"/>
      <c r="AV848" s="27"/>
      <c r="AW848" s="4"/>
    </row>
    <row r="849" spans="5:49" ht="15.75" customHeight="1">
      <c r="E849" s="23"/>
      <c r="F849" s="23"/>
      <c r="I849" s="4"/>
      <c r="J849" s="24"/>
      <c r="K849" s="25"/>
      <c r="L849" s="26"/>
      <c r="M849" s="9"/>
      <c r="N849" s="9"/>
      <c r="O849" s="4"/>
      <c r="P849" s="4"/>
      <c r="Q849" s="4"/>
      <c r="R849" s="4"/>
      <c r="S849" s="4"/>
      <c r="T849" s="4"/>
      <c r="AV849" s="27"/>
      <c r="AW849" s="4"/>
    </row>
    <row r="850" spans="5:49" ht="15.75" customHeight="1">
      <c r="E850" s="23"/>
      <c r="F850" s="23"/>
      <c r="I850" s="4"/>
      <c r="J850" s="24"/>
      <c r="K850" s="25"/>
      <c r="L850" s="26"/>
      <c r="M850" s="9"/>
      <c r="N850" s="9"/>
      <c r="O850" s="4"/>
      <c r="P850" s="4"/>
      <c r="Q850" s="4"/>
      <c r="R850" s="4"/>
      <c r="S850" s="4"/>
      <c r="T850" s="4"/>
      <c r="AV850" s="27"/>
      <c r="AW850" s="4"/>
    </row>
    <row r="851" spans="5:49" ht="15.75" customHeight="1">
      <c r="E851" s="23"/>
      <c r="F851" s="23"/>
      <c r="I851" s="4"/>
      <c r="J851" s="24"/>
      <c r="K851" s="25"/>
      <c r="L851" s="26"/>
      <c r="M851" s="9"/>
      <c r="N851" s="9"/>
      <c r="O851" s="4"/>
      <c r="P851" s="4"/>
      <c r="Q851" s="4"/>
      <c r="R851" s="4"/>
      <c r="S851" s="4"/>
      <c r="T851" s="4"/>
      <c r="AV851" s="27"/>
      <c r="AW851" s="4"/>
    </row>
    <row r="852" spans="5:49" ht="15.75" customHeight="1">
      <c r="E852" s="23"/>
      <c r="F852" s="23"/>
      <c r="I852" s="4"/>
      <c r="J852" s="24"/>
      <c r="K852" s="25"/>
      <c r="L852" s="26"/>
      <c r="M852" s="9"/>
      <c r="N852" s="9"/>
      <c r="O852" s="4"/>
      <c r="P852" s="4"/>
      <c r="Q852" s="4"/>
      <c r="R852" s="4"/>
      <c r="S852" s="4"/>
      <c r="T852" s="4"/>
      <c r="AV852" s="27"/>
      <c r="AW852" s="4"/>
    </row>
    <row r="853" spans="5:49" ht="15.75" customHeight="1">
      <c r="E853" s="23"/>
      <c r="F853" s="23"/>
      <c r="I853" s="4"/>
      <c r="J853" s="24"/>
      <c r="K853" s="25"/>
      <c r="L853" s="26"/>
      <c r="M853" s="9"/>
      <c r="N853" s="9"/>
      <c r="O853" s="4"/>
      <c r="P853" s="4"/>
      <c r="Q853" s="4"/>
      <c r="R853" s="4"/>
      <c r="S853" s="4"/>
      <c r="T853" s="4"/>
      <c r="AV853" s="27"/>
      <c r="AW853" s="4"/>
    </row>
    <row r="854" spans="5:49" ht="15.75" customHeight="1">
      <c r="E854" s="23"/>
      <c r="F854" s="23"/>
      <c r="I854" s="4"/>
      <c r="J854" s="24"/>
      <c r="K854" s="25"/>
      <c r="L854" s="26"/>
      <c r="M854" s="9"/>
      <c r="N854" s="9"/>
      <c r="O854" s="4"/>
      <c r="P854" s="4"/>
      <c r="Q854" s="4"/>
      <c r="R854" s="4"/>
      <c r="S854" s="4"/>
      <c r="T854" s="4"/>
      <c r="AV854" s="27"/>
      <c r="AW854" s="4"/>
    </row>
    <row r="855" spans="5:49" ht="15.75" customHeight="1">
      <c r="E855" s="23"/>
      <c r="F855" s="23"/>
      <c r="I855" s="4"/>
      <c r="J855" s="24"/>
      <c r="K855" s="25"/>
      <c r="L855" s="26"/>
      <c r="M855" s="9"/>
      <c r="N855" s="9"/>
      <c r="O855" s="4"/>
      <c r="P855" s="4"/>
      <c r="Q855" s="4"/>
      <c r="R855" s="4"/>
      <c r="S855" s="4"/>
      <c r="T855" s="4"/>
      <c r="AV855" s="27"/>
      <c r="AW855" s="4"/>
    </row>
    <row r="856" spans="5:49" ht="15.75" customHeight="1">
      <c r="E856" s="23"/>
      <c r="F856" s="23"/>
      <c r="I856" s="4"/>
      <c r="J856" s="24"/>
      <c r="K856" s="25"/>
      <c r="L856" s="26"/>
      <c r="M856" s="9"/>
      <c r="N856" s="9"/>
      <c r="O856" s="4"/>
      <c r="P856" s="4"/>
      <c r="Q856" s="4"/>
      <c r="R856" s="4"/>
      <c r="S856" s="4"/>
      <c r="T856" s="4"/>
      <c r="AV856" s="27"/>
      <c r="AW856" s="4"/>
    </row>
    <row r="857" spans="5:49" ht="15.75" customHeight="1">
      <c r="E857" s="23"/>
      <c r="F857" s="23"/>
      <c r="I857" s="4"/>
      <c r="J857" s="24"/>
      <c r="K857" s="25"/>
      <c r="L857" s="26"/>
      <c r="M857" s="9"/>
      <c r="N857" s="9"/>
      <c r="O857" s="4"/>
      <c r="P857" s="4"/>
      <c r="Q857" s="4"/>
      <c r="R857" s="4"/>
      <c r="S857" s="4"/>
      <c r="T857" s="4"/>
      <c r="AV857" s="27"/>
      <c r="AW857" s="4"/>
    </row>
    <row r="858" spans="5:49" ht="15.75" customHeight="1">
      <c r="E858" s="23"/>
      <c r="F858" s="23"/>
      <c r="I858" s="4"/>
      <c r="J858" s="24"/>
      <c r="K858" s="25"/>
      <c r="L858" s="26"/>
      <c r="M858" s="9"/>
      <c r="N858" s="9"/>
      <c r="O858" s="4"/>
      <c r="P858" s="4"/>
      <c r="Q858" s="4"/>
      <c r="R858" s="4"/>
      <c r="S858" s="4"/>
      <c r="T858" s="4"/>
      <c r="AV858" s="27"/>
      <c r="AW858" s="4"/>
    </row>
    <row r="859" spans="5:49" ht="15.75" customHeight="1">
      <c r="E859" s="23"/>
      <c r="F859" s="23"/>
      <c r="I859" s="4"/>
      <c r="J859" s="24"/>
      <c r="K859" s="25"/>
      <c r="L859" s="26"/>
      <c r="M859" s="9"/>
      <c r="N859" s="9"/>
      <c r="O859" s="4"/>
      <c r="P859" s="4"/>
      <c r="Q859" s="4"/>
      <c r="R859" s="4"/>
      <c r="S859" s="4"/>
      <c r="T859" s="4"/>
      <c r="AV859" s="27"/>
      <c r="AW859" s="4"/>
    </row>
    <row r="860" spans="5:49" ht="15.75" customHeight="1">
      <c r="E860" s="23"/>
      <c r="F860" s="23"/>
      <c r="I860" s="4"/>
      <c r="J860" s="24"/>
      <c r="K860" s="25"/>
      <c r="L860" s="26"/>
      <c r="M860" s="9"/>
      <c r="N860" s="9"/>
      <c r="O860" s="4"/>
      <c r="P860" s="4"/>
      <c r="Q860" s="4"/>
      <c r="R860" s="4"/>
      <c r="S860" s="4"/>
      <c r="T860" s="4"/>
      <c r="AV860" s="27"/>
      <c r="AW860" s="4"/>
    </row>
    <row r="861" spans="5:49" ht="15.75" customHeight="1">
      <c r="E861" s="23"/>
      <c r="F861" s="23"/>
      <c r="I861" s="4"/>
      <c r="J861" s="24"/>
      <c r="K861" s="25"/>
      <c r="L861" s="26"/>
      <c r="M861" s="9"/>
      <c r="N861" s="9"/>
      <c r="O861" s="4"/>
      <c r="P861" s="4"/>
      <c r="Q861" s="4"/>
      <c r="R861" s="4"/>
      <c r="S861" s="4"/>
      <c r="T861" s="4"/>
      <c r="AV861" s="27"/>
      <c r="AW861" s="4"/>
    </row>
    <row r="862" spans="5:49" ht="15.75" customHeight="1">
      <c r="E862" s="23"/>
      <c r="F862" s="23"/>
      <c r="I862" s="4"/>
      <c r="J862" s="24"/>
      <c r="K862" s="25"/>
      <c r="L862" s="26"/>
      <c r="M862" s="9"/>
      <c r="N862" s="9"/>
      <c r="O862" s="4"/>
      <c r="P862" s="4"/>
      <c r="Q862" s="4"/>
      <c r="R862" s="4"/>
      <c r="S862" s="4"/>
      <c r="T862" s="4"/>
      <c r="AV862" s="27"/>
      <c r="AW862" s="4"/>
    </row>
    <row r="863" spans="5:49" ht="15.75" customHeight="1">
      <c r="E863" s="23"/>
      <c r="F863" s="23"/>
      <c r="I863" s="4"/>
      <c r="J863" s="24"/>
      <c r="K863" s="25"/>
      <c r="L863" s="26"/>
      <c r="M863" s="9"/>
      <c r="N863" s="9"/>
      <c r="O863" s="4"/>
      <c r="P863" s="4"/>
      <c r="Q863" s="4"/>
      <c r="R863" s="4"/>
      <c r="S863" s="4"/>
      <c r="T863" s="4"/>
      <c r="AV863" s="27"/>
      <c r="AW863" s="4"/>
    </row>
    <row r="864" spans="5:49" ht="15.75" customHeight="1">
      <c r="E864" s="23"/>
      <c r="F864" s="23"/>
      <c r="I864" s="4"/>
      <c r="J864" s="24"/>
      <c r="K864" s="25"/>
      <c r="L864" s="26"/>
      <c r="M864" s="9"/>
      <c r="N864" s="9"/>
      <c r="O864" s="4"/>
      <c r="P864" s="4"/>
      <c r="Q864" s="4"/>
      <c r="R864" s="4"/>
      <c r="S864" s="4"/>
      <c r="T864" s="4"/>
      <c r="AV864" s="27"/>
      <c r="AW864" s="4"/>
    </row>
    <row r="865" spans="5:49" ht="15.75" customHeight="1">
      <c r="E865" s="23"/>
      <c r="F865" s="23"/>
      <c r="I865" s="4"/>
      <c r="J865" s="24"/>
      <c r="K865" s="25"/>
      <c r="L865" s="26"/>
      <c r="M865" s="9"/>
      <c r="N865" s="9"/>
      <c r="O865" s="4"/>
      <c r="P865" s="4"/>
      <c r="Q865" s="4"/>
      <c r="R865" s="4"/>
      <c r="S865" s="4"/>
      <c r="T865" s="4"/>
      <c r="AV865" s="27"/>
      <c r="AW865" s="4"/>
    </row>
    <row r="866" spans="5:49" ht="15.75" customHeight="1">
      <c r="E866" s="23"/>
      <c r="F866" s="23"/>
      <c r="I866" s="4"/>
      <c r="J866" s="24"/>
      <c r="K866" s="25"/>
      <c r="L866" s="26"/>
      <c r="M866" s="9"/>
      <c r="N866" s="9"/>
      <c r="O866" s="4"/>
      <c r="P866" s="4"/>
      <c r="Q866" s="4"/>
      <c r="R866" s="4"/>
      <c r="S866" s="4"/>
      <c r="T866" s="4"/>
      <c r="AV866" s="27"/>
      <c r="AW866" s="4"/>
    </row>
    <row r="867" spans="5:49" ht="15.75" customHeight="1">
      <c r="E867" s="23"/>
      <c r="F867" s="23"/>
      <c r="I867" s="4"/>
      <c r="J867" s="24"/>
      <c r="K867" s="25"/>
      <c r="L867" s="26"/>
      <c r="M867" s="9"/>
      <c r="N867" s="9"/>
      <c r="O867" s="4"/>
      <c r="P867" s="4"/>
      <c r="Q867" s="4"/>
      <c r="R867" s="4"/>
      <c r="S867" s="4"/>
      <c r="T867" s="4"/>
      <c r="AV867" s="27"/>
      <c r="AW867" s="4"/>
    </row>
    <row r="868" spans="5:49" ht="15.75" customHeight="1">
      <c r="E868" s="23"/>
      <c r="F868" s="23"/>
      <c r="I868" s="4"/>
      <c r="J868" s="24"/>
      <c r="K868" s="25"/>
      <c r="L868" s="26"/>
      <c r="M868" s="9"/>
      <c r="N868" s="9"/>
      <c r="O868" s="4"/>
      <c r="P868" s="4"/>
      <c r="Q868" s="4"/>
      <c r="R868" s="4"/>
      <c r="S868" s="4"/>
      <c r="T868" s="4"/>
      <c r="AV868" s="27"/>
      <c r="AW868" s="4"/>
    </row>
    <row r="869" spans="5:49" ht="15.75" customHeight="1">
      <c r="E869" s="23"/>
      <c r="F869" s="23"/>
      <c r="I869" s="4"/>
      <c r="J869" s="24"/>
      <c r="K869" s="25"/>
      <c r="L869" s="26"/>
      <c r="M869" s="9"/>
      <c r="N869" s="9"/>
      <c r="O869" s="4"/>
      <c r="P869" s="4"/>
      <c r="Q869" s="4"/>
      <c r="R869" s="4"/>
      <c r="S869" s="4"/>
      <c r="T869" s="4"/>
      <c r="AV869" s="27"/>
      <c r="AW869" s="4"/>
    </row>
    <row r="870" spans="5:49" ht="15.75" customHeight="1">
      <c r="E870" s="23"/>
      <c r="F870" s="23"/>
      <c r="I870" s="4"/>
      <c r="J870" s="24"/>
      <c r="K870" s="25"/>
      <c r="L870" s="26"/>
      <c r="M870" s="9"/>
      <c r="N870" s="9"/>
      <c r="O870" s="4"/>
      <c r="P870" s="4"/>
      <c r="Q870" s="4"/>
      <c r="R870" s="4"/>
      <c r="S870" s="4"/>
      <c r="T870" s="4"/>
      <c r="AV870" s="27"/>
      <c r="AW870" s="4"/>
    </row>
    <row r="871" spans="5:49" ht="15.75" customHeight="1">
      <c r="E871" s="23"/>
      <c r="F871" s="23"/>
      <c r="I871" s="4"/>
      <c r="J871" s="24"/>
      <c r="K871" s="25"/>
      <c r="L871" s="26"/>
      <c r="M871" s="9"/>
      <c r="N871" s="9"/>
      <c r="O871" s="4"/>
      <c r="P871" s="4"/>
      <c r="Q871" s="4"/>
      <c r="R871" s="4"/>
      <c r="S871" s="4"/>
      <c r="T871" s="4"/>
      <c r="AV871" s="27"/>
      <c r="AW871" s="4"/>
    </row>
    <row r="872" spans="5:49" ht="15.75" customHeight="1">
      <c r="E872" s="23"/>
      <c r="F872" s="23"/>
      <c r="I872" s="4"/>
      <c r="J872" s="24"/>
      <c r="K872" s="25"/>
      <c r="L872" s="26"/>
      <c r="M872" s="9"/>
      <c r="N872" s="9"/>
      <c r="O872" s="4"/>
      <c r="P872" s="4"/>
      <c r="Q872" s="4"/>
      <c r="R872" s="4"/>
      <c r="S872" s="4"/>
      <c r="T872" s="4"/>
      <c r="AV872" s="27"/>
      <c r="AW872" s="4"/>
    </row>
    <row r="873" spans="5:49" ht="15.75" customHeight="1">
      <c r="E873" s="23"/>
      <c r="F873" s="23"/>
      <c r="I873" s="4"/>
      <c r="J873" s="24"/>
      <c r="K873" s="25"/>
      <c r="L873" s="26"/>
      <c r="M873" s="9"/>
      <c r="N873" s="9"/>
      <c r="O873" s="4"/>
      <c r="P873" s="4"/>
      <c r="Q873" s="4"/>
      <c r="R873" s="4"/>
      <c r="S873" s="4"/>
      <c r="T873" s="4"/>
      <c r="AV873" s="27"/>
      <c r="AW873" s="4"/>
    </row>
    <row r="874" spans="5:49" ht="15.75" customHeight="1">
      <c r="E874" s="23"/>
      <c r="F874" s="23"/>
      <c r="I874" s="4"/>
      <c r="J874" s="24"/>
      <c r="K874" s="25"/>
      <c r="L874" s="26"/>
      <c r="M874" s="9"/>
      <c r="N874" s="9"/>
      <c r="O874" s="4"/>
      <c r="P874" s="4"/>
      <c r="Q874" s="4"/>
      <c r="R874" s="4"/>
      <c r="S874" s="4"/>
      <c r="T874" s="4"/>
      <c r="AV874" s="27"/>
      <c r="AW874" s="4"/>
    </row>
    <row r="875" spans="5:49" ht="15.75" customHeight="1">
      <c r="E875" s="23"/>
      <c r="F875" s="23"/>
      <c r="I875" s="4"/>
      <c r="J875" s="24"/>
      <c r="K875" s="25"/>
      <c r="L875" s="26"/>
      <c r="M875" s="9"/>
      <c r="N875" s="9"/>
      <c r="O875" s="4"/>
      <c r="P875" s="4"/>
      <c r="Q875" s="4"/>
      <c r="R875" s="4"/>
      <c r="S875" s="4"/>
      <c r="T875" s="4"/>
      <c r="AV875" s="27"/>
      <c r="AW875" s="4"/>
    </row>
    <row r="876" spans="5:49" ht="15.75" customHeight="1">
      <c r="E876" s="23"/>
      <c r="F876" s="23"/>
      <c r="I876" s="4"/>
      <c r="J876" s="24"/>
      <c r="K876" s="25"/>
      <c r="L876" s="26"/>
      <c r="M876" s="9"/>
      <c r="N876" s="9"/>
      <c r="O876" s="4"/>
      <c r="P876" s="4"/>
      <c r="Q876" s="4"/>
      <c r="R876" s="4"/>
      <c r="S876" s="4"/>
      <c r="T876" s="4"/>
      <c r="AV876" s="27"/>
      <c r="AW876" s="4"/>
    </row>
    <row r="877" spans="5:49" ht="15.75" customHeight="1">
      <c r="E877" s="23"/>
      <c r="F877" s="23"/>
      <c r="I877" s="4"/>
      <c r="J877" s="24"/>
      <c r="K877" s="25"/>
      <c r="L877" s="26"/>
      <c r="M877" s="9"/>
      <c r="N877" s="9"/>
      <c r="O877" s="4"/>
      <c r="P877" s="4"/>
      <c r="Q877" s="4"/>
      <c r="R877" s="4"/>
      <c r="S877" s="4"/>
      <c r="T877" s="4"/>
      <c r="AV877" s="27"/>
      <c r="AW877" s="4"/>
    </row>
    <row r="878" spans="5:49" ht="15.75" customHeight="1">
      <c r="E878" s="23"/>
      <c r="F878" s="23"/>
      <c r="I878" s="4"/>
      <c r="J878" s="24"/>
      <c r="K878" s="25"/>
      <c r="L878" s="26"/>
      <c r="M878" s="9"/>
      <c r="N878" s="9"/>
      <c r="O878" s="4"/>
      <c r="P878" s="4"/>
      <c r="Q878" s="4"/>
      <c r="R878" s="4"/>
      <c r="S878" s="4"/>
      <c r="T878" s="4"/>
      <c r="AV878" s="27"/>
      <c r="AW878" s="4"/>
    </row>
    <row r="879" spans="5:49" ht="15.75" customHeight="1">
      <c r="E879" s="23"/>
      <c r="F879" s="23"/>
      <c r="I879" s="4"/>
      <c r="J879" s="24"/>
      <c r="K879" s="25"/>
      <c r="L879" s="26"/>
      <c r="M879" s="9"/>
      <c r="N879" s="9"/>
      <c r="O879" s="4"/>
      <c r="P879" s="4"/>
      <c r="Q879" s="4"/>
      <c r="R879" s="4"/>
      <c r="S879" s="4"/>
      <c r="T879" s="4"/>
      <c r="AV879" s="27"/>
      <c r="AW879" s="4"/>
    </row>
    <row r="880" spans="5:49" ht="15.75" customHeight="1">
      <c r="E880" s="23"/>
      <c r="F880" s="23"/>
      <c r="I880" s="4"/>
      <c r="J880" s="24"/>
      <c r="K880" s="25"/>
      <c r="L880" s="26"/>
      <c r="M880" s="9"/>
      <c r="N880" s="9"/>
      <c r="O880" s="4"/>
      <c r="P880" s="4"/>
      <c r="Q880" s="4"/>
      <c r="R880" s="4"/>
      <c r="S880" s="4"/>
      <c r="T880" s="4"/>
      <c r="AV880" s="27"/>
      <c r="AW880" s="4"/>
    </row>
    <row r="881" spans="5:49" ht="15.75" customHeight="1">
      <c r="E881" s="23"/>
      <c r="F881" s="23"/>
      <c r="I881" s="4"/>
      <c r="J881" s="24"/>
      <c r="K881" s="25"/>
      <c r="L881" s="26"/>
      <c r="M881" s="9"/>
      <c r="N881" s="9"/>
      <c r="O881" s="4"/>
      <c r="P881" s="4"/>
      <c r="Q881" s="4"/>
      <c r="R881" s="4"/>
      <c r="S881" s="4"/>
      <c r="T881" s="4"/>
      <c r="AV881" s="27"/>
      <c r="AW881" s="4"/>
    </row>
    <row r="882" spans="5:49" ht="15.75" customHeight="1">
      <c r="E882" s="23"/>
      <c r="F882" s="23"/>
      <c r="I882" s="4"/>
      <c r="J882" s="24"/>
      <c r="K882" s="25"/>
      <c r="L882" s="26"/>
      <c r="M882" s="9"/>
      <c r="N882" s="9"/>
      <c r="O882" s="4"/>
      <c r="P882" s="4"/>
      <c r="Q882" s="4"/>
      <c r="R882" s="4"/>
      <c r="S882" s="4"/>
      <c r="T882" s="4"/>
      <c r="AV882" s="27"/>
      <c r="AW882" s="4"/>
    </row>
    <row r="883" spans="5:49" ht="15.75" customHeight="1">
      <c r="E883" s="23"/>
      <c r="F883" s="23"/>
      <c r="I883" s="4"/>
      <c r="J883" s="24"/>
      <c r="K883" s="25"/>
      <c r="L883" s="26"/>
      <c r="M883" s="9"/>
      <c r="N883" s="9"/>
      <c r="O883" s="4"/>
      <c r="P883" s="4"/>
      <c r="Q883" s="4"/>
      <c r="R883" s="4"/>
      <c r="S883" s="4"/>
      <c r="T883" s="4"/>
      <c r="AV883" s="27"/>
      <c r="AW883" s="4"/>
    </row>
    <row r="884" spans="5:49" ht="15.75" customHeight="1">
      <c r="E884" s="23"/>
      <c r="F884" s="23"/>
      <c r="I884" s="4"/>
      <c r="J884" s="24"/>
      <c r="K884" s="25"/>
      <c r="L884" s="26"/>
      <c r="M884" s="9"/>
      <c r="N884" s="9"/>
      <c r="O884" s="4"/>
      <c r="P884" s="4"/>
      <c r="Q884" s="4"/>
      <c r="R884" s="4"/>
      <c r="S884" s="4"/>
      <c r="T884" s="4"/>
      <c r="AV884" s="27"/>
      <c r="AW884" s="4"/>
    </row>
    <row r="885" spans="5:49" ht="15.75" customHeight="1">
      <c r="E885" s="23"/>
      <c r="F885" s="23"/>
      <c r="I885" s="4"/>
      <c r="J885" s="24"/>
      <c r="K885" s="25"/>
      <c r="L885" s="26"/>
      <c r="M885" s="9"/>
      <c r="N885" s="9"/>
      <c r="O885" s="4"/>
      <c r="P885" s="4"/>
      <c r="Q885" s="4"/>
      <c r="R885" s="4"/>
      <c r="S885" s="4"/>
      <c r="T885" s="4"/>
      <c r="AV885" s="27"/>
      <c r="AW885" s="4"/>
    </row>
    <row r="886" spans="5:49" ht="15.75" customHeight="1">
      <c r="E886" s="23"/>
      <c r="F886" s="23"/>
      <c r="I886" s="4"/>
      <c r="J886" s="24"/>
      <c r="K886" s="25"/>
      <c r="L886" s="26"/>
      <c r="M886" s="9"/>
      <c r="N886" s="9"/>
      <c r="O886" s="4"/>
      <c r="P886" s="4"/>
      <c r="Q886" s="4"/>
      <c r="R886" s="4"/>
      <c r="S886" s="4"/>
      <c r="T886" s="4"/>
      <c r="AV886" s="27"/>
      <c r="AW886" s="4"/>
    </row>
    <row r="887" spans="5:49" ht="15.75" customHeight="1">
      <c r="E887" s="23"/>
      <c r="F887" s="23"/>
      <c r="I887" s="4"/>
      <c r="J887" s="24"/>
      <c r="K887" s="25"/>
      <c r="L887" s="26"/>
      <c r="M887" s="9"/>
      <c r="N887" s="9"/>
      <c r="O887" s="4"/>
      <c r="P887" s="4"/>
      <c r="Q887" s="4"/>
      <c r="R887" s="4"/>
      <c r="S887" s="4"/>
      <c r="T887" s="4"/>
      <c r="AV887" s="27"/>
      <c r="AW887" s="4"/>
    </row>
    <row r="888" spans="5:49" ht="15.75" customHeight="1">
      <c r="E888" s="23"/>
      <c r="F888" s="23"/>
      <c r="I888" s="4"/>
      <c r="J888" s="24"/>
      <c r="K888" s="25"/>
      <c r="L888" s="26"/>
      <c r="M888" s="9"/>
      <c r="N888" s="9"/>
      <c r="O888" s="4"/>
      <c r="P888" s="4"/>
      <c r="Q888" s="4"/>
      <c r="R888" s="4"/>
      <c r="S888" s="4"/>
      <c r="T888" s="4"/>
      <c r="AV888" s="27"/>
      <c r="AW888" s="4"/>
    </row>
    <row r="889" spans="5:49" ht="15.75" customHeight="1">
      <c r="E889" s="23"/>
      <c r="F889" s="23"/>
      <c r="I889" s="4"/>
      <c r="J889" s="24"/>
      <c r="K889" s="25"/>
      <c r="L889" s="26"/>
      <c r="M889" s="9"/>
      <c r="N889" s="9"/>
      <c r="O889" s="4"/>
      <c r="P889" s="4"/>
      <c r="Q889" s="4"/>
      <c r="R889" s="4"/>
      <c r="S889" s="4"/>
      <c r="T889" s="4"/>
      <c r="AV889" s="27"/>
      <c r="AW889" s="4"/>
    </row>
    <row r="890" spans="5:49" ht="15.75" customHeight="1">
      <c r="E890" s="23"/>
      <c r="F890" s="23"/>
      <c r="I890" s="4"/>
      <c r="J890" s="24"/>
      <c r="K890" s="25"/>
      <c r="L890" s="26"/>
      <c r="M890" s="9"/>
      <c r="N890" s="9"/>
      <c r="O890" s="4"/>
      <c r="P890" s="4"/>
      <c r="Q890" s="4"/>
      <c r="R890" s="4"/>
      <c r="S890" s="4"/>
      <c r="T890" s="4"/>
      <c r="AV890" s="27"/>
      <c r="AW890" s="4"/>
    </row>
    <row r="891" spans="5:49" ht="15.75" customHeight="1">
      <c r="E891" s="23"/>
      <c r="F891" s="23"/>
      <c r="I891" s="4"/>
      <c r="J891" s="24"/>
      <c r="K891" s="25"/>
      <c r="L891" s="26"/>
      <c r="M891" s="9"/>
      <c r="N891" s="9"/>
      <c r="O891" s="4"/>
      <c r="P891" s="4"/>
      <c r="Q891" s="4"/>
      <c r="R891" s="4"/>
      <c r="S891" s="4"/>
      <c r="T891" s="4"/>
      <c r="AV891" s="27"/>
      <c r="AW891" s="4"/>
    </row>
    <row r="892" spans="5:49" ht="15.75" customHeight="1">
      <c r="E892" s="23"/>
      <c r="F892" s="23"/>
      <c r="I892" s="4"/>
      <c r="J892" s="24"/>
      <c r="K892" s="25"/>
      <c r="L892" s="26"/>
      <c r="M892" s="9"/>
      <c r="N892" s="9"/>
      <c r="O892" s="4"/>
      <c r="P892" s="4"/>
      <c r="Q892" s="4"/>
      <c r="R892" s="4"/>
      <c r="S892" s="4"/>
      <c r="T892" s="4"/>
      <c r="AV892" s="27"/>
      <c r="AW892" s="4"/>
    </row>
    <row r="893" spans="5:49" ht="15.75" customHeight="1">
      <c r="E893" s="23"/>
      <c r="F893" s="23"/>
      <c r="I893" s="4"/>
      <c r="J893" s="24"/>
      <c r="K893" s="25"/>
      <c r="L893" s="26"/>
      <c r="M893" s="9"/>
      <c r="N893" s="9"/>
      <c r="O893" s="4"/>
      <c r="P893" s="4"/>
      <c r="Q893" s="4"/>
      <c r="R893" s="4"/>
      <c r="S893" s="4"/>
      <c r="T893" s="4"/>
      <c r="AV893" s="27"/>
      <c r="AW893" s="4"/>
    </row>
    <row r="894" spans="5:49" ht="15.75" customHeight="1">
      <c r="E894" s="23"/>
      <c r="F894" s="23"/>
      <c r="I894" s="4"/>
      <c r="J894" s="24"/>
      <c r="K894" s="25"/>
      <c r="L894" s="26"/>
      <c r="M894" s="9"/>
      <c r="N894" s="9"/>
      <c r="O894" s="4"/>
      <c r="P894" s="4"/>
      <c r="Q894" s="4"/>
      <c r="R894" s="4"/>
      <c r="S894" s="4"/>
      <c r="T894" s="4"/>
      <c r="AV894" s="27"/>
      <c r="AW894" s="4"/>
    </row>
    <row r="895" spans="5:49" ht="15.75" customHeight="1">
      <c r="E895" s="23"/>
      <c r="F895" s="23"/>
      <c r="I895" s="4"/>
      <c r="J895" s="24"/>
      <c r="K895" s="25"/>
      <c r="L895" s="26"/>
      <c r="M895" s="9"/>
      <c r="N895" s="9"/>
      <c r="O895" s="4"/>
      <c r="P895" s="4"/>
      <c r="Q895" s="4"/>
      <c r="R895" s="4"/>
      <c r="S895" s="4"/>
      <c r="T895" s="4"/>
      <c r="AV895" s="27"/>
      <c r="AW895" s="4"/>
    </row>
    <row r="896" spans="5:49" ht="15.75" customHeight="1">
      <c r="E896" s="23"/>
      <c r="F896" s="23"/>
      <c r="I896" s="4"/>
      <c r="J896" s="24"/>
      <c r="K896" s="25"/>
      <c r="L896" s="26"/>
      <c r="M896" s="9"/>
      <c r="N896" s="9"/>
      <c r="O896" s="4"/>
      <c r="P896" s="4"/>
      <c r="Q896" s="4"/>
      <c r="R896" s="4"/>
      <c r="S896" s="4"/>
      <c r="T896" s="4"/>
      <c r="AV896" s="27"/>
      <c r="AW896" s="4"/>
    </row>
    <row r="897" spans="5:49" ht="15.75" customHeight="1">
      <c r="E897" s="23"/>
      <c r="F897" s="23"/>
      <c r="I897" s="4"/>
      <c r="J897" s="24"/>
      <c r="K897" s="25"/>
      <c r="L897" s="26"/>
      <c r="M897" s="9"/>
      <c r="N897" s="9"/>
      <c r="O897" s="4"/>
      <c r="P897" s="4"/>
      <c r="Q897" s="4"/>
      <c r="R897" s="4"/>
      <c r="S897" s="4"/>
      <c r="T897" s="4"/>
      <c r="AV897" s="27"/>
      <c r="AW897" s="4"/>
    </row>
    <row r="898" spans="5:49" ht="15.75" customHeight="1">
      <c r="E898" s="23"/>
      <c r="F898" s="23"/>
      <c r="I898" s="4"/>
      <c r="J898" s="24"/>
      <c r="K898" s="25"/>
      <c r="L898" s="26"/>
      <c r="M898" s="9"/>
      <c r="N898" s="9"/>
      <c r="O898" s="4"/>
      <c r="P898" s="4"/>
      <c r="Q898" s="4"/>
      <c r="R898" s="4"/>
      <c r="S898" s="4"/>
      <c r="T898" s="4"/>
      <c r="AV898" s="27"/>
      <c r="AW898" s="4"/>
    </row>
    <row r="899" spans="5:49" ht="15.75" customHeight="1">
      <c r="E899" s="23"/>
      <c r="F899" s="23"/>
      <c r="I899" s="4"/>
      <c r="J899" s="24"/>
      <c r="K899" s="25"/>
      <c r="L899" s="26"/>
      <c r="M899" s="9"/>
      <c r="N899" s="9"/>
      <c r="O899" s="4"/>
      <c r="P899" s="4"/>
      <c r="Q899" s="4"/>
      <c r="R899" s="4"/>
      <c r="S899" s="4"/>
      <c r="T899" s="4"/>
      <c r="AV899" s="27"/>
      <c r="AW899" s="4"/>
    </row>
    <row r="900" spans="5:49" ht="15.75" customHeight="1">
      <c r="E900" s="23"/>
      <c r="F900" s="23"/>
      <c r="I900" s="4"/>
      <c r="J900" s="24"/>
      <c r="K900" s="25"/>
      <c r="L900" s="26"/>
      <c r="M900" s="9"/>
      <c r="N900" s="9"/>
      <c r="O900" s="4"/>
      <c r="P900" s="4"/>
      <c r="Q900" s="4"/>
      <c r="R900" s="4"/>
      <c r="S900" s="4"/>
      <c r="T900" s="4"/>
      <c r="AV900" s="27"/>
      <c r="AW900" s="4"/>
    </row>
    <row r="901" spans="5:49" ht="15.75" customHeight="1">
      <c r="E901" s="23"/>
      <c r="F901" s="23"/>
      <c r="I901" s="4"/>
      <c r="J901" s="24"/>
      <c r="K901" s="25"/>
      <c r="L901" s="26"/>
      <c r="M901" s="9"/>
      <c r="N901" s="9"/>
      <c r="O901" s="4"/>
      <c r="P901" s="4"/>
      <c r="Q901" s="4"/>
      <c r="R901" s="4"/>
      <c r="S901" s="4"/>
      <c r="T901" s="4"/>
      <c r="AV901" s="27"/>
      <c r="AW901" s="4"/>
    </row>
    <row r="902" spans="5:49" ht="15.75" customHeight="1">
      <c r="E902" s="23"/>
      <c r="F902" s="23"/>
      <c r="I902" s="4"/>
      <c r="J902" s="24"/>
      <c r="K902" s="25"/>
      <c r="L902" s="26"/>
      <c r="M902" s="9"/>
      <c r="N902" s="9"/>
      <c r="O902" s="4"/>
      <c r="P902" s="4"/>
      <c r="Q902" s="4"/>
      <c r="R902" s="4"/>
      <c r="S902" s="4"/>
      <c r="T902" s="4"/>
      <c r="AV902" s="27"/>
      <c r="AW902" s="4"/>
    </row>
    <row r="903" spans="5:49" ht="15.75" customHeight="1">
      <c r="E903" s="23"/>
      <c r="F903" s="23"/>
      <c r="I903" s="4"/>
      <c r="J903" s="24"/>
      <c r="K903" s="25"/>
      <c r="L903" s="26"/>
      <c r="M903" s="9"/>
      <c r="N903" s="9"/>
      <c r="O903" s="4"/>
      <c r="P903" s="4"/>
      <c r="Q903" s="4"/>
      <c r="R903" s="4"/>
      <c r="S903" s="4"/>
      <c r="T903" s="4"/>
      <c r="AV903" s="27"/>
      <c r="AW903" s="4"/>
    </row>
    <row r="904" spans="5:49" ht="15.75" customHeight="1">
      <c r="E904" s="23"/>
      <c r="F904" s="23"/>
      <c r="I904" s="4"/>
      <c r="J904" s="24"/>
      <c r="K904" s="25"/>
      <c r="L904" s="26"/>
      <c r="M904" s="9"/>
      <c r="N904" s="9"/>
      <c r="O904" s="4"/>
      <c r="P904" s="4"/>
      <c r="Q904" s="4"/>
      <c r="R904" s="4"/>
      <c r="S904" s="4"/>
      <c r="T904" s="4"/>
      <c r="AV904" s="27"/>
      <c r="AW904" s="4"/>
    </row>
    <row r="905" spans="5:49" ht="15.75" customHeight="1">
      <c r="E905" s="23"/>
      <c r="F905" s="23"/>
      <c r="I905" s="4"/>
      <c r="J905" s="24"/>
      <c r="K905" s="25"/>
      <c r="L905" s="26"/>
      <c r="M905" s="9"/>
      <c r="N905" s="9"/>
      <c r="O905" s="4"/>
      <c r="P905" s="4"/>
      <c r="Q905" s="4"/>
      <c r="R905" s="4"/>
      <c r="S905" s="4"/>
      <c r="T905" s="4"/>
      <c r="AV905" s="27"/>
      <c r="AW905" s="4"/>
    </row>
    <row r="906" spans="5:49" ht="15.75" customHeight="1">
      <c r="E906" s="23"/>
      <c r="F906" s="23"/>
      <c r="I906" s="4"/>
      <c r="J906" s="24"/>
      <c r="K906" s="25"/>
      <c r="L906" s="26"/>
      <c r="M906" s="9"/>
      <c r="N906" s="9"/>
      <c r="O906" s="4"/>
      <c r="P906" s="4"/>
      <c r="Q906" s="4"/>
      <c r="R906" s="4"/>
      <c r="S906" s="4"/>
      <c r="T906" s="4"/>
      <c r="AV906" s="27"/>
      <c r="AW906" s="4"/>
    </row>
    <row r="907" spans="5:49" ht="15.75" customHeight="1">
      <c r="E907" s="23"/>
      <c r="F907" s="23"/>
      <c r="I907" s="4"/>
      <c r="J907" s="24"/>
      <c r="K907" s="25"/>
      <c r="L907" s="26"/>
      <c r="M907" s="9"/>
      <c r="N907" s="9"/>
      <c r="O907" s="4"/>
      <c r="P907" s="4"/>
      <c r="Q907" s="4"/>
      <c r="R907" s="4"/>
      <c r="S907" s="4"/>
      <c r="T907" s="4"/>
      <c r="AV907" s="27"/>
      <c r="AW907" s="4"/>
    </row>
    <row r="908" spans="5:49" ht="15.75" customHeight="1">
      <c r="E908" s="23"/>
      <c r="F908" s="23"/>
      <c r="I908" s="4"/>
      <c r="J908" s="24"/>
      <c r="K908" s="25"/>
      <c r="L908" s="26"/>
      <c r="M908" s="9"/>
      <c r="N908" s="9"/>
      <c r="O908" s="4"/>
      <c r="P908" s="4"/>
      <c r="Q908" s="4"/>
      <c r="R908" s="4"/>
      <c r="S908" s="4"/>
      <c r="T908" s="4"/>
      <c r="AV908" s="27"/>
      <c r="AW908" s="4"/>
    </row>
    <row r="909" spans="5:49" ht="15.75" customHeight="1">
      <c r="E909" s="23"/>
      <c r="F909" s="23"/>
      <c r="I909" s="4"/>
      <c r="J909" s="24"/>
      <c r="K909" s="25"/>
      <c r="L909" s="26"/>
      <c r="M909" s="9"/>
      <c r="N909" s="9"/>
      <c r="O909" s="4"/>
      <c r="P909" s="4"/>
      <c r="Q909" s="4"/>
      <c r="R909" s="4"/>
      <c r="S909" s="4"/>
      <c r="T909" s="4"/>
      <c r="AV909" s="27"/>
      <c r="AW909" s="4"/>
    </row>
    <row r="910" spans="5:49" ht="15.75" customHeight="1">
      <c r="E910" s="23"/>
      <c r="F910" s="23"/>
      <c r="I910" s="4"/>
      <c r="J910" s="24"/>
      <c r="K910" s="25"/>
      <c r="L910" s="26"/>
      <c r="M910" s="9"/>
      <c r="N910" s="9"/>
      <c r="O910" s="4"/>
      <c r="P910" s="4"/>
      <c r="Q910" s="4"/>
      <c r="R910" s="4"/>
      <c r="S910" s="4"/>
      <c r="T910" s="4"/>
      <c r="AV910" s="27"/>
      <c r="AW910" s="4"/>
    </row>
    <row r="911" spans="5:49" ht="15.75" customHeight="1">
      <c r="E911" s="23"/>
      <c r="F911" s="23"/>
      <c r="I911" s="4"/>
      <c r="J911" s="24"/>
      <c r="K911" s="25"/>
      <c r="L911" s="26"/>
      <c r="M911" s="9"/>
      <c r="N911" s="9"/>
      <c r="O911" s="4"/>
      <c r="P911" s="4"/>
      <c r="Q911" s="4"/>
      <c r="R911" s="4"/>
      <c r="S911" s="4"/>
      <c r="T911" s="4"/>
      <c r="AV911" s="27"/>
      <c r="AW911" s="4"/>
    </row>
    <row r="912" spans="5:49" ht="15.75" customHeight="1">
      <c r="E912" s="23"/>
      <c r="F912" s="23"/>
      <c r="I912" s="4"/>
      <c r="J912" s="24"/>
      <c r="K912" s="25"/>
      <c r="L912" s="26"/>
      <c r="M912" s="9"/>
      <c r="N912" s="9"/>
      <c r="O912" s="4"/>
      <c r="P912" s="4"/>
      <c r="Q912" s="4"/>
      <c r="R912" s="4"/>
      <c r="S912" s="4"/>
      <c r="T912" s="4"/>
      <c r="AV912" s="27"/>
      <c r="AW912" s="4"/>
    </row>
    <row r="913" spans="5:49" ht="15.75" customHeight="1">
      <c r="E913" s="23"/>
      <c r="F913" s="23"/>
      <c r="I913" s="4"/>
      <c r="J913" s="24"/>
      <c r="K913" s="25"/>
      <c r="L913" s="26"/>
      <c r="M913" s="9"/>
      <c r="N913" s="9"/>
      <c r="O913" s="4"/>
      <c r="P913" s="4"/>
      <c r="Q913" s="4"/>
      <c r="R913" s="4"/>
      <c r="S913" s="4"/>
      <c r="T913" s="4"/>
      <c r="AV913" s="27"/>
      <c r="AW913" s="4"/>
    </row>
    <row r="914" spans="5:49" ht="15.75" customHeight="1">
      <c r="E914" s="23"/>
      <c r="F914" s="23"/>
      <c r="I914" s="4"/>
      <c r="J914" s="24"/>
      <c r="K914" s="25"/>
      <c r="L914" s="26"/>
      <c r="M914" s="9"/>
      <c r="N914" s="9"/>
      <c r="O914" s="4"/>
      <c r="P914" s="4"/>
      <c r="Q914" s="4"/>
      <c r="R914" s="4"/>
      <c r="S914" s="4"/>
      <c r="T914" s="4"/>
      <c r="AV914" s="27"/>
      <c r="AW914" s="4"/>
    </row>
    <row r="915" spans="5:49" ht="15.75" customHeight="1">
      <c r="E915" s="23"/>
      <c r="F915" s="23"/>
      <c r="I915" s="4"/>
      <c r="J915" s="24"/>
      <c r="K915" s="25"/>
      <c r="L915" s="26"/>
      <c r="M915" s="9"/>
      <c r="N915" s="9"/>
      <c r="O915" s="4"/>
      <c r="P915" s="4"/>
      <c r="Q915" s="4"/>
      <c r="R915" s="4"/>
      <c r="S915" s="4"/>
      <c r="T915" s="4"/>
      <c r="AV915" s="27"/>
      <c r="AW915" s="4"/>
    </row>
    <row r="916" spans="5:49" ht="15.75" customHeight="1">
      <c r="E916" s="23"/>
      <c r="F916" s="23"/>
      <c r="I916" s="4"/>
      <c r="J916" s="24"/>
      <c r="K916" s="25"/>
      <c r="L916" s="26"/>
      <c r="M916" s="9"/>
      <c r="N916" s="9"/>
      <c r="O916" s="4"/>
      <c r="P916" s="4"/>
      <c r="Q916" s="4"/>
      <c r="R916" s="4"/>
      <c r="S916" s="4"/>
      <c r="T916" s="4"/>
      <c r="AV916" s="27"/>
      <c r="AW916" s="4"/>
    </row>
    <row r="917" spans="5:49" ht="15.75" customHeight="1">
      <c r="E917" s="23"/>
      <c r="F917" s="23"/>
      <c r="I917" s="4"/>
      <c r="J917" s="24"/>
      <c r="K917" s="25"/>
      <c r="L917" s="26"/>
      <c r="M917" s="9"/>
      <c r="N917" s="9"/>
      <c r="O917" s="4"/>
      <c r="P917" s="4"/>
      <c r="Q917" s="4"/>
      <c r="R917" s="4"/>
      <c r="S917" s="4"/>
      <c r="T917" s="4"/>
      <c r="AV917" s="27"/>
      <c r="AW917" s="4"/>
    </row>
    <row r="918" spans="5:49" ht="15.75" customHeight="1">
      <c r="E918" s="23"/>
      <c r="F918" s="23"/>
      <c r="I918" s="4"/>
      <c r="J918" s="24"/>
      <c r="K918" s="25"/>
      <c r="L918" s="26"/>
      <c r="M918" s="9"/>
      <c r="N918" s="9"/>
      <c r="O918" s="4"/>
      <c r="P918" s="4"/>
      <c r="Q918" s="4"/>
      <c r="R918" s="4"/>
      <c r="S918" s="4"/>
      <c r="T918" s="4"/>
      <c r="AV918" s="27"/>
      <c r="AW918" s="4"/>
    </row>
    <row r="919" spans="5:49" ht="15.75" customHeight="1">
      <c r="E919" s="23"/>
      <c r="F919" s="23"/>
      <c r="I919" s="4"/>
      <c r="J919" s="24"/>
      <c r="K919" s="25"/>
      <c r="L919" s="26"/>
      <c r="M919" s="9"/>
      <c r="N919" s="9"/>
      <c r="O919" s="4"/>
      <c r="P919" s="4"/>
      <c r="Q919" s="4"/>
      <c r="R919" s="4"/>
      <c r="S919" s="4"/>
      <c r="T919" s="4"/>
      <c r="AV919" s="27"/>
      <c r="AW919" s="4"/>
    </row>
    <row r="920" spans="5:49" ht="15.75" customHeight="1">
      <c r="E920" s="23"/>
      <c r="F920" s="23"/>
      <c r="I920" s="4"/>
      <c r="J920" s="24"/>
      <c r="K920" s="25"/>
      <c r="L920" s="26"/>
      <c r="M920" s="9"/>
      <c r="N920" s="9"/>
      <c r="O920" s="4"/>
      <c r="P920" s="4"/>
      <c r="Q920" s="4"/>
      <c r="R920" s="4"/>
      <c r="S920" s="4"/>
      <c r="T920" s="4"/>
      <c r="AV920" s="27"/>
      <c r="AW920" s="4"/>
    </row>
    <row r="921" spans="5:49" ht="15.75" customHeight="1">
      <c r="E921" s="23"/>
      <c r="F921" s="23"/>
      <c r="I921" s="4"/>
      <c r="J921" s="24"/>
      <c r="K921" s="25"/>
      <c r="L921" s="26"/>
      <c r="M921" s="9"/>
      <c r="N921" s="9"/>
      <c r="O921" s="4"/>
      <c r="P921" s="4"/>
      <c r="Q921" s="4"/>
      <c r="R921" s="4"/>
      <c r="S921" s="4"/>
      <c r="T921" s="4"/>
      <c r="AV921" s="27"/>
      <c r="AW921" s="4"/>
    </row>
    <row r="922" spans="5:49" ht="15.75" customHeight="1">
      <c r="E922" s="23"/>
      <c r="F922" s="23"/>
      <c r="I922" s="4"/>
      <c r="J922" s="24"/>
      <c r="K922" s="25"/>
      <c r="L922" s="26"/>
      <c r="M922" s="9"/>
      <c r="N922" s="9"/>
      <c r="O922" s="4"/>
      <c r="P922" s="4"/>
      <c r="Q922" s="4"/>
      <c r="R922" s="4"/>
      <c r="S922" s="4"/>
      <c r="T922" s="4"/>
      <c r="AV922" s="27"/>
      <c r="AW922" s="4"/>
    </row>
    <row r="923" spans="5:49" ht="15.75" customHeight="1">
      <c r="E923" s="23"/>
      <c r="F923" s="23"/>
      <c r="I923" s="4"/>
      <c r="J923" s="24"/>
      <c r="K923" s="25"/>
      <c r="L923" s="26"/>
      <c r="M923" s="9"/>
      <c r="N923" s="9"/>
      <c r="O923" s="4"/>
      <c r="P923" s="4"/>
      <c r="Q923" s="4"/>
      <c r="R923" s="4"/>
      <c r="S923" s="4"/>
      <c r="T923" s="4"/>
      <c r="AV923" s="27"/>
      <c r="AW923" s="4"/>
    </row>
    <row r="924" spans="5:49" ht="15.75" customHeight="1">
      <c r="E924" s="23"/>
      <c r="F924" s="23"/>
      <c r="I924" s="4"/>
      <c r="J924" s="24"/>
      <c r="K924" s="25"/>
      <c r="L924" s="26"/>
      <c r="M924" s="9"/>
      <c r="N924" s="9"/>
      <c r="O924" s="4"/>
      <c r="P924" s="4"/>
      <c r="Q924" s="4"/>
      <c r="R924" s="4"/>
      <c r="S924" s="4"/>
      <c r="T924" s="4"/>
      <c r="AV924" s="27"/>
      <c r="AW924" s="4"/>
    </row>
    <row r="925" spans="5:49" ht="15.75" customHeight="1">
      <c r="E925" s="23"/>
      <c r="F925" s="23"/>
      <c r="I925" s="4"/>
      <c r="J925" s="24"/>
      <c r="K925" s="25"/>
      <c r="L925" s="26"/>
      <c r="M925" s="9"/>
      <c r="N925" s="9"/>
      <c r="O925" s="4"/>
      <c r="P925" s="4"/>
      <c r="Q925" s="4"/>
      <c r="R925" s="4"/>
      <c r="S925" s="4"/>
      <c r="T925" s="4"/>
      <c r="AV925" s="27"/>
      <c r="AW925" s="4"/>
    </row>
    <row r="926" spans="5:49" ht="15.75" customHeight="1">
      <c r="E926" s="23"/>
      <c r="F926" s="23"/>
      <c r="I926" s="4"/>
      <c r="J926" s="24"/>
      <c r="K926" s="25"/>
      <c r="L926" s="26"/>
      <c r="M926" s="9"/>
      <c r="N926" s="9"/>
      <c r="O926" s="4"/>
      <c r="P926" s="4"/>
      <c r="Q926" s="4"/>
      <c r="R926" s="4"/>
      <c r="S926" s="4"/>
      <c r="T926" s="4"/>
      <c r="AV926" s="27"/>
      <c r="AW926" s="4"/>
    </row>
    <row r="927" spans="5:49" ht="15.75" customHeight="1">
      <c r="E927" s="23"/>
      <c r="F927" s="23"/>
      <c r="I927" s="4"/>
      <c r="J927" s="24"/>
      <c r="K927" s="25"/>
      <c r="L927" s="26"/>
      <c r="M927" s="9"/>
      <c r="N927" s="9"/>
      <c r="O927" s="4"/>
      <c r="P927" s="4"/>
      <c r="Q927" s="4"/>
      <c r="R927" s="4"/>
      <c r="S927" s="4"/>
      <c r="T927" s="4"/>
      <c r="AV927" s="27"/>
      <c r="AW927" s="4"/>
    </row>
    <row r="928" spans="5:49" ht="15.75" customHeight="1">
      <c r="E928" s="23"/>
      <c r="F928" s="23"/>
      <c r="I928" s="4"/>
      <c r="J928" s="24"/>
      <c r="K928" s="25"/>
      <c r="L928" s="26"/>
      <c r="M928" s="9"/>
      <c r="N928" s="9"/>
      <c r="O928" s="4"/>
      <c r="P928" s="4"/>
      <c r="Q928" s="4"/>
      <c r="R928" s="4"/>
      <c r="S928" s="4"/>
      <c r="T928" s="4"/>
      <c r="AV928" s="27"/>
      <c r="AW928" s="4"/>
    </row>
    <row r="929" spans="5:49" ht="15.75" customHeight="1">
      <c r="E929" s="23"/>
      <c r="F929" s="23"/>
      <c r="I929" s="4"/>
      <c r="J929" s="24"/>
      <c r="K929" s="25"/>
      <c r="L929" s="26"/>
      <c r="M929" s="9"/>
      <c r="N929" s="9"/>
      <c r="O929" s="4"/>
      <c r="P929" s="4"/>
      <c r="Q929" s="4"/>
      <c r="R929" s="4"/>
      <c r="S929" s="4"/>
      <c r="T929" s="4"/>
      <c r="AV929" s="27"/>
      <c r="AW929" s="4"/>
    </row>
    <row r="930" spans="5:49" ht="15.75" customHeight="1">
      <c r="E930" s="23"/>
      <c r="F930" s="23"/>
      <c r="I930" s="4"/>
      <c r="J930" s="24"/>
      <c r="K930" s="25"/>
      <c r="L930" s="26"/>
      <c r="M930" s="9"/>
      <c r="N930" s="9"/>
      <c r="O930" s="4"/>
      <c r="P930" s="4"/>
      <c r="Q930" s="4"/>
      <c r="R930" s="4"/>
      <c r="S930" s="4"/>
      <c r="T930" s="4"/>
      <c r="AV930" s="27"/>
      <c r="AW930" s="4"/>
    </row>
    <row r="931" spans="5:49" ht="15.75" customHeight="1">
      <c r="E931" s="23"/>
      <c r="F931" s="23"/>
      <c r="I931" s="4"/>
      <c r="J931" s="24"/>
      <c r="K931" s="25"/>
      <c r="L931" s="26"/>
      <c r="M931" s="9"/>
      <c r="N931" s="9"/>
      <c r="O931" s="4"/>
      <c r="P931" s="4"/>
      <c r="Q931" s="4"/>
      <c r="R931" s="4"/>
      <c r="S931" s="4"/>
      <c r="T931" s="4"/>
      <c r="AV931" s="27"/>
      <c r="AW931" s="4"/>
    </row>
    <row r="932" spans="5:49" ht="15.75" customHeight="1">
      <c r="E932" s="23"/>
      <c r="F932" s="23"/>
      <c r="I932" s="4"/>
      <c r="J932" s="24"/>
      <c r="K932" s="25"/>
      <c r="L932" s="26"/>
      <c r="M932" s="9"/>
      <c r="N932" s="9"/>
      <c r="O932" s="4"/>
      <c r="P932" s="4"/>
      <c r="Q932" s="4"/>
      <c r="R932" s="4"/>
      <c r="S932" s="4"/>
      <c r="T932" s="4"/>
      <c r="AV932" s="27"/>
      <c r="AW932" s="4"/>
    </row>
    <row r="933" spans="5:49" ht="15.75" customHeight="1">
      <c r="E933" s="23"/>
      <c r="F933" s="23"/>
      <c r="I933" s="4"/>
      <c r="J933" s="24"/>
      <c r="K933" s="25"/>
      <c r="L933" s="26"/>
      <c r="M933" s="9"/>
      <c r="N933" s="9"/>
      <c r="O933" s="4"/>
      <c r="P933" s="4"/>
      <c r="Q933" s="4"/>
      <c r="R933" s="4"/>
      <c r="S933" s="4"/>
      <c r="T933" s="4"/>
      <c r="AV933" s="27"/>
      <c r="AW933" s="4"/>
    </row>
    <row r="934" spans="5:49" ht="15.75" customHeight="1">
      <c r="E934" s="23"/>
      <c r="F934" s="23"/>
      <c r="I934" s="4"/>
      <c r="J934" s="24"/>
      <c r="K934" s="25"/>
      <c r="L934" s="26"/>
      <c r="M934" s="9"/>
      <c r="N934" s="9"/>
      <c r="O934" s="4"/>
      <c r="P934" s="4"/>
      <c r="Q934" s="4"/>
      <c r="R934" s="4"/>
      <c r="S934" s="4"/>
      <c r="T934" s="4"/>
      <c r="AV934" s="27"/>
      <c r="AW934" s="4"/>
    </row>
    <row r="935" spans="5:49" ht="15.75" customHeight="1">
      <c r="E935" s="23"/>
      <c r="F935" s="23"/>
      <c r="I935" s="4"/>
      <c r="J935" s="24"/>
      <c r="K935" s="25"/>
      <c r="L935" s="26"/>
      <c r="M935" s="9"/>
      <c r="N935" s="9"/>
      <c r="O935" s="4"/>
      <c r="P935" s="4"/>
      <c r="Q935" s="4"/>
      <c r="R935" s="4"/>
      <c r="S935" s="4"/>
      <c r="T935" s="4"/>
      <c r="AV935" s="27"/>
      <c r="AW935" s="4"/>
    </row>
    <row r="936" spans="5:49" ht="15.75" customHeight="1">
      <c r="E936" s="23"/>
      <c r="F936" s="23"/>
      <c r="I936" s="4"/>
      <c r="J936" s="24"/>
      <c r="K936" s="25"/>
      <c r="L936" s="26"/>
      <c r="M936" s="9"/>
      <c r="N936" s="9"/>
      <c r="O936" s="4"/>
      <c r="P936" s="4"/>
      <c r="Q936" s="4"/>
      <c r="R936" s="4"/>
      <c r="S936" s="4"/>
      <c r="T936" s="4"/>
      <c r="AV936" s="27"/>
      <c r="AW936" s="4"/>
    </row>
    <row r="937" spans="5:49" ht="15.75" customHeight="1">
      <c r="E937" s="23"/>
      <c r="F937" s="23"/>
      <c r="I937" s="4"/>
      <c r="J937" s="24"/>
      <c r="K937" s="25"/>
      <c r="L937" s="26"/>
      <c r="M937" s="9"/>
      <c r="N937" s="9"/>
      <c r="O937" s="4"/>
      <c r="P937" s="4"/>
      <c r="Q937" s="4"/>
      <c r="R937" s="4"/>
      <c r="S937" s="4"/>
      <c r="T937" s="4"/>
      <c r="AV937" s="27"/>
      <c r="AW937" s="4"/>
    </row>
    <row r="938" spans="5:49" ht="15.75" customHeight="1">
      <c r="E938" s="23"/>
      <c r="F938" s="23"/>
      <c r="I938" s="4"/>
      <c r="J938" s="24"/>
      <c r="K938" s="25"/>
      <c r="L938" s="26"/>
      <c r="M938" s="9"/>
      <c r="N938" s="9"/>
      <c r="O938" s="4"/>
      <c r="P938" s="4"/>
      <c r="Q938" s="4"/>
      <c r="R938" s="4"/>
      <c r="S938" s="4"/>
      <c r="T938" s="4"/>
      <c r="AV938" s="27"/>
      <c r="AW938" s="4"/>
    </row>
    <row r="939" spans="5:49" ht="15.75" customHeight="1">
      <c r="E939" s="23"/>
      <c r="F939" s="23"/>
      <c r="I939" s="4"/>
      <c r="J939" s="24"/>
      <c r="K939" s="25"/>
      <c r="L939" s="26"/>
      <c r="M939" s="9"/>
      <c r="N939" s="9"/>
      <c r="O939" s="4"/>
      <c r="P939" s="4"/>
      <c r="Q939" s="4"/>
      <c r="R939" s="4"/>
      <c r="S939" s="4"/>
      <c r="T939" s="4"/>
      <c r="AV939" s="27"/>
      <c r="AW939" s="4"/>
    </row>
    <row r="940" spans="5:49" ht="15.75" customHeight="1">
      <c r="E940" s="23"/>
      <c r="F940" s="23"/>
      <c r="I940" s="4"/>
      <c r="J940" s="24"/>
      <c r="K940" s="25"/>
      <c r="L940" s="26"/>
      <c r="M940" s="9"/>
      <c r="N940" s="9"/>
      <c r="O940" s="4"/>
      <c r="P940" s="4"/>
      <c r="Q940" s="4"/>
      <c r="R940" s="4"/>
      <c r="S940" s="4"/>
      <c r="T940" s="4"/>
      <c r="AV940" s="27"/>
      <c r="AW940" s="4"/>
    </row>
    <row r="941" spans="5:49" ht="15.75" customHeight="1">
      <c r="E941" s="23"/>
      <c r="F941" s="23"/>
      <c r="I941" s="4"/>
      <c r="J941" s="24"/>
      <c r="K941" s="25"/>
      <c r="L941" s="26"/>
      <c r="M941" s="9"/>
      <c r="N941" s="9"/>
      <c r="O941" s="4"/>
      <c r="P941" s="4"/>
      <c r="Q941" s="4"/>
      <c r="R941" s="4"/>
      <c r="S941" s="4"/>
      <c r="T941" s="4"/>
      <c r="AV941" s="27"/>
      <c r="AW941" s="4"/>
    </row>
    <row r="942" spans="5:49" ht="15.75" customHeight="1">
      <c r="E942" s="23"/>
      <c r="F942" s="23"/>
      <c r="I942" s="4"/>
      <c r="J942" s="24"/>
      <c r="K942" s="25"/>
      <c r="L942" s="26"/>
      <c r="M942" s="9"/>
      <c r="N942" s="9"/>
      <c r="O942" s="4"/>
      <c r="P942" s="4"/>
      <c r="Q942" s="4"/>
      <c r="R942" s="4"/>
      <c r="S942" s="4"/>
      <c r="T942" s="4"/>
      <c r="AV942" s="27"/>
      <c r="AW942" s="4"/>
    </row>
    <row r="943" spans="5:49" ht="15.75" customHeight="1">
      <c r="E943" s="23"/>
      <c r="F943" s="23"/>
      <c r="I943" s="4"/>
      <c r="J943" s="24"/>
      <c r="K943" s="25"/>
      <c r="L943" s="26"/>
      <c r="M943" s="9"/>
      <c r="N943" s="9"/>
      <c r="O943" s="4"/>
      <c r="P943" s="4"/>
      <c r="Q943" s="4"/>
      <c r="R943" s="4"/>
      <c r="S943" s="4"/>
      <c r="T943" s="4"/>
      <c r="AV943" s="27"/>
      <c r="AW943" s="4"/>
    </row>
    <row r="944" spans="5:49" ht="15.75" customHeight="1">
      <c r="E944" s="23"/>
      <c r="F944" s="23"/>
      <c r="I944" s="4"/>
      <c r="J944" s="24"/>
      <c r="K944" s="25"/>
      <c r="L944" s="26"/>
      <c r="M944" s="9"/>
      <c r="N944" s="9"/>
      <c r="O944" s="4"/>
      <c r="P944" s="4"/>
      <c r="Q944" s="4"/>
      <c r="R944" s="4"/>
      <c r="S944" s="4"/>
      <c r="T944" s="4"/>
      <c r="AV944" s="27"/>
      <c r="AW944" s="4"/>
    </row>
    <row r="945" spans="5:49" ht="15.75" customHeight="1">
      <c r="E945" s="23"/>
      <c r="F945" s="23"/>
      <c r="I945" s="4"/>
      <c r="J945" s="24"/>
      <c r="K945" s="25"/>
      <c r="L945" s="26"/>
      <c r="M945" s="9"/>
      <c r="N945" s="9"/>
      <c r="O945" s="4"/>
      <c r="P945" s="4"/>
      <c r="Q945" s="4"/>
      <c r="R945" s="4"/>
      <c r="S945" s="4"/>
      <c r="T945" s="4"/>
      <c r="AV945" s="27"/>
      <c r="AW945" s="4"/>
    </row>
    <row r="946" spans="5:49" ht="15.75" customHeight="1">
      <c r="E946" s="23"/>
      <c r="F946" s="23"/>
      <c r="I946" s="4"/>
      <c r="J946" s="24"/>
      <c r="K946" s="25"/>
      <c r="L946" s="26"/>
      <c r="M946" s="9"/>
      <c r="N946" s="9"/>
      <c r="O946" s="4"/>
      <c r="P946" s="4"/>
      <c r="Q946" s="4"/>
      <c r="R946" s="4"/>
      <c r="S946" s="4"/>
      <c r="T946" s="4"/>
      <c r="AV946" s="27"/>
      <c r="AW946" s="4"/>
    </row>
    <row r="947" spans="5:49" ht="15.75" customHeight="1">
      <c r="E947" s="23"/>
      <c r="F947" s="23"/>
      <c r="I947" s="4"/>
      <c r="J947" s="24"/>
      <c r="K947" s="25"/>
      <c r="L947" s="26"/>
      <c r="M947" s="9"/>
      <c r="N947" s="9"/>
      <c r="O947" s="4"/>
      <c r="P947" s="4"/>
      <c r="Q947" s="4"/>
      <c r="R947" s="4"/>
      <c r="S947" s="4"/>
      <c r="T947" s="4"/>
      <c r="AV947" s="27"/>
      <c r="AW947" s="4"/>
    </row>
    <row r="948" spans="5:49" ht="15.75" customHeight="1">
      <c r="E948" s="23"/>
      <c r="F948" s="23"/>
      <c r="I948" s="4"/>
      <c r="J948" s="24"/>
      <c r="K948" s="25"/>
      <c r="L948" s="26"/>
      <c r="M948" s="9"/>
      <c r="N948" s="9"/>
      <c r="O948" s="4"/>
      <c r="P948" s="4"/>
      <c r="Q948" s="4"/>
      <c r="R948" s="4"/>
      <c r="S948" s="4"/>
      <c r="T948" s="4"/>
      <c r="AV948" s="27"/>
      <c r="AW948" s="4"/>
    </row>
    <row r="949" spans="5:49" ht="15.75" customHeight="1">
      <c r="E949" s="23"/>
      <c r="F949" s="23"/>
      <c r="I949" s="4"/>
      <c r="J949" s="24"/>
      <c r="K949" s="25"/>
      <c r="L949" s="26"/>
      <c r="M949" s="9"/>
      <c r="N949" s="9"/>
      <c r="O949" s="4"/>
      <c r="P949" s="4"/>
      <c r="Q949" s="4"/>
      <c r="R949" s="4"/>
      <c r="S949" s="4"/>
      <c r="T949" s="4"/>
      <c r="AV949" s="27"/>
      <c r="AW949" s="4"/>
    </row>
    <row r="950" spans="5:49" ht="15.75" customHeight="1">
      <c r="E950" s="23"/>
      <c r="F950" s="23"/>
      <c r="I950" s="4"/>
      <c r="J950" s="24"/>
      <c r="K950" s="25"/>
      <c r="L950" s="26"/>
      <c r="M950" s="9"/>
      <c r="N950" s="9"/>
      <c r="O950" s="4"/>
      <c r="P950" s="4"/>
      <c r="Q950" s="4"/>
      <c r="R950" s="4"/>
      <c r="S950" s="4"/>
      <c r="T950" s="4"/>
      <c r="AV950" s="27"/>
      <c r="AW950" s="4"/>
    </row>
    <row r="951" spans="5:49" ht="15.75" customHeight="1">
      <c r="E951" s="23"/>
      <c r="F951" s="23"/>
      <c r="I951" s="4"/>
      <c r="J951" s="24"/>
      <c r="K951" s="25"/>
      <c r="L951" s="26"/>
      <c r="M951" s="9"/>
      <c r="N951" s="9"/>
      <c r="O951" s="4"/>
      <c r="P951" s="4"/>
      <c r="Q951" s="4"/>
      <c r="R951" s="4"/>
      <c r="S951" s="4"/>
      <c r="T951" s="4"/>
      <c r="AV951" s="27"/>
      <c r="AW951" s="4"/>
    </row>
    <row r="952" spans="5:49" ht="15.75" customHeight="1">
      <c r="E952" s="23"/>
      <c r="F952" s="23"/>
      <c r="I952" s="4"/>
      <c r="J952" s="24"/>
      <c r="K952" s="25"/>
      <c r="L952" s="26"/>
      <c r="M952" s="9"/>
      <c r="N952" s="9"/>
      <c r="O952" s="4"/>
      <c r="P952" s="4"/>
      <c r="Q952" s="4"/>
      <c r="R952" s="4"/>
      <c r="S952" s="4"/>
      <c r="T952" s="4"/>
      <c r="AV952" s="27"/>
      <c r="AW952" s="4"/>
    </row>
    <row r="953" spans="5:49" ht="15.75" customHeight="1">
      <c r="E953" s="23"/>
      <c r="F953" s="23"/>
      <c r="I953" s="4"/>
      <c r="J953" s="24"/>
      <c r="K953" s="25"/>
      <c r="L953" s="26"/>
      <c r="M953" s="9"/>
      <c r="N953" s="9"/>
      <c r="O953" s="4"/>
      <c r="P953" s="4"/>
      <c r="Q953" s="4"/>
      <c r="R953" s="4"/>
      <c r="S953" s="4"/>
      <c r="T953" s="4"/>
      <c r="AV953" s="27"/>
      <c r="AW953" s="4"/>
    </row>
    <row r="954" spans="5:49" ht="15.75" customHeight="1">
      <c r="E954" s="23"/>
      <c r="F954" s="23"/>
      <c r="I954" s="4"/>
      <c r="J954" s="24"/>
      <c r="K954" s="25"/>
      <c r="L954" s="26"/>
      <c r="M954" s="9"/>
      <c r="N954" s="9"/>
      <c r="O954" s="4"/>
      <c r="P954" s="4"/>
      <c r="Q954" s="4"/>
      <c r="R954" s="4"/>
      <c r="S954" s="4"/>
      <c r="T954" s="4"/>
      <c r="AV954" s="27"/>
      <c r="AW954" s="4"/>
    </row>
    <row r="955" spans="5:49" ht="15.75" customHeight="1">
      <c r="E955" s="23"/>
      <c r="F955" s="23"/>
      <c r="I955" s="4"/>
      <c r="J955" s="24"/>
      <c r="K955" s="25"/>
      <c r="L955" s="26"/>
      <c r="M955" s="9"/>
      <c r="N955" s="9"/>
      <c r="O955" s="4"/>
      <c r="P955" s="4"/>
      <c r="Q955" s="4"/>
      <c r="R955" s="4"/>
      <c r="S955" s="4"/>
      <c r="T955" s="4"/>
      <c r="AV955" s="27"/>
      <c r="AW955" s="4"/>
    </row>
    <row r="956" spans="5:49" ht="15.75" customHeight="1">
      <c r="E956" s="23"/>
      <c r="F956" s="23"/>
      <c r="I956" s="4"/>
      <c r="J956" s="24"/>
      <c r="K956" s="25"/>
      <c r="L956" s="26"/>
      <c r="M956" s="9"/>
      <c r="N956" s="9"/>
      <c r="O956" s="4"/>
      <c r="P956" s="4"/>
      <c r="Q956" s="4"/>
      <c r="R956" s="4"/>
      <c r="S956" s="4"/>
      <c r="T956" s="4"/>
      <c r="AV956" s="27"/>
      <c r="AW956" s="4"/>
    </row>
    <row r="957" spans="5:49" ht="15.75" customHeight="1">
      <c r="E957" s="23"/>
      <c r="F957" s="23"/>
      <c r="I957" s="4"/>
      <c r="J957" s="24"/>
      <c r="K957" s="25"/>
      <c r="L957" s="26"/>
      <c r="M957" s="9"/>
      <c r="N957" s="9"/>
      <c r="O957" s="4"/>
      <c r="P957" s="4"/>
      <c r="Q957" s="4"/>
      <c r="R957" s="4"/>
      <c r="S957" s="4"/>
      <c r="T957" s="4"/>
      <c r="AV957" s="27"/>
      <c r="AW957" s="4"/>
    </row>
    <row r="958" spans="5:49" ht="15.75" customHeight="1">
      <c r="E958" s="23"/>
      <c r="F958" s="23"/>
      <c r="I958" s="4"/>
      <c r="J958" s="24"/>
      <c r="K958" s="25"/>
      <c r="L958" s="26"/>
      <c r="M958" s="9"/>
      <c r="N958" s="9"/>
      <c r="O958" s="4"/>
      <c r="P958" s="4"/>
      <c r="Q958" s="4"/>
      <c r="R958" s="4"/>
      <c r="S958" s="4"/>
      <c r="T958" s="4"/>
      <c r="AV958" s="27"/>
      <c r="AW958" s="4"/>
    </row>
    <row r="959" spans="5:49" ht="15.75" customHeight="1">
      <c r="E959" s="23"/>
      <c r="F959" s="23"/>
      <c r="I959" s="4"/>
      <c r="J959" s="24"/>
      <c r="K959" s="25"/>
      <c r="L959" s="26"/>
      <c r="M959" s="9"/>
      <c r="N959" s="9"/>
      <c r="O959" s="4"/>
      <c r="P959" s="4"/>
      <c r="Q959" s="4"/>
      <c r="R959" s="4"/>
      <c r="S959" s="4"/>
      <c r="T959" s="4"/>
      <c r="AV959" s="27"/>
      <c r="AW959" s="4"/>
    </row>
    <row r="960" spans="5:49" ht="15.75" customHeight="1">
      <c r="E960" s="23"/>
      <c r="F960" s="23"/>
      <c r="I960" s="4"/>
      <c r="J960" s="24"/>
      <c r="K960" s="25"/>
      <c r="L960" s="26"/>
      <c r="M960" s="9"/>
      <c r="N960" s="9"/>
      <c r="O960" s="4"/>
      <c r="P960" s="4"/>
      <c r="Q960" s="4"/>
      <c r="R960" s="4"/>
      <c r="S960" s="4"/>
      <c r="T960" s="4"/>
      <c r="AV960" s="27"/>
      <c r="AW960" s="4"/>
    </row>
    <row r="961" spans="5:49" ht="15.75" customHeight="1">
      <c r="E961" s="23"/>
      <c r="F961" s="23"/>
      <c r="I961" s="4"/>
      <c r="J961" s="24"/>
      <c r="K961" s="25"/>
      <c r="L961" s="26"/>
      <c r="M961" s="9"/>
      <c r="N961" s="9"/>
      <c r="O961" s="4"/>
      <c r="P961" s="4"/>
      <c r="Q961" s="4"/>
      <c r="R961" s="4"/>
      <c r="S961" s="4"/>
      <c r="T961" s="4"/>
      <c r="AV961" s="27"/>
      <c r="AW961" s="4"/>
    </row>
    <row r="962" spans="5:49" ht="15.75" customHeight="1">
      <c r="E962" s="23"/>
      <c r="F962" s="23"/>
      <c r="I962" s="4"/>
      <c r="J962" s="24"/>
      <c r="K962" s="25"/>
      <c r="L962" s="26"/>
      <c r="M962" s="9"/>
      <c r="N962" s="9"/>
      <c r="O962" s="4"/>
      <c r="P962" s="4"/>
      <c r="Q962" s="4"/>
      <c r="R962" s="4"/>
      <c r="S962" s="4"/>
      <c r="T962" s="4"/>
      <c r="AV962" s="27"/>
      <c r="AW962" s="4"/>
    </row>
    <row r="963" spans="5:49" ht="15.75" customHeight="1">
      <c r="E963" s="23"/>
      <c r="F963" s="23"/>
      <c r="I963" s="4"/>
      <c r="J963" s="24"/>
      <c r="K963" s="25"/>
      <c r="L963" s="26"/>
      <c r="M963" s="9"/>
      <c r="N963" s="9"/>
      <c r="O963" s="4"/>
      <c r="P963" s="4"/>
      <c r="Q963" s="4"/>
      <c r="R963" s="4"/>
      <c r="S963" s="4"/>
      <c r="T963" s="4"/>
      <c r="AV963" s="27"/>
      <c r="AW963" s="4"/>
    </row>
    <row r="964" spans="5:49" ht="15.75" customHeight="1">
      <c r="E964" s="23"/>
      <c r="F964" s="23"/>
      <c r="I964" s="4"/>
      <c r="J964" s="24"/>
      <c r="K964" s="25"/>
      <c r="L964" s="26"/>
      <c r="M964" s="9"/>
      <c r="N964" s="9"/>
      <c r="O964" s="4"/>
      <c r="P964" s="4"/>
      <c r="Q964" s="4"/>
      <c r="R964" s="4"/>
      <c r="S964" s="4"/>
      <c r="T964" s="4"/>
      <c r="AV964" s="27"/>
      <c r="AW964" s="4"/>
    </row>
    <row r="965" spans="5:49" ht="15.75" customHeight="1">
      <c r="E965" s="23"/>
      <c r="F965" s="23"/>
      <c r="I965" s="4"/>
      <c r="J965" s="24"/>
      <c r="K965" s="25"/>
      <c r="L965" s="26"/>
      <c r="M965" s="9"/>
      <c r="N965" s="9"/>
      <c r="O965" s="4"/>
      <c r="P965" s="4"/>
      <c r="Q965" s="4"/>
      <c r="R965" s="4"/>
      <c r="S965" s="4"/>
      <c r="T965" s="4"/>
      <c r="AV965" s="27"/>
      <c r="AW965" s="4"/>
    </row>
    <row r="966" spans="5:49" ht="15.75" customHeight="1">
      <c r="E966" s="23"/>
      <c r="F966" s="23"/>
      <c r="I966" s="4"/>
      <c r="J966" s="24"/>
      <c r="K966" s="25"/>
      <c r="L966" s="26"/>
      <c r="M966" s="9"/>
      <c r="N966" s="9"/>
      <c r="O966" s="4"/>
      <c r="P966" s="4"/>
      <c r="Q966" s="4"/>
      <c r="R966" s="4"/>
      <c r="S966" s="4"/>
      <c r="T966" s="4"/>
      <c r="AV966" s="27"/>
      <c r="AW966" s="4"/>
    </row>
    <row r="967" spans="5:49" ht="15.75" customHeight="1">
      <c r="E967" s="23"/>
      <c r="F967" s="23"/>
      <c r="I967" s="4"/>
      <c r="J967" s="24"/>
      <c r="K967" s="25"/>
      <c r="L967" s="26"/>
      <c r="M967" s="9"/>
      <c r="N967" s="9"/>
      <c r="O967" s="4"/>
      <c r="P967" s="4"/>
      <c r="Q967" s="4"/>
      <c r="R967" s="4"/>
      <c r="S967" s="4"/>
      <c r="T967" s="4"/>
      <c r="AV967" s="27"/>
      <c r="AW967" s="4"/>
    </row>
    <row r="968" spans="5:49" ht="15.75" customHeight="1">
      <c r="E968" s="23"/>
      <c r="F968" s="23"/>
      <c r="I968" s="4"/>
      <c r="J968" s="24"/>
      <c r="K968" s="25"/>
      <c r="L968" s="26"/>
      <c r="M968" s="9"/>
      <c r="N968" s="9"/>
      <c r="O968" s="4"/>
      <c r="P968" s="4"/>
      <c r="Q968" s="4"/>
      <c r="R968" s="4"/>
      <c r="S968" s="4"/>
      <c r="T968" s="4"/>
      <c r="AV968" s="27"/>
      <c r="AW968" s="4"/>
    </row>
    <row r="969" spans="5:49" ht="15.75" customHeight="1">
      <c r="E969" s="23"/>
      <c r="F969" s="23"/>
      <c r="I969" s="4"/>
      <c r="J969" s="24"/>
      <c r="K969" s="25"/>
      <c r="L969" s="26"/>
      <c r="M969" s="9"/>
      <c r="N969" s="9"/>
      <c r="O969" s="4"/>
      <c r="P969" s="4"/>
      <c r="Q969" s="4"/>
      <c r="R969" s="4"/>
      <c r="S969" s="4"/>
      <c r="T969" s="4"/>
      <c r="AV969" s="27"/>
      <c r="AW969" s="4"/>
    </row>
    <row r="970" spans="5:49" ht="15.75" customHeight="1">
      <c r="E970" s="23"/>
      <c r="F970" s="23"/>
      <c r="I970" s="4"/>
      <c r="J970" s="24"/>
      <c r="K970" s="25"/>
      <c r="L970" s="26"/>
      <c r="M970" s="9"/>
      <c r="N970" s="9"/>
      <c r="O970" s="4"/>
      <c r="P970" s="4"/>
      <c r="Q970" s="4"/>
      <c r="R970" s="4"/>
      <c r="S970" s="4"/>
      <c r="T970" s="4"/>
      <c r="AV970" s="27"/>
      <c r="AW970" s="4"/>
    </row>
    <row r="971" spans="5:49" ht="15.75" customHeight="1">
      <c r="E971" s="23"/>
      <c r="F971" s="23"/>
      <c r="I971" s="4"/>
      <c r="J971" s="24"/>
      <c r="K971" s="25"/>
      <c r="L971" s="26"/>
      <c r="M971" s="9"/>
      <c r="N971" s="9"/>
      <c r="O971" s="4"/>
      <c r="P971" s="4"/>
      <c r="Q971" s="4"/>
      <c r="R971" s="4"/>
      <c r="S971" s="4"/>
      <c r="T971" s="4"/>
      <c r="AV971" s="27"/>
      <c r="AW971" s="4"/>
    </row>
    <row r="972" spans="5:49" ht="15.75" customHeight="1">
      <c r="E972" s="23"/>
      <c r="F972" s="23"/>
      <c r="I972" s="4"/>
      <c r="J972" s="24"/>
      <c r="K972" s="25"/>
      <c r="L972" s="26"/>
      <c r="M972" s="9"/>
      <c r="N972" s="9"/>
      <c r="O972" s="4"/>
      <c r="P972" s="4"/>
      <c r="Q972" s="4"/>
      <c r="R972" s="4"/>
      <c r="S972" s="4"/>
      <c r="T972" s="4"/>
      <c r="AV972" s="27"/>
      <c r="AW972" s="4"/>
    </row>
    <row r="973" spans="5:49" ht="15.75" customHeight="1">
      <c r="E973" s="23"/>
      <c r="F973" s="23"/>
      <c r="I973" s="4"/>
      <c r="J973" s="24"/>
      <c r="K973" s="25"/>
      <c r="L973" s="26"/>
      <c r="M973" s="9"/>
      <c r="N973" s="9"/>
      <c r="O973" s="4"/>
      <c r="P973" s="4"/>
      <c r="Q973" s="4"/>
      <c r="R973" s="4"/>
      <c r="S973" s="4"/>
      <c r="T973" s="4"/>
      <c r="AV973" s="27"/>
      <c r="AW973" s="4"/>
    </row>
    <row r="974" spans="5:49" ht="15.75" customHeight="1">
      <c r="E974" s="23"/>
      <c r="F974" s="23"/>
      <c r="I974" s="4"/>
      <c r="J974" s="24"/>
      <c r="K974" s="25"/>
      <c r="L974" s="26"/>
      <c r="M974" s="9"/>
      <c r="N974" s="9"/>
      <c r="O974" s="4"/>
      <c r="P974" s="4"/>
      <c r="Q974" s="4"/>
      <c r="R974" s="4"/>
      <c r="S974" s="4"/>
      <c r="T974" s="4"/>
      <c r="AV974" s="27"/>
      <c r="AW974" s="4"/>
    </row>
    <row r="975" spans="5:49" ht="15.75" customHeight="1">
      <c r="E975" s="23"/>
      <c r="F975" s="23"/>
      <c r="I975" s="4"/>
      <c r="J975" s="24"/>
      <c r="K975" s="25"/>
      <c r="L975" s="26"/>
      <c r="M975" s="9"/>
      <c r="N975" s="9"/>
      <c r="O975" s="4"/>
      <c r="P975" s="4"/>
      <c r="Q975" s="4"/>
      <c r="R975" s="4"/>
      <c r="S975" s="4"/>
      <c r="T975" s="4"/>
      <c r="AV975" s="27"/>
      <c r="AW975" s="4"/>
    </row>
    <row r="976" spans="5:49" ht="15.75" customHeight="1">
      <c r="E976" s="23"/>
      <c r="F976" s="23"/>
      <c r="I976" s="4"/>
      <c r="J976" s="24"/>
      <c r="K976" s="25"/>
      <c r="L976" s="26"/>
      <c r="M976" s="9"/>
      <c r="N976" s="9"/>
      <c r="O976" s="4"/>
      <c r="P976" s="4"/>
      <c r="Q976" s="4"/>
      <c r="R976" s="4"/>
      <c r="S976" s="4"/>
      <c r="T976" s="4"/>
      <c r="AV976" s="27"/>
      <c r="AW976" s="4"/>
    </row>
    <row r="977" spans="5:49" ht="15.75" customHeight="1">
      <c r="E977" s="23"/>
      <c r="F977" s="23"/>
      <c r="I977" s="4"/>
      <c r="J977" s="24"/>
      <c r="K977" s="25"/>
      <c r="L977" s="26"/>
      <c r="M977" s="9"/>
      <c r="N977" s="9"/>
      <c r="O977" s="4"/>
      <c r="P977" s="4"/>
      <c r="Q977" s="4"/>
      <c r="R977" s="4"/>
      <c r="S977" s="4"/>
      <c r="T977" s="4"/>
      <c r="AV977" s="27"/>
      <c r="AW977" s="4"/>
    </row>
    <row r="978" spans="5:49" ht="15.75" customHeight="1">
      <c r="E978" s="23"/>
      <c r="F978" s="23"/>
      <c r="I978" s="4"/>
      <c r="J978" s="24"/>
      <c r="K978" s="25"/>
      <c r="L978" s="26"/>
      <c r="M978" s="9"/>
      <c r="N978" s="9"/>
      <c r="O978" s="4"/>
      <c r="P978" s="4"/>
      <c r="Q978" s="4"/>
      <c r="R978" s="4"/>
      <c r="S978" s="4"/>
      <c r="T978" s="4"/>
      <c r="AV978" s="27"/>
      <c r="AW978" s="4"/>
    </row>
    <row r="979" spans="5:49" ht="15.75" customHeight="1">
      <c r="E979" s="23"/>
      <c r="F979" s="23"/>
      <c r="I979" s="4"/>
      <c r="J979" s="24"/>
      <c r="K979" s="25"/>
      <c r="L979" s="26"/>
      <c r="M979" s="9"/>
      <c r="N979" s="9"/>
      <c r="O979" s="4"/>
      <c r="P979" s="4"/>
      <c r="Q979" s="4"/>
      <c r="R979" s="4"/>
      <c r="S979" s="4"/>
      <c r="T979" s="4"/>
      <c r="AV979" s="27"/>
      <c r="AW979" s="4"/>
    </row>
    <row r="980" spans="5:49" ht="15.75" customHeight="1">
      <c r="E980" s="23"/>
      <c r="F980" s="23"/>
      <c r="I980" s="4"/>
      <c r="J980" s="24"/>
      <c r="K980" s="25"/>
      <c r="L980" s="26"/>
      <c r="M980" s="9"/>
      <c r="N980" s="9"/>
      <c r="O980" s="4"/>
      <c r="P980" s="4"/>
      <c r="Q980" s="4"/>
      <c r="R980" s="4"/>
      <c r="S980" s="4"/>
      <c r="T980" s="4"/>
      <c r="AV980" s="27"/>
      <c r="AW980" s="4"/>
    </row>
    <row r="981" spans="5:49" ht="15.75" customHeight="1">
      <c r="E981" s="23"/>
      <c r="F981" s="23"/>
      <c r="I981" s="4"/>
      <c r="J981" s="24"/>
      <c r="K981" s="25"/>
      <c r="L981" s="26"/>
      <c r="M981" s="9"/>
      <c r="N981" s="9"/>
      <c r="O981" s="4"/>
      <c r="P981" s="4"/>
      <c r="Q981" s="4"/>
      <c r="R981" s="4"/>
      <c r="S981" s="4"/>
      <c r="T981" s="4"/>
      <c r="AV981" s="27"/>
      <c r="AW981" s="4"/>
    </row>
    <row r="982" spans="5:49" ht="15.75" customHeight="1">
      <c r="E982" s="23"/>
      <c r="F982" s="23"/>
      <c r="I982" s="4"/>
      <c r="J982" s="24"/>
      <c r="K982" s="25"/>
      <c r="L982" s="26"/>
      <c r="M982" s="9"/>
      <c r="N982" s="9"/>
      <c r="O982" s="4"/>
      <c r="P982" s="4"/>
      <c r="Q982" s="4"/>
      <c r="R982" s="4"/>
      <c r="S982" s="4"/>
      <c r="T982" s="4"/>
      <c r="AV982" s="27"/>
      <c r="AW982" s="4"/>
    </row>
    <row r="983" spans="5:49" ht="15.75" customHeight="1">
      <c r="E983" s="23"/>
      <c r="F983" s="23"/>
      <c r="I983" s="4"/>
      <c r="J983" s="24"/>
      <c r="K983" s="25"/>
      <c r="L983" s="26"/>
      <c r="M983" s="9"/>
      <c r="N983" s="9"/>
      <c r="O983" s="4"/>
      <c r="P983" s="4"/>
      <c r="Q983" s="4"/>
      <c r="R983" s="4"/>
      <c r="S983" s="4"/>
      <c r="T983" s="4"/>
      <c r="AV983" s="27"/>
      <c r="AW983" s="4"/>
    </row>
    <row r="984" spans="5:49" ht="15.75" customHeight="1">
      <c r="E984" s="23"/>
      <c r="F984" s="23"/>
      <c r="I984" s="4"/>
      <c r="J984" s="24"/>
      <c r="K984" s="25"/>
      <c r="L984" s="26"/>
      <c r="M984" s="9"/>
      <c r="N984" s="9"/>
      <c r="O984" s="4"/>
      <c r="P984" s="4"/>
      <c r="Q984" s="4"/>
      <c r="R984" s="4"/>
      <c r="S984" s="4"/>
      <c r="T984" s="4"/>
      <c r="AV984" s="27"/>
      <c r="AW984" s="4"/>
    </row>
    <row r="985" spans="5:49" ht="15.75" customHeight="1">
      <c r="E985" s="23"/>
      <c r="F985" s="23"/>
      <c r="I985" s="4"/>
      <c r="J985" s="24"/>
      <c r="K985" s="25"/>
      <c r="L985" s="26"/>
      <c r="M985" s="9"/>
      <c r="N985" s="9"/>
      <c r="O985" s="4"/>
      <c r="P985" s="4"/>
      <c r="Q985" s="4"/>
      <c r="R985" s="4"/>
      <c r="S985" s="4"/>
      <c r="T985" s="4"/>
      <c r="AV985" s="27"/>
      <c r="AW985" s="4"/>
    </row>
    <row r="986" spans="5:49" ht="15.75" customHeight="1">
      <c r="E986" s="23"/>
      <c r="F986" s="23"/>
      <c r="I986" s="4"/>
      <c r="J986" s="24"/>
      <c r="K986" s="25"/>
      <c r="L986" s="26"/>
      <c r="M986" s="9"/>
      <c r="N986" s="9"/>
      <c r="O986" s="4"/>
      <c r="P986" s="4"/>
      <c r="Q986" s="4"/>
      <c r="R986" s="4"/>
      <c r="S986" s="4"/>
      <c r="T986" s="4"/>
      <c r="AV986" s="27"/>
      <c r="AW986" s="4"/>
    </row>
    <row r="987" spans="5:49" ht="15.75" customHeight="1">
      <c r="E987" s="23"/>
      <c r="F987" s="23"/>
      <c r="I987" s="4"/>
      <c r="J987" s="24"/>
      <c r="K987" s="25"/>
      <c r="L987" s="26"/>
      <c r="M987" s="9"/>
      <c r="N987" s="9"/>
      <c r="O987" s="4"/>
      <c r="P987" s="4"/>
      <c r="Q987" s="4"/>
      <c r="R987" s="4"/>
      <c r="S987" s="4"/>
      <c r="T987" s="4"/>
      <c r="AV987" s="27"/>
      <c r="AW987" s="4"/>
    </row>
    <row r="988" spans="5:49" ht="15.75" customHeight="1">
      <c r="E988" s="23"/>
      <c r="F988" s="23"/>
      <c r="I988" s="4"/>
      <c r="J988" s="24"/>
      <c r="K988" s="25"/>
      <c r="L988" s="26"/>
      <c r="M988" s="9"/>
      <c r="N988" s="9"/>
      <c r="O988" s="4"/>
      <c r="P988" s="4"/>
      <c r="Q988" s="4"/>
      <c r="R988" s="4"/>
      <c r="S988" s="4"/>
      <c r="T988" s="4"/>
      <c r="AV988" s="27"/>
      <c r="AW988" s="4"/>
    </row>
    <row r="989" spans="5:49" ht="15.75" customHeight="1">
      <c r="E989" s="23"/>
      <c r="F989" s="23"/>
      <c r="I989" s="4"/>
      <c r="J989" s="24"/>
      <c r="K989" s="25"/>
      <c r="L989" s="26"/>
      <c r="M989" s="9"/>
      <c r="N989" s="9"/>
      <c r="O989" s="4"/>
      <c r="P989" s="4"/>
      <c r="Q989" s="4"/>
      <c r="R989" s="4"/>
      <c r="S989" s="4"/>
      <c r="T989" s="4"/>
      <c r="AV989" s="27"/>
      <c r="AW989" s="4"/>
    </row>
    <row r="990" spans="5:49" ht="15.75" customHeight="1">
      <c r="E990" s="23"/>
      <c r="F990" s="23"/>
      <c r="I990" s="4"/>
      <c r="J990" s="24"/>
      <c r="K990" s="25"/>
      <c r="L990" s="26"/>
      <c r="M990" s="9"/>
      <c r="N990" s="9"/>
      <c r="O990" s="4"/>
      <c r="P990" s="4"/>
      <c r="Q990" s="4"/>
      <c r="R990" s="4"/>
      <c r="S990" s="4"/>
      <c r="T990" s="4"/>
      <c r="AV990" s="27"/>
      <c r="AW990" s="4"/>
    </row>
    <row r="991" spans="5:49" ht="15.75" customHeight="1">
      <c r="E991" s="23"/>
      <c r="F991" s="23"/>
      <c r="I991" s="4"/>
      <c r="J991" s="24"/>
      <c r="K991" s="25"/>
      <c r="L991" s="26"/>
      <c r="M991" s="9"/>
      <c r="N991" s="9"/>
      <c r="O991" s="4"/>
      <c r="P991" s="4"/>
      <c r="Q991" s="4"/>
      <c r="R991" s="4"/>
      <c r="S991" s="4"/>
      <c r="T991" s="4"/>
      <c r="AV991" s="27"/>
      <c r="AW991" s="4"/>
    </row>
    <row r="992" spans="5:49" ht="15.75" customHeight="1">
      <c r="E992" s="23"/>
      <c r="F992" s="23"/>
      <c r="I992" s="4"/>
      <c r="J992" s="24"/>
      <c r="K992" s="25"/>
      <c r="L992" s="26"/>
      <c r="M992" s="9"/>
      <c r="N992" s="9"/>
      <c r="O992" s="4"/>
      <c r="P992" s="4"/>
      <c r="Q992" s="4"/>
      <c r="R992" s="4"/>
      <c r="S992" s="4"/>
      <c r="T992" s="4"/>
      <c r="AV992" s="27"/>
      <c r="AW992" s="4"/>
    </row>
    <row r="993" spans="5:49" ht="15.75" customHeight="1">
      <c r="E993" s="23"/>
      <c r="F993" s="23"/>
      <c r="I993" s="4"/>
      <c r="J993" s="24"/>
      <c r="K993" s="25"/>
      <c r="L993" s="26"/>
      <c r="M993" s="9"/>
      <c r="N993" s="9"/>
      <c r="O993" s="4"/>
      <c r="P993" s="4"/>
      <c r="Q993" s="4"/>
      <c r="R993" s="4"/>
      <c r="S993" s="4"/>
      <c r="T993" s="4"/>
      <c r="AV993" s="27"/>
      <c r="AW993" s="4"/>
    </row>
    <row r="994" spans="5:49" ht="15.75" customHeight="1">
      <c r="E994" s="23"/>
      <c r="F994" s="23"/>
      <c r="I994" s="4"/>
      <c r="J994" s="24"/>
      <c r="K994" s="25"/>
      <c r="L994" s="26"/>
      <c r="M994" s="9"/>
      <c r="N994" s="9"/>
      <c r="O994" s="4"/>
      <c r="P994" s="4"/>
      <c r="Q994" s="4"/>
      <c r="R994" s="4"/>
      <c r="S994" s="4"/>
      <c r="T994" s="4"/>
      <c r="AV994" s="27"/>
      <c r="AW994" s="4"/>
    </row>
    <row r="995" spans="5:49" ht="15.75" customHeight="1">
      <c r="E995" s="23"/>
      <c r="F995" s="23"/>
      <c r="I995" s="4"/>
      <c r="J995" s="24"/>
      <c r="K995" s="25"/>
      <c r="L995" s="26"/>
      <c r="M995" s="9"/>
      <c r="N995" s="9"/>
      <c r="O995" s="4"/>
      <c r="P995" s="4"/>
      <c r="Q995" s="4"/>
      <c r="R995" s="4"/>
      <c r="S995" s="4"/>
      <c r="T995" s="4"/>
      <c r="AV995" s="27"/>
      <c r="AW995" s="4"/>
    </row>
    <row r="996" spans="5:49" ht="15.75" customHeight="1">
      <c r="E996" s="23"/>
      <c r="F996" s="23"/>
      <c r="I996" s="4"/>
      <c r="J996" s="24"/>
      <c r="K996" s="25"/>
      <c r="L996" s="26"/>
      <c r="M996" s="9"/>
      <c r="N996" s="9"/>
      <c r="O996" s="4"/>
      <c r="P996" s="4"/>
      <c r="Q996" s="4"/>
      <c r="R996" s="4"/>
      <c r="S996" s="4"/>
      <c r="T996" s="4"/>
      <c r="AV996" s="27"/>
      <c r="AW996" s="4"/>
    </row>
    <row r="997" spans="5:49" ht="15.75" customHeight="1">
      <c r="E997" s="23"/>
      <c r="F997" s="23"/>
      <c r="I997" s="4"/>
      <c r="J997" s="24"/>
      <c r="K997" s="25"/>
      <c r="L997" s="26"/>
      <c r="M997" s="9"/>
      <c r="N997" s="9"/>
      <c r="O997" s="4"/>
      <c r="P997" s="4"/>
      <c r="Q997" s="4"/>
      <c r="R997" s="4"/>
      <c r="S997" s="4"/>
      <c r="T997" s="4"/>
      <c r="AV997" s="27"/>
      <c r="AW997" s="4"/>
    </row>
    <row r="998" spans="5:49" ht="15.75" customHeight="1">
      <c r="E998" s="23"/>
      <c r="F998" s="23"/>
      <c r="I998" s="4"/>
      <c r="J998" s="24"/>
      <c r="K998" s="25"/>
      <c r="L998" s="26"/>
      <c r="M998" s="9"/>
      <c r="N998" s="9"/>
      <c r="O998" s="4"/>
      <c r="P998" s="4"/>
      <c r="Q998" s="4"/>
      <c r="R998" s="4"/>
      <c r="S998" s="4"/>
      <c r="T998" s="4"/>
      <c r="AV998" s="27"/>
      <c r="AW998" s="4"/>
    </row>
    <row r="999" spans="5:49" ht="15.75" customHeight="1">
      <c r="E999" s="23"/>
      <c r="F999" s="23"/>
      <c r="I999" s="4"/>
      <c r="J999" s="24"/>
      <c r="K999" s="25"/>
      <c r="L999" s="26"/>
      <c r="M999" s="9"/>
      <c r="N999" s="9"/>
      <c r="O999" s="4"/>
      <c r="P999" s="4"/>
      <c r="Q999" s="4"/>
      <c r="R999" s="4"/>
      <c r="S999" s="4"/>
      <c r="T999" s="4"/>
      <c r="AV999" s="27"/>
      <c r="AW999" s="4"/>
    </row>
    <row r="1000" spans="5:49" ht="15.75" customHeight="1">
      <c r="E1000" s="23"/>
      <c r="F1000" s="23"/>
      <c r="I1000" s="4"/>
      <c r="J1000" s="24"/>
      <c r="K1000" s="25"/>
      <c r="L1000" s="26"/>
      <c r="M1000" s="9"/>
      <c r="N1000" s="9"/>
      <c r="O1000" s="4"/>
      <c r="P1000" s="4"/>
      <c r="Q1000" s="4"/>
      <c r="R1000" s="4"/>
      <c r="S1000" s="4"/>
      <c r="T1000" s="4"/>
      <c r="AV1000" s="27"/>
      <c r="AW1000" s="4"/>
    </row>
    <row r="1001" spans="5:49" ht="15.75" customHeight="1">
      <c r="E1001" s="23"/>
      <c r="F1001" s="23"/>
      <c r="I1001" s="4"/>
      <c r="J1001" s="24"/>
      <c r="K1001" s="25"/>
      <c r="L1001" s="26"/>
      <c r="M1001" s="9"/>
      <c r="N1001" s="9"/>
      <c r="O1001" s="4"/>
      <c r="P1001" s="4"/>
      <c r="Q1001" s="4"/>
      <c r="R1001" s="4"/>
      <c r="S1001" s="4"/>
      <c r="T1001" s="4"/>
      <c r="AV1001" s="27"/>
      <c r="AW1001" s="4"/>
    </row>
  </sheetData>
  <mergeCells count="18">
    <mergeCell ref="AM1:AT1"/>
    <mergeCell ref="AV1:AV2"/>
    <mergeCell ref="AW1:AW2"/>
    <mergeCell ref="K1:K2"/>
    <mergeCell ref="L1:L2"/>
    <mergeCell ref="Q1:U1"/>
    <mergeCell ref="V1:AD1"/>
    <mergeCell ref="AE1:AL1"/>
    <mergeCell ref="F1:F2"/>
    <mergeCell ref="G1:G2"/>
    <mergeCell ref="H1:H2"/>
    <mergeCell ref="I1:I2"/>
    <mergeCell ref="J1:J2"/>
    <mergeCell ref="A1:A2"/>
    <mergeCell ref="B1:B2"/>
    <mergeCell ref="C1:C2"/>
    <mergeCell ref="D1:D2"/>
    <mergeCell ref="E1:E2"/>
  </mergeCells>
  <phoneticPr fontId="16" type="noConversion"/>
  <conditionalFormatting sqref="O3:O137">
    <cfRule type="cellIs" dxfId="6" priority="2" operator="equal">
      <formula>"-"</formula>
    </cfRule>
  </conditionalFormatting>
  <conditionalFormatting sqref="P1:P1001">
    <cfRule type="cellIs" dxfId="5" priority="3" operator="equal">
      <formula>1</formula>
    </cfRule>
  </conditionalFormatting>
  <conditionalFormatting sqref="N1:N1001">
    <cfRule type="cellIs" dxfId="4" priority="4" operator="equal">
      <formula>0</formula>
    </cfRule>
  </conditionalFormatting>
  <conditionalFormatting sqref="W119 X2:X1001 AF1:AF1001 AN2">
    <cfRule type="cellIs" dxfId="3" priority="5" operator="equal">
      <formula>0</formula>
    </cfRule>
  </conditionalFormatting>
  <conditionalFormatting sqref="Z2:Z1001 AP2">
    <cfRule type="cellIs" dxfId="2" priority="6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W1001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Q8" sqref="Q8:Q9"/>
    </sheetView>
  </sheetViews>
  <sheetFormatPr defaultColWidth="12.5703125" defaultRowHeight="12.75"/>
  <cols>
    <col min="1" max="1" width="7.42578125" style="1" customWidth="1"/>
    <col min="2" max="2" width="10.5703125" style="1" customWidth="1"/>
    <col min="3" max="3" width="35.28515625" style="1" customWidth="1"/>
    <col min="4" max="4" width="22.5703125" style="1" customWidth="1"/>
    <col min="5" max="5" width="12.140625" style="1" customWidth="1"/>
    <col min="6" max="6" width="8.7109375" style="1" customWidth="1"/>
    <col min="7" max="7" width="10.140625" style="1" customWidth="1"/>
    <col min="9" max="9" width="8.28515625" style="1" customWidth="1"/>
    <col min="11" max="12" width="9.85546875" style="1" customWidth="1"/>
    <col min="14" max="14" width="8.140625" style="1" customWidth="1"/>
    <col min="15" max="15" width="9" style="1" customWidth="1"/>
    <col min="28" max="28" width="12.5703125" style="1" hidden="1"/>
    <col min="31" max="31" width="11.140625" style="1" customWidth="1"/>
    <col min="32" max="32" width="12.85546875" style="1" hidden="1" customWidth="1"/>
    <col min="33" max="33" width="14.7109375" style="1" customWidth="1"/>
    <col min="34" max="34" width="9.140625" style="1" customWidth="1"/>
    <col min="35" max="35" width="13.28515625" style="1" customWidth="1"/>
    <col min="36" max="36" width="14.5703125" style="1" customWidth="1"/>
    <col min="37" max="38" width="16.7109375" style="1" customWidth="1"/>
    <col min="39" max="40" width="10.5703125" style="1" customWidth="1"/>
    <col min="41" max="41" width="7.140625" style="1" customWidth="1"/>
    <col min="42" max="42" width="10.5703125" style="1" hidden="1" customWidth="1"/>
    <col min="43" max="43" width="10.5703125" style="1" customWidth="1"/>
    <col min="44" max="44" width="10.5703125" style="1" hidden="1" customWidth="1"/>
    <col min="45" max="45" width="10.5703125" style="1" customWidth="1"/>
    <col min="46" max="48" width="13" style="1" customWidth="1"/>
    <col min="52" max="52" width="12.5703125" style="1" hidden="1"/>
  </cols>
  <sheetData>
    <row r="1" spans="1:75" ht="15.75" customHeight="1">
      <c r="A1" s="28"/>
      <c r="B1" s="28"/>
      <c r="C1" s="28"/>
      <c r="D1" s="28"/>
      <c r="E1" s="28"/>
      <c r="F1" s="29"/>
      <c r="G1" s="29"/>
      <c r="H1" s="79" t="s">
        <v>12</v>
      </c>
      <c r="I1" s="79"/>
      <c r="J1" s="79"/>
      <c r="K1" s="79"/>
      <c r="L1" s="79"/>
      <c r="M1" s="79"/>
      <c r="N1" s="79"/>
      <c r="O1" s="79"/>
      <c r="P1" s="79"/>
      <c r="Q1" s="79"/>
      <c r="R1" s="80" t="s">
        <v>13</v>
      </c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 t="s">
        <v>14</v>
      </c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1" t="s">
        <v>15</v>
      </c>
      <c r="AW1" s="81"/>
      <c r="AX1" s="81"/>
      <c r="AY1" s="81"/>
      <c r="AZ1" s="81"/>
      <c r="BA1" s="81"/>
      <c r="BB1" s="81"/>
      <c r="BC1" s="8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</row>
    <row r="2" spans="1:75" ht="117.75" customHeight="1">
      <c r="A2" s="30" t="s">
        <v>9</v>
      </c>
      <c r="B2" s="30" t="s">
        <v>763</v>
      </c>
      <c r="C2" s="30" t="s">
        <v>764</v>
      </c>
      <c r="D2" s="30" t="s">
        <v>765</v>
      </c>
      <c r="E2" s="30"/>
      <c r="F2" s="32" t="s">
        <v>766</v>
      </c>
      <c r="G2" s="32" t="s">
        <v>767</v>
      </c>
      <c r="H2" s="32" t="s">
        <v>768</v>
      </c>
      <c r="I2" s="32" t="s">
        <v>769</v>
      </c>
      <c r="J2" s="32" t="s">
        <v>770</v>
      </c>
      <c r="K2" s="32" t="s">
        <v>771</v>
      </c>
      <c r="L2" s="32" t="s">
        <v>772</v>
      </c>
      <c r="M2" s="32" t="s">
        <v>773</v>
      </c>
      <c r="N2" s="32" t="s">
        <v>774</v>
      </c>
      <c r="O2" s="32" t="s">
        <v>775</v>
      </c>
      <c r="P2" s="32" t="s">
        <v>776</v>
      </c>
      <c r="Q2" s="32" t="s">
        <v>777</v>
      </c>
      <c r="R2" s="33" t="s">
        <v>778</v>
      </c>
      <c r="S2" s="33" t="s">
        <v>779</v>
      </c>
      <c r="T2" s="33" t="s">
        <v>780</v>
      </c>
      <c r="U2" s="33" t="s">
        <v>781</v>
      </c>
      <c r="V2" s="33" t="s">
        <v>782</v>
      </c>
      <c r="W2" s="33" t="s">
        <v>783</v>
      </c>
      <c r="X2" s="33" t="s">
        <v>784</v>
      </c>
      <c r="Y2" s="33" t="s">
        <v>785</v>
      </c>
      <c r="Z2" s="33" t="s">
        <v>786</v>
      </c>
      <c r="AA2" s="33" t="s">
        <v>787</v>
      </c>
      <c r="AB2" s="33" t="s">
        <v>788</v>
      </c>
      <c r="AC2" s="33" t="s">
        <v>789</v>
      </c>
      <c r="AD2" s="33" t="s">
        <v>776</v>
      </c>
      <c r="AE2" s="33" t="s">
        <v>790</v>
      </c>
      <c r="AF2" s="33" t="s">
        <v>791</v>
      </c>
      <c r="AG2" s="33" t="s">
        <v>778</v>
      </c>
      <c r="AH2" s="33" t="s">
        <v>779</v>
      </c>
      <c r="AI2" s="33" t="s">
        <v>780</v>
      </c>
      <c r="AJ2" s="33" t="s">
        <v>781</v>
      </c>
      <c r="AK2" s="33" t="s">
        <v>792</v>
      </c>
      <c r="AL2" s="33" t="s">
        <v>782</v>
      </c>
      <c r="AM2" s="33" t="s">
        <v>793</v>
      </c>
      <c r="AN2" s="33" t="s">
        <v>784</v>
      </c>
      <c r="AO2" s="33" t="s">
        <v>785</v>
      </c>
      <c r="AP2" s="34" t="s">
        <v>786</v>
      </c>
      <c r="AQ2" s="33" t="s">
        <v>787</v>
      </c>
      <c r="AR2" s="33" t="s">
        <v>788</v>
      </c>
      <c r="AS2" s="33" t="s">
        <v>794</v>
      </c>
      <c r="AT2" s="33" t="s">
        <v>776</v>
      </c>
      <c r="AU2" s="2" t="s">
        <v>790</v>
      </c>
      <c r="AV2" s="33" t="s">
        <v>778</v>
      </c>
      <c r="AW2" s="33" t="s">
        <v>779</v>
      </c>
      <c r="AX2" s="33" t="s">
        <v>781</v>
      </c>
      <c r="AY2" s="33" t="s">
        <v>795</v>
      </c>
      <c r="AZ2" s="33" t="s">
        <v>788</v>
      </c>
      <c r="BA2" s="33" t="s">
        <v>794</v>
      </c>
      <c r="BB2" s="33" t="s">
        <v>776</v>
      </c>
      <c r="BC2" s="33" t="s">
        <v>790</v>
      </c>
      <c r="BD2" s="29" t="s">
        <v>796</v>
      </c>
      <c r="BE2" s="29" t="s">
        <v>797</v>
      </c>
      <c r="BF2" s="35"/>
      <c r="BG2" s="35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</row>
    <row r="3" spans="1:75" ht="15.75" customHeight="1">
      <c r="A3" s="36">
        <v>1</v>
      </c>
      <c r="B3" s="37" t="s">
        <v>798</v>
      </c>
      <c r="C3" s="37" t="s">
        <v>799</v>
      </c>
      <c r="D3" s="38"/>
      <c r="E3" s="37" t="str">
        <f ca="1">IFERROR(__xludf.dummyfunction("index(split(D9,"".com/"",FALSE),1,2)"),"test")</f>
        <v>test</v>
      </c>
      <c r="F3" s="39">
        <f ca="1">COUNTIF(Оценки!$A$98:$J$137,A3)</f>
        <v>1</v>
      </c>
      <c r="G3" s="36">
        <f ca="1">COUNTIF(Оценки!$A$2:$J$97,A3)</f>
        <v>5</v>
      </c>
      <c r="H3" s="40" t="s">
        <v>800</v>
      </c>
      <c r="I3" s="40">
        <f ca="1">IFERROR(__xludf.dummyfunction("count(unique(filter(issues!B:B,issues!A:A=split(D3,""https://github.com/"",FALSE,TRUE))))"),0)</f>
        <v>0</v>
      </c>
      <c r="J3" s="40">
        <f ca="1">COUNTIFS(Оценки!$J$1:$J$97,A3,Оценки!$O$1:$O$97,"-")+COUNTIFS(Оценки!$J$1:$J$97,A3,Оценки!$P$1:$P$97,1)-COUNTIFS(Оценки!$J$1:$J$97,A3,Оценки!$O$1:$O$97,"-",Оценки!$P$1:$P$97,1)</f>
        <v>0</v>
      </c>
      <c r="K3" s="40">
        <v>1</v>
      </c>
      <c r="L3" s="40">
        <v>1</v>
      </c>
      <c r="M3" s="40">
        <v>1</v>
      </c>
      <c r="N3" s="40">
        <v>0</v>
      </c>
      <c r="O3" s="40">
        <f ca="1">IFERROR(__xludf.dummyfunction("if(counta(unique(filter('Оценки'!$R:$R,'Оценки'!$D:$D&lt;9000,'Оценки'!$J:$J=$A3)))&gt;1,1,0)"),1)</f>
        <v>1</v>
      </c>
      <c r="P3" s="40">
        <f t="shared" ref="P3:P21" ca="1" si="0">IF(SUM(K3:O3)&gt;4,4,SUM(K3:O3))</f>
        <v>4</v>
      </c>
      <c r="Q3" s="41" t="s">
        <v>801</v>
      </c>
      <c r="R3" s="42">
        <v>3</v>
      </c>
      <c r="S3" s="42">
        <v>3</v>
      </c>
      <c r="T3" s="42">
        <v>1</v>
      </c>
      <c r="U3" s="42">
        <v>1</v>
      </c>
      <c r="V3" s="42">
        <v>1</v>
      </c>
      <c r="W3" s="42">
        <v>0</v>
      </c>
      <c r="X3" s="42">
        <f ca="1">IFERROR(__xludf.dummyfunction("if(isna(filter(prs!A:Q,prs!A:A=E3)),0,COUNTUNIQUE(index(filter(prs!A:Q,prs!A:A=E3),,3)))"),34)</f>
        <v>34</v>
      </c>
      <c r="Y3" s="42">
        <f ca="1">IFERROR(__xludf.dummyfunction("if(isna(filter(prs!A:Q,prs!A:A=E3,prs!R:R&lt;&gt;""Empty field"")),0,COUNTUNIQUE(index(filter(prs!A:Q,prs!A:A=E3,prs!R:R&lt;&gt;""Empty field""),,3)))"),27)</f>
        <v>27</v>
      </c>
      <c r="Z3" s="42">
        <f ca="1">IFERROR(__xludf.dummyfunction("COUNTUNIQUE(index(filter(wikis!A:Q,wikis!A:A=E3,wikis!F:F&lt;&gt;""Страница удалена""),,5))"),10)</f>
        <v>10</v>
      </c>
      <c r="AA3" s="42">
        <v>1</v>
      </c>
      <c r="AB3" s="42">
        <v>1.8</v>
      </c>
      <c r="AC3" s="42">
        <f t="shared" ref="AC3:AC21" si="1">AA3+W3+ROUND(S3*0.75,0)</f>
        <v>3</v>
      </c>
      <c r="AD3" s="42">
        <f t="shared" ref="AD3:AD21" si="2">IF(R3/4+S3/3+AB3+T3*2+U3/2&gt;4,4,ROUND(R3/4+S3/3+AB3+T3*2+U3/2,1))</f>
        <v>4</v>
      </c>
      <c r="AE3" s="43" t="s">
        <v>802</v>
      </c>
      <c r="AF3" s="44"/>
      <c r="AG3" s="42">
        <v>3</v>
      </c>
      <c r="AH3" s="42">
        <v>3</v>
      </c>
      <c r="AI3" s="42">
        <v>1</v>
      </c>
      <c r="AJ3" s="42">
        <v>1</v>
      </c>
      <c r="AK3" s="42">
        <v>1</v>
      </c>
      <c r="AL3" s="42">
        <v>1</v>
      </c>
      <c r="AM3" s="42">
        <v>1</v>
      </c>
      <c r="AN3" s="42">
        <f ca="1">IFERROR(__xludf.dummyfunction("COUNTUNIQUE(index(filter(prs!A:Q,prs!A:A=E3,prs!G:G&gt;DATE(2024,3,28),prs!G:G&lt;DATE(2024,4,26)),,3))"),24)</f>
        <v>24</v>
      </c>
      <c r="AO3" s="42">
        <f ca="1">IFERROR(__xludf.dummyfunction("COUNTUNIQUE(index(filter(prs!A:Q,prs!A:A=E3,prs!R:R&lt;&gt;""Empty field"",prs!G:G&gt;DATE(2024,3,28),prs!G:G&lt;DATE(2024,4,26)),,3))"),18)</f>
        <v>18</v>
      </c>
      <c r="AP3" s="42">
        <f ca="1">IFERROR(__xludf.dummyfunction("COUNTUNIQUE(index(filter(wikis!A:Q,wikis!A:A=E3,wikis!F:F&lt;&gt;""Страница удалена"",wikis!D:D&gt;DATE(2024,3,28),wikis!D:D&lt;DATE(2024,4,26)),,5))"),3)</f>
        <v>3</v>
      </c>
      <c r="AQ3" s="42">
        <f ca="1">IF(COUNTIFS(Оценки!J$1:J$96,A3,Оценки!AF$1:AF$96,0,Оценки!AH$1:AH$96,0)&gt;0,0,1)</f>
        <v>1</v>
      </c>
      <c r="AR3" s="42">
        <v>1.8</v>
      </c>
      <c r="AS3" s="42">
        <f t="shared" ref="AS3:AS21" ca="1" si="3">MIN(5, ROUND((AH3 + AK3)*0.75 + AM3 + AQ3,1))</f>
        <v>5</v>
      </c>
      <c r="AT3" s="42">
        <f t="shared" ref="AT3:AT21" si="4">MIN(4,ROUND(AG3/4 + AR3 + AI3/2 + ROUNDDOWN(AJ3/2+AH3/3,0)/2 +AK3,1))</f>
        <v>4</v>
      </c>
      <c r="AU3" s="73" t="s">
        <v>803</v>
      </c>
      <c r="AV3" s="42">
        <v>3</v>
      </c>
      <c r="AW3" s="42">
        <v>3</v>
      </c>
      <c r="AX3" s="42">
        <v>1</v>
      </c>
      <c r="AY3" s="42">
        <v>1</v>
      </c>
      <c r="AZ3" s="42">
        <f ca="1">IFERROR(__xludf.dummyfunction("IMPORTRANGE(""https://docs.google.com/spreadsheets/d/1Qpj_hf8LjxMrhu4Irk7cPDnVUFEibWf_t5d1k7TN8O0"",""Лист1!K3:K21"")"),2.2)</f>
        <v>2.2000000000000002</v>
      </c>
      <c r="BA3" s="42">
        <f t="shared" ref="BA3:BA21" si="5">MIN(5,ROUND(AV3*0.75 + AW3/3 + AY3,1))</f>
        <v>4.3</v>
      </c>
      <c r="BB3" s="45">
        <f t="shared" ref="BB3:BB21" ca="1" si="6">MIN(4,ROUND(AZ3 + (AV3/4 + AW3/3 + (AX3+AY3)/2)/4,1))</f>
        <v>2.9</v>
      </c>
      <c r="BC3" s="46" t="s">
        <v>804</v>
      </c>
      <c r="BD3" s="47">
        <v>0</v>
      </c>
      <c r="BE3" s="47">
        <v>0</v>
      </c>
      <c r="BF3" s="47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 t="e">
        <v>#NAME?</v>
      </c>
    </row>
    <row r="4" spans="1:75" ht="15.75" customHeight="1">
      <c r="A4" s="36">
        <v>2</v>
      </c>
      <c r="B4" s="37" t="s">
        <v>805</v>
      </c>
      <c r="C4" s="37" t="s">
        <v>806</v>
      </c>
      <c r="D4" s="38"/>
      <c r="E4" s="37" t="str">
        <f ca="1">IFERROR(__xludf.dummyfunction("index(split(D10,"".com/"",FALSE),1,2)"),"test")</f>
        <v>test</v>
      </c>
      <c r="F4" s="39">
        <f ca="1">COUNTIF(Оценки!$A$98:$J$137,A4)</f>
        <v>2</v>
      </c>
      <c r="G4" s="36">
        <f ca="1">COUNTIF(Оценки!$A$2:$J$97,A4)</f>
        <v>5</v>
      </c>
      <c r="H4" s="40" t="s">
        <v>800</v>
      </c>
      <c r="I4" s="40">
        <v>4</v>
      </c>
      <c r="J4" s="40">
        <f ca="1">COUNTIFS(Оценки!$J$1:$J$97,A4,Оценки!$O$1:$O$97,"-")+COUNTIFS(Оценки!$J$1:$J$97,A4,Оценки!$P$1:$P$97,1)-COUNTIFS(Оценки!$J$1:$J$97,A4,Оценки!$O$1:$O$97,"-",Оценки!$P$1:$P$97,1)</f>
        <v>0</v>
      </c>
      <c r="K4" s="40">
        <v>1</v>
      </c>
      <c r="L4" s="40">
        <v>1</v>
      </c>
      <c r="M4" s="40">
        <v>1</v>
      </c>
      <c r="N4" s="40">
        <v>0</v>
      </c>
      <c r="O4" s="40">
        <f ca="1">IFERROR(__xludf.dummyfunction("if(counta(unique(filter('Оценки'!$R:$R,'Оценки'!$D:$D&lt;9000,'Оценки'!$J:$J=$A4)))&gt;1,1,0)"),0)</f>
        <v>0</v>
      </c>
      <c r="P4" s="40">
        <f t="shared" ca="1" si="0"/>
        <v>3</v>
      </c>
      <c r="Q4" s="41" t="s">
        <v>807</v>
      </c>
      <c r="R4" s="42">
        <v>2</v>
      </c>
      <c r="S4" s="42">
        <v>3</v>
      </c>
      <c r="T4" s="42">
        <v>0</v>
      </c>
      <c r="U4" s="42">
        <v>1</v>
      </c>
      <c r="V4" s="42">
        <v>1</v>
      </c>
      <c r="W4" s="42">
        <v>1</v>
      </c>
      <c r="X4" s="42">
        <v>23</v>
      </c>
      <c r="Y4" s="42">
        <v>19</v>
      </c>
      <c r="Z4" s="42">
        <v>0</v>
      </c>
      <c r="AA4" s="42">
        <v>1</v>
      </c>
      <c r="AB4" s="42">
        <v>1.4</v>
      </c>
      <c r="AC4" s="42">
        <f t="shared" si="1"/>
        <v>4</v>
      </c>
      <c r="AD4" s="42">
        <f t="shared" si="2"/>
        <v>3.4</v>
      </c>
      <c r="AE4" s="43" t="s">
        <v>808</v>
      </c>
      <c r="AF4" s="42"/>
      <c r="AG4" s="42">
        <v>2</v>
      </c>
      <c r="AH4" s="42">
        <v>3</v>
      </c>
      <c r="AI4" s="42">
        <v>0</v>
      </c>
      <c r="AJ4" s="42">
        <f>U4</f>
        <v>1</v>
      </c>
      <c r="AK4" s="42">
        <v>1</v>
      </c>
      <c r="AL4" s="42">
        <v>1</v>
      </c>
      <c r="AM4" s="42">
        <v>1</v>
      </c>
      <c r="AN4" s="42">
        <v>3</v>
      </c>
      <c r="AO4" s="42">
        <v>2</v>
      </c>
      <c r="AP4" s="42"/>
      <c r="AQ4" s="42">
        <f ca="1">IF(COUNTIFS(Оценки!J$1:J$96,A4,Оценки!AF$1:AF$96,0,Оценки!AH$1:AH$96,0)&gt;0,0,1)</f>
        <v>1</v>
      </c>
      <c r="AR4" s="42">
        <v>1.3</v>
      </c>
      <c r="AS4" s="42">
        <f t="shared" ca="1" si="3"/>
        <v>5</v>
      </c>
      <c r="AT4" s="42">
        <f t="shared" si="4"/>
        <v>3.3</v>
      </c>
      <c r="AU4" s="43" t="s">
        <v>809</v>
      </c>
      <c r="AV4" s="42">
        <v>1</v>
      </c>
      <c r="AW4" s="42">
        <v>3</v>
      </c>
      <c r="AX4" s="42">
        <f>AJ4</f>
        <v>1</v>
      </c>
      <c r="AY4" s="42">
        <v>1</v>
      </c>
      <c r="AZ4" s="42">
        <f ca="1">IFERROR(__xludf.dummyfunction("""COMPUTED_VALUE"""),2.2)</f>
        <v>2.2000000000000002</v>
      </c>
      <c r="BA4" s="42">
        <f t="shared" si="5"/>
        <v>2.8</v>
      </c>
      <c r="BB4" s="45">
        <f t="shared" ca="1" si="6"/>
        <v>2.8</v>
      </c>
      <c r="BC4" s="46" t="s">
        <v>810</v>
      </c>
      <c r="BD4" s="47">
        <v>7</v>
      </c>
      <c r="BE4" s="47">
        <v>0</v>
      </c>
      <c r="BF4" s="47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</row>
    <row r="5" spans="1:75" ht="15.75" customHeight="1">
      <c r="A5" s="36">
        <v>3</v>
      </c>
      <c r="B5" s="37" t="s">
        <v>798</v>
      </c>
      <c r="C5" s="37" t="s">
        <v>811</v>
      </c>
      <c r="D5" s="38"/>
      <c r="E5" s="37" t="str">
        <f ca="1">IFERROR(__xludf.dummyfunction("index(split(D9,"".com/"",FALSE),1,2)"),"test")</f>
        <v>test</v>
      </c>
      <c r="F5" s="39">
        <f ca="1">COUNTIF(Оценки!$A$98:$J$137,A5)</f>
        <v>1</v>
      </c>
      <c r="G5" s="36">
        <f ca="1">COUNTIF(Оценки!$A$2:$J$97,A5)</f>
        <v>5</v>
      </c>
      <c r="H5" s="40" t="s">
        <v>800</v>
      </c>
      <c r="I5" s="40">
        <f ca="1">IFERROR(__xludf.dummyfunction("count(unique(filter(issues!B:B,issues!A:A=split(D5,""https://github.com/"",FALSE,TRUE))))"),0)</f>
        <v>0</v>
      </c>
      <c r="J5" s="40">
        <f ca="1">COUNTIFS(Оценки!$J$1:$J$97,A5,Оценки!$O$1:$O$97,"-")+COUNTIFS(Оценки!$J$1:$J$97,A5,Оценки!$P$1:$P$97,1)-COUNTIFS(Оценки!$J$1:$J$97,A5,Оценки!$O$1:$O$97,"-",Оценки!$P$1:$P$97,1)</f>
        <v>0</v>
      </c>
      <c r="K5" s="40">
        <v>1</v>
      </c>
      <c r="L5" s="40">
        <v>1</v>
      </c>
      <c r="M5" s="40">
        <v>1</v>
      </c>
      <c r="N5" s="40">
        <v>0</v>
      </c>
      <c r="O5" s="40">
        <f ca="1">IFERROR(__xludf.dummyfunction("if(counta(unique(filter('Оценки'!$R:$R,'Оценки'!$D:$D&lt;9000,'Оценки'!$J:$J=$A5)))&gt;1,1,0)"),1)</f>
        <v>1</v>
      </c>
      <c r="P5" s="40">
        <f t="shared" ca="1" si="0"/>
        <v>4</v>
      </c>
      <c r="Q5" s="41" t="s">
        <v>801</v>
      </c>
      <c r="R5" s="42">
        <v>4</v>
      </c>
      <c r="S5" s="42">
        <v>2</v>
      </c>
      <c r="T5" s="42">
        <v>1</v>
      </c>
      <c r="U5" s="42">
        <v>1</v>
      </c>
      <c r="V5" s="42">
        <v>1</v>
      </c>
      <c r="W5" s="42">
        <v>1</v>
      </c>
      <c r="X5" s="42">
        <f ca="1">IFERROR(__xludf.dummyfunction("if(isna(filter(prs!A:Q,prs!A:A=E5)),0,COUNTUNIQUE(index(filter(prs!A:Q,prs!A:A=E5),,3)))"),151)</f>
        <v>151</v>
      </c>
      <c r="Y5" s="42">
        <f ca="1">IFERROR(__xludf.dummyfunction("if(isna(filter(prs!A:Q,prs!A:A=E5,prs!R:R&lt;&gt;""Empty field"")),0,COUNTUNIQUE(index(filter(prs!A:Q,prs!A:A=E5,prs!R:R&lt;&gt;""Empty field""),,3)))"),140)</f>
        <v>140</v>
      </c>
      <c r="Z5" s="42">
        <f ca="1">IFERROR(__xludf.dummyfunction("COUNTUNIQUE(index(filter(wikis!A:Q,wikis!A:A=E5,wikis!F:F&lt;&gt;""Страница удалена""),,5))"),22)</f>
        <v>22</v>
      </c>
      <c r="AA5" s="42">
        <v>1</v>
      </c>
      <c r="AB5" s="42">
        <v>1.5</v>
      </c>
      <c r="AC5" s="42">
        <f t="shared" si="1"/>
        <v>4</v>
      </c>
      <c r="AD5" s="42">
        <f t="shared" si="2"/>
        <v>4</v>
      </c>
      <c r="AE5" s="43" t="s">
        <v>812</v>
      </c>
      <c r="AF5" s="42"/>
      <c r="AG5" s="42">
        <v>4</v>
      </c>
      <c r="AH5" s="42">
        <v>3</v>
      </c>
      <c r="AI5" s="42">
        <v>1</v>
      </c>
      <c r="AJ5" s="42">
        <f>U5</f>
        <v>1</v>
      </c>
      <c r="AK5" s="42">
        <v>1</v>
      </c>
      <c r="AL5" s="42">
        <v>1</v>
      </c>
      <c r="AM5" s="42">
        <v>1</v>
      </c>
      <c r="AN5" s="42">
        <f ca="1">IFERROR(__xludf.dummyfunction("COUNTUNIQUE(index(filter(prs!A:Q,prs!A:A=E5,prs!G:G&gt;DATE(2024,3,28),prs!G:G&lt;DATE(2024,4,26)),,3))"),84)</f>
        <v>84</v>
      </c>
      <c r="AO5" s="42">
        <f ca="1">IFERROR(__xludf.dummyfunction("COUNTUNIQUE(index(filter(prs!A:Q,prs!A:A=E5,prs!R:R&lt;&gt;""Empty field"",prs!G:G&gt;DATE(2024,3,28),prs!G:G&lt;DATE(2024,4,26)),,3))"),78)</f>
        <v>78</v>
      </c>
      <c r="AP5" s="42">
        <f ca="1">IFERROR(__xludf.dummyfunction("COUNTUNIQUE(index(filter(wikis!A:Q,wikis!A:A=E5,wikis!F:F&lt;&gt;""Страница удалена"",wikis!D:D&gt;DATE(2024,3,28),wikis!D:D&lt;DATE(2024,4,26)),,5))"),4)</f>
        <v>4</v>
      </c>
      <c r="AQ5" s="42">
        <f ca="1">IF(COUNTIFS(Оценки!J$1:J$96,A5,Оценки!AF$1:AF$96,0,Оценки!AH$1:AH$96,0)&gt;0,0,1)</f>
        <v>1</v>
      </c>
      <c r="AR5" s="42">
        <v>1.8</v>
      </c>
      <c r="AS5" s="42">
        <f t="shared" ca="1" si="3"/>
        <v>5</v>
      </c>
      <c r="AT5" s="42">
        <f t="shared" si="4"/>
        <v>4</v>
      </c>
      <c r="AU5" s="43" t="s">
        <v>813</v>
      </c>
      <c r="AV5" s="42">
        <v>4</v>
      </c>
      <c r="AW5" s="42">
        <v>3</v>
      </c>
      <c r="AX5" s="42">
        <f>AJ5</f>
        <v>1</v>
      </c>
      <c r="AY5" s="42">
        <v>1</v>
      </c>
      <c r="AZ5" s="42">
        <f ca="1">IFERROR(__xludf.dummyfunction("""COMPUTED_VALUE"""),4)</f>
        <v>4</v>
      </c>
      <c r="BA5" s="42">
        <f t="shared" si="5"/>
        <v>5</v>
      </c>
      <c r="BB5" s="45">
        <f t="shared" ca="1" si="6"/>
        <v>4</v>
      </c>
      <c r="BC5" s="46" t="s">
        <v>814</v>
      </c>
      <c r="BD5" s="47">
        <v>6</v>
      </c>
      <c r="BE5" s="47">
        <v>10</v>
      </c>
      <c r="BF5" s="47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</row>
    <row r="6" spans="1:75" ht="15.75" customHeight="1">
      <c r="A6" s="36">
        <v>4</v>
      </c>
      <c r="B6" s="37" t="s">
        <v>798</v>
      </c>
      <c r="C6" s="37" t="s">
        <v>815</v>
      </c>
      <c r="D6" s="38"/>
      <c r="E6" s="37" t="str">
        <f ca="1">IFERROR(__xludf.dummyfunction("index(split(D10,"".com/"",FALSE),1,2)"),"test")</f>
        <v>test</v>
      </c>
      <c r="F6" s="39">
        <f ca="1">COUNTIF(Оценки!$A$98:$J$137,A6)</f>
        <v>2</v>
      </c>
      <c r="G6" s="36">
        <f ca="1">COUNTIF(Оценки!$A$2:$J$97,A6)</f>
        <v>5</v>
      </c>
      <c r="H6" s="40" t="s">
        <v>800</v>
      </c>
      <c r="I6" s="40">
        <f ca="1">IFERROR(__xludf.dummyfunction("count(unique(filter(issues!B:B,issues!A:A=split(D6,""https://github.com/"",FALSE,TRUE))))"),0)</f>
        <v>0</v>
      </c>
      <c r="J6" s="40">
        <f ca="1">COUNTIFS(Оценки!$J$1:$J$97,A6,Оценки!$O$1:$O$97,"-")+COUNTIFS(Оценки!$J$1:$J$97,A6,Оценки!$P$1:$P$97,1)-COUNTIFS(Оценки!$J$1:$J$97,A6,Оценки!$O$1:$O$97,"-",Оценки!$P$1:$P$97,1)</f>
        <v>0</v>
      </c>
      <c r="K6" s="40">
        <v>1</v>
      </c>
      <c r="L6" s="40">
        <v>1</v>
      </c>
      <c r="M6" s="40">
        <v>1</v>
      </c>
      <c r="N6" s="40">
        <v>0</v>
      </c>
      <c r="O6" s="40">
        <f ca="1">IFERROR(__xludf.dummyfunction("if(counta(unique(filter('Оценки'!$R:$R,'Оценки'!$D:$D&lt;9000,'Оценки'!$J:$J=$A6)))&gt;1,1,0)"),1)</f>
        <v>1</v>
      </c>
      <c r="P6" s="40">
        <f t="shared" ca="1" si="0"/>
        <v>4</v>
      </c>
      <c r="Q6" s="41" t="s">
        <v>816</v>
      </c>
      <c r="R6" s="42">
        <v>4</v>
      </c>
      <c r="S6" s="42">
        <v>2</v>
      </c>
      <c r="T6" s="42">
        <v>0</v>
      </c>
      <c r="U6" s="42">
        <v>1</v>
      </c>
      <c r="V6" s="42">
        <v>1</v>
      </c>
      <c r="W6" s="42">
        <v>1</v>
      </c>
      <c r="X6" s="42">
        <f ca="1">IFERROR(__xludf.dummyfunction("if(isna(filter(prs!A:Q,prs!A:A=E6)),0,COUNTUNIQUE(index(filter(prs!A:Q,prs!A:A=E6),,3)))"),123)</f>
        <v>123</v>
      </c>
      <c r="Y6" s="42">
        <f ca="1">IFERROR(__xludf.dummyfunction("if(isna(filter(prs!A:Q,prs!A:A=E6,prs!R:R&lt;&gt;""Empty field"")),0,COUNTUNIQUE(index(filter(prs!A:Q,prs!A:A=E6,prs!R:R&lt;&gt;""Empty field""),,3)))"),120)</f>
        <v>120</v>
      </c>
      <c r="Z6" s="42">
        <f ca="1">IFERROR(__xludf.dummyfunction("COUNTUNIQUE(index(filter(wikis!A:Q,wikis!A:A=E6,wikis!F:F&lt;&gt;""Страница удалена""),,5))"),16)</f>
        <v>16</v>
      </c>
      <c r="AA6" s="42">
        <v>1</v>
      </c>
      <c r="AB6" s="42">
        <v>0.4</v>
      </c>
      <c r="AC6" s="42">
        <f t="shared" si="1"/>
        <v>4</v>
      </c>
      <c r="AD6" s="42">
        <f t="shared" si="2"/>
        <v>2.6</v>
      </c>
      <c r="AE6" s="43" t="s">
        <v>817</v>
      </c>
      <c r="AF6" s="42"/>
      <c r="AG6" s="42">
        <v>4</v>
      </c>
      <c r="AH6" s="42">
        <v>3</v>
      </c>
      <c r="AI6" s="42">
        <v>0</v>
      </c>
      <c r="AJ6" s="42">
        <f>U6</f>
        <v>1</v>
      </c>
      <c r="AK6" s="42">
        <v>1</v>
      </c>
      <c r="AL6" s="42">
        <v>1</v>
      </c>
      <c r="AM6" s="42">
        <v>1</v>
      </c>
      <c r="AN6" s="42">
        <f ca="1">IFERROR(__xludf.dummyfunction("COUNTUNIQUE(index(filter(prs!A:Q,prs!A:A=E6,prs!G:G&gt;DATE(2024,3,28),prs!G:G&lt;DATE(2024,4,26)),,3))"),76)</f>
        <v>76</v>
      </c>
      <c r="AO6" s="42">
        <f ca="1">IFERROR(__xludf.dummyfunction("COUNTUNIQUE(index(filter(prs!A:Q,prs!A:A=E6,prs!R:R&lt;&gt;""Empty field"",prs!G:G&gt;DATE(2024,3,28),prs!G:G&lt;DATE(2024,4,26)),,3))"),75)</f>
        <v>75</v>
      </c>
      <c r="AP6" s="42">
        <f ca="1">IFERROR(__xludf.dummyfunction("COUNTUNIQUE(index(filter(wikis!A:Q,wikis!A:A=E6,wikis!F:F&lt;&gt;""Страница удалена"",wikis!D:D&gt;DATE(2024,3,28),wikis!D:D&lt;DATE(2024,4,26)),,5))"),5)</f>
        <v>5</v>
      </c>
      <c r="AQ6" s="42">
        <f ca="1">IF(COUNTIFS(Оценки!J$1:J$96,A6,Оценки!AF$1:AF$96,0,Оценки!AH$1:AH$96,0)&gt;0,0,1)</f>
        <v>1</v>
      </c>
      <c r="AR6" s="42">
        <v>1.4</v>
      </c>
      <c r="AS6" s="42">
        <f t="shared" ca="1" si="3"/>
        <v>5</v>
      </c>
      <c r="AT6" s="42">
        <f t="shared" si="4"/>
        <v>3.9</v>
      </c>
      <c r="AU6" s="43"/>
      <c r="AV6" s="42">
        <v>3</v>
      </c>
      <c r="AW6" s="42">
        <v>3</v>
      </c>
      <c r="AX6" s="42">
        <f>AJ6</f>
        <v>1</v>
      </c>
      <c r="AY6" s="42">
        <v>1</v>
      </c>
      <c r="AZ6" s="42">
        <f ca="1">IFERROR(__xludf.dummyfunction("""COMPUTED_VALUE"""),1.8)</f>
        <v>1.8</v>
      </c>
      <c r="BA6" s="42">
        <f t="shared" si="5"/>
        <v>4.3</v>
      </c>
      <c r="BB6" s="45">
        <f t="shared" ca="1" si="6"/>
        <v>2.5</v>
      </c>
      <c r="BC6" s="46" t="s">
        <v>804</v>
      </c>
      <c r="BD6" s="47">
        <v>2</v>
      </c>
      <c r="BE6" s="47">
        <v>0</v>
      </c>
      <c r="BF6" s="47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</row>
    <row r="7" spans="1:75" ht="15.75" customHeight="1">
      <c r="A7" s="36">
        <v>5</v>
      </c>
      <c r="B7" s="37" t="s">
        <v>818</v>
      </c>
      <c r="C7" s="37" t="s">
        <v>819</v>
      </c>
      <c r="D7" s="38"/>
      <c r="E7" s="37" t="str">
        <f ca="1">IFERROR(__xludf.dummyfunction("index(split(D9,"".com/"",FALSE),1,2)"),"test")</f>
        <v>test</v>
      </c>
      <c r="F7" s="39">
        <f ca="1">COUNTIF(Оценки!$A$98:$J$137,A7)</f>
        <v>1</v>
      </c>
      <c r="G7" s="36">
        <f ca="1">COUNTIF(Оценки!$A$2:$J$97,A7)</f>
        <v>5</v>
      </c>
      <c r="H7" s="40" t="s">
        <v>800</v>
      </c>
      <c r="I7" s="40">
        <f ca="1">IFERROR(__xludf.dummyfunction("count(unique(filter(issues!B:B,issues!A:A=split(D7,""https://github.com/"",FALSE,TRUE))))"),0)</f>
        <v>0</v>
      </c>
      <c r="J7" s="40">
        <f ca="1">COUNTIFS(Оценки!$J$1:$J$97,A7,Оценки!$O$1:$O$97,"-")+COUNTIFS(Оценки!$J$1:$J$97,A7,Оценки!$P$1:$P$97,1)-COUNTIFS(Оценки!$J$1:$J$97,A7,Оценки!$O$1:$O$97,"-",Оценки!$P$1:$P$97,1)</f>
        <v>0</v>
      </c>
      <c r="K7" s="40">
        <v>1</v>
      </c>
      <c r="L7" s="40">
        <v>1</v>
      </c>
      <c r="M7" s="40">
        <v>1</v>
      </c>
      <c r="N7" s="40">
        <v>1</v>
      </c>
      <c r="O7" s="40">
        <f ca="1">IFERROR(__xludf.dummyfunction("if(counta(unique(filter('Оценки'!$R:$R,'Оценки'!$D:$D&lt;9000,'Оценки'!$J:$J=$A7)))&gt;1,1,0)"),0)</f>
        <v>0</v>
      </c>
      <c r="P7" s="40">
        <f t="shared" ca="1" si="0"/>
        <v>4</v>
      </c>
      <c r="Q7" s="41" t="s">
        <v>820</v>
      </c>
      <c r="R7" s="42">
        <v>4</v>
      </c>
      <c r="S7" s="42">
        <v>0</v>
      </c>
      <c r="T7" s="42">
        <v>0</v>
      </c>
      <c r="U7" s="42">
        <v>1</v>
      </c>
      <c r="V7" s="42">
        <v>1</v>
      </c>
      <c r="W7" s="42">
        <v>1</v>
      </c>
      <c r="X7" s="42">
        <f ca="1">IFERROR(__xludf.dummyfunction("if(isna(filter(prs!A:Q,prs!A:A=E7)),0,COUNTUNIQUE(index(filter(prs!A:Q,prs!A:A=E7),,3)))"),82)</f>
        <v>82</v>
      </c>
      <c r="Y7" s="42">
        <f ca="1">IFERROR(__xludf.dummyfunction("if(isna(filter(prs!A:Q,prs!A:A=E7,prs!R:R&lt;&gt;""Empty field"")),0,COUNTUNIQUE(index(filter(prs!A:Q,prs!A:A=E7,prs!R:R&lt;&gt;""Empty field""),,3)))"),69)</f>
        <v>69</v>
      </c>
      <c r="Z7" s="42">
        <f ca="1">IFERROR(__xludf.dummyfunction("COUNTUNIQUE(index(filter(wikis!A:Q,wikis!A:A=E7,wikis!F:F&lt;&gt;""Страница удалена""),,5))"),20)</f>
        <v>20</v>
      </c>
      <c r="AA7" s="42">
        <v>1</v>
      </c>
      <c r="AB7" s="42">
        <v>1.8</v>
      </c>
      <c r="AC7" s="42">
        <f t="shared" si="1"/>
        <v>2</v>
      </c>
      <c r="AD7" s="42">
        <f t="shared" si="2"/>
        <v>3.3</v>
      </c>
      <c r="AE7" s="43" t="s">
        <v>821</v>
      </c>
      <c r="AF7" s="42"/>
      <c r="AG7" s="42">
        <v>4</v>
      </c>
      <c r="AH7" s="42">
        <v>3</v>
      </c>
      <c r="AI7" s="42">
        <v>1</v>
      </c>
      <c r="AJ7" s="42">
        <v>1</v>
      </c>
      <c r="AK7" s="42">
        <v>0</v>
      </c>
      <c r="AL7" s="42">
        <v>1</v>
      </c>
      <c r="AM7" s="42">
        <v>1</v>
      </c>
      <c r="AN7" s="42">
        <f ca="1">IFERROR(__xludf.dummyfunction("COUNTUNIQUE(index(filter(prs!A:Q,prs!A:A=E7,prs!G:G&gt;DATE(2024,3,28),prs!G:G&lt;DATE(2024,4,26)),,3))"),58)</f>
        <v>58</v>
      </c>
      <c r="AO7" s="42">
        <f ca="1">IFERROR(__xludf.dummyfunction("COUNTUNIQUE(index(filter(prs!A:Q,prs!A:A=E7,prs!R:R&lt;&gt;""Empty field"",prs!G:G&gt;DATE(2024,3,28),prs!G:G&lt;DATE(2024,4,26)),,3))"),48)</f>
        <v>48</v>
      </c>
      <c r="AP7" s="42">
        <f ca="1">IFERROR(__xludf.dummyfunction("COUNTUNIQUE(index(filter(wikis!A:Q,wikis!A:A=E7,wikis!F:F&lt;&gt;""Страница удалена"",wikis!D:D&gt;DATE(2024,3,28),wikis!D:D&lt;DATE(2024,4,26)),,5))"),8)</f>
        <v>8</v>
      </c>
      <c r="AQ7" s="42">
        <f ca="1">IF(COUNTIFS(Оценки!J$1:J$96,A7,Оценки!AF$1:AF$96,0,Оценки!AH$1:AH$96,0)&gt;0,0,1)</f>
        <v>1</v>
      </c>
      <c r="AR7" s="42">
        <v>1.5</v>
      </c>
      <c r="AS7" s="42">
        <f t="shared" ca="1" si="3"/>
        <v>4.3</v>
      </c>
      <c r="AT7" s="42">
        <f t="shared" si="4"/>
        <v>3.5</v>
      </c>
      <c r="AU7" s="43"/>
      <c r="AV7" s="42">
        <v>3</v>
      </c>
      <c r="AW7" s="42">
        <v>3</v>
      </c>
      <c r="AX7" s="42">
        <v>1</v>
      </c>
      <c r="AY7" s="42">
        <v>1</v>
      </c>
      <c r="AZ7" s="42">
        <f ca="1">IFERROR(__xludf.dummyfunction("""COMPUTED_VALUE"""),2)</f>
        <v>2</v>
      </c>
      <c r="BA7" s="42">
        <f t="shared" si="5"/>
        <v>4.3</v>
      </c>
      <c r="BB7" s="45">
        <f t="shared" ca="1" si="6"/>
        <v>2.7</v>
      </c>
      <c r="BC7" s="46" t="s">
        <v>804</v>
      </c>
      <c r="BD7" s="47">
        <v>0</v>
      </c>
      <c r="BE7" s="47">
        <v>0</v>
      </c>
      <c r="BF7" s="47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</row>
    <row r="8" spans="1:75" ht="15.75" customHeight="1">
      <c r="A8" s="36">
        <v>6</v>
      </c>
      <c r="B8" s="37" t="s">
        <v>818</v>
      </c>
      <c r="C8" s="37" t="s">
        <v>822</v>
      </c>
      <c r="D8" s="38"/>
      <c r="E8" s="37" t="str">
        <f ca="1">IFERROR(__xludf.dummyfunction("index(split(D10,"".com/"",FALSE),1,2)"),"test")</f>
        <v>test</v>
      </c>
      <c r="F8" s="39">
        <f ca="1">COUNTIF(Оценки!$A$98:$J$137,A8)</f>
        <v>2</v>
      </c>
      <c r="G8" s="36">
        <f ca="1">COUNTIF(Оценки!$A$2:$J$97,A8)</f>
        <v>5</v>
      </c>
      <c r="H8" s="40" t="s">
        <v>800</v>
      </c>
      <c r="I8" s="40">
        <f ca="1">IFERROR(__xludf.dummyfunction("count(unique(filter(issues!B:B,issues!A:A=split(D8,""https://github.com/"",FALSE,TRUE))))"),0)</f>
        <v>0</v>
      </c>
      <c r="J8" s="40">
        <f ca="1">COUNTIFS(Оценки!$J$1:$J$97,A8,Оценки!$O$1:$O$97,"-")+COUNTIFS(Оценки!$J$1:$J$97,A8,Оценки!$P$1:$P$97,1)-COUNTIFS(Оценки!$J$1:$J$97,A8,Оценки!$O$1:$O$97,"-",Оценки!$P$1:$P$97,1)</f>
        <v>0</v>
      </c>
      <c r="K8" s="40">
        <v>1</v>
      </c>
      <c r="L8" s="40">
        <v>1</v>
      </c>
      <c r="M8" s="40">
        <v>1</v>
      </c>
      <c r="N8" s="40">
        <v>0</v>
      </c>
      <c r="O8" s="40">
        <f ca="1">IFERROR(__xludf.dummyfunction("if(counta(unique(filter('Оценки'!$R:$R,'Оценки'!$D:$D&lt;9000,'Оценки'!$J:$J=$A8)))&gt;1,1,0)"),1)</f>
        <v>1</v>
      </c>
      <c r="P8" s="40">
        <f t="shared" ca="1" si="0"/>
        <v>4</v>
      </c>
      <c r="Q8" s="41" t="s">
        <v>823</v>
      </c>
      <c r="R8" s="42">
        <v>3</v>
      </c>
      <c r="S8" s="42">
        <v>2</v>
      </c>
      <c r="T8" s="42">
        <v>0</v>
      </c>
      <c r="U8" s="42">
        <v>1</v>
      </c>
      <c r="V8" s="42">
        <v>1</v>
      </c>
      <c r="W8" s="42">
        <v>0</v>
      </c>
      <c r="X8" s="42">
        <f ca="1">IFERROR(__xludf.dummyfunction("if(isna(filter(prs!A:Q,prs!A:A=E8)),0,COUNTUNIQUE(index(filter(prs!A:Q,prs!A:A=E8),,3)))"),75)</f>
        <v>75</v>
      </c>
      <c r="Y8" s="42">
        <f ca="1">IFERROR(__xludf.dummyfunction("if(isna(filter(prs!A:Q,prs!A:A=E8,prs!R:R&lt;&gt;""Empty field"")),0,COUNTUNIQUE(index(filter(prs!A:Q,prs!A:A=E8,prs!R:R&lt;&gt;""Empty field""),,3)))"),74)</f>
        <v>74</v>
      </c>
      <c r="Z8" s="42">
        <f ca="1">IFERROR(__xludf.dummyfunction("COUNTUNIQUE(index(filter(wikis!A:Q,wikis!A:A=E8,wikis!F:F&lt;&gt;""Страница удалена""),,5))"),6)</f>
        <v>6</v>
      </c>
      <c r="AA8" s="42">
        <v>1</v>
      </c>
      <c r="AB8" s="42">
        <v>1.3</v>
      </c>
      <c r="AC8" s="42">
        <f t="shared" si="1"/>
        <v>3</v>
      </c>
      <c r="AD8" s="42">
        <f t="shared" si="2"/>
        <v>3.2</v>
      </c>
      <c r="AE8" s="43" t="s">
        <v>824</v>
      </c>
      <c r="AF8" s="42"/>
      <c r="AG8" s="42">
        <v>2</v>
      </c>
      <c r="AH8" s="42">
        <v>1</v>
      </c>
      <c r="AI8" s="42">
        <v>1</v>
      </c>
      <c r="AJ8" s="42">
        <f>U8</f>
        <v>1</v>
      </c>
      <c r="AK8" s="42">
        <v>1</v>
      </c>
      <c r="AL8" s="42">
        <v>1</v>
      </c>
      <c r="AM8" s="42">
        <v>1</v>
      </c>
      <c r="AN8" s="42">
        <f ca="1">IFERROR(__xludf.dummyfunction("COUNTUNIQUE(index(filter(prs!A:Q,prs!A:A=E8,prs!G:G&gt;DATE(2024,3,28),prs!G:G&lt;DATE(2024,4,26)),,3))"),28)</f>
        <v>28</v>
      </c>
      <c r="AO8" s="42">
        <f ca="1">IFERROR(__xludf.dummyfunction("COUNTUNIQUE(index(filter(prs!A:Q,prs!A:A=E8,prs!R:R&lt;&gt;""Empty field"",prs!G:G&gt;DATE(2024,3,28),prs!G:G&lt;DATE(2024,4,26)),,3))"),28)</f>
        <v>28</v>
      </c>
      <c r="AP8" s="42">
        <f ca="1">IFERROR(__xludf.dummyfunction("COUNTUNIQUE(index(filter(wikis!A:Q,wikis!A:A=E8,wikis!F:F&lt;&gt;""Страница удалена"",wikis!D:D&gt;DATE(2024,3,28),wikis!D:D&lt;DATE(2024,4,26)),,5))"),1)</f>
        <v>1</v>
      </c>
      <c r="AQ8" s="42">
        <f ca="1">IF(COUNTIFS(Оценки!J$1:J$96,A8,Оценки!AF$1:AF$96,0,Оценки!AH$1:AH$96,0)&gt;0,0,1)</f>
        <v>1</v>
      </c>
      <c r="AR8" s="42">
        <v>1.7</v>
      </c>
      <c r="AS8" s="42">
        <f t="shared" ca="1" si="3"/>
        <v>3.5</v>
      </c>
      <c r="AT8" s="42">
        <f t="shared" si="4"/>
        <v>3.7</v>
      </c>
      <c r="AU8" s="43" t="s">
        <v>825</v>
      </c>
      <c r="AV8" s="42">
        <v>1</v>
      </c>
      <c r="AW8" s="42">
        <v>3</v>
      </c>
      <c r="AX8" s="42">
        <f>AJ8</f>
        <v>1</v>
      </c>
      <c r="AY8" s="42">
        <v>1</v>
      </c>
      <c r="AZ8" s="42">
        <f ca="1">IFERROR(__xludf.dummyfunction("""COMPUTED_VALUE"""),2.4)</f>
        <v>2.4</v>
      </c>
      <c r="BA8" s="42">
        <f t="shared" si="5"/>
        <v>2.8</v>
      </c>
      <c r="BB8" s="45">
        <f t="shared" ca="1" si="6"/>
        <v>3</v>
      </c>
      <c r="BC8" s="46" t="s">
        <v>826</v>
      </c>
      <c r="BD8" s="47">
        <v>1</v>
      </c>
      <c r="BE8" s="47">
        <v>10</v>
      </c>
      <c r="BF8" s="47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</row>
    <row r="9" spans="1:75" ht="15.75" customHeight="1">
      <c r="A9" s="36">
        <v>7</v>
      </c>
      <c r="B9" s="37" t="s">
        <v>827</v>
      </c>
      <c r="C9" s="37" t="s">
        <v>828</v>
      </c>
      <c r="D9" s="38"/>
      <c r="E9" s="37" t="str">
        <f ca="1">IFERROR(__xludf.dummyfunction("index(split(D9,"".com/"",FALSE),1,2)"),"test")</f>
        <v>test</v>
      </c>
      <c r="F9" s="39">
        <f ca="1">COUNTIF(Оценки!$A$98:$J$137,A9)</f>
        <v>1</v>
      </c>
      <c r="G9" s="36">
        <f ca="1">COUNTIF(Оценки!$A$2:$J$97,A9)</f>
        <v>4</v>
      </c>
      <c r="H9" s="40" t="s">
        <v>829</v>
      </c>
      <c r="I9" s="40">
        <f ca="1">IFERROR(__xludf.dummyfunction("count(unique(filter(issues!B:B,issues!A:A=split(D9,""https://github.com/"",FALSE,TRUE))))"),0)</f>
        <v>0</v>
      </c>
      <c r="J9" s="40">
        <f ca="1">COUNTIFS(Оценки!$J$1:$J$97,A9,Оценки!$O$1:$O$97,"-")+COUNTIFS(Оценки!$J$1:$J$97,A9,Оценки!$P$1:$P$97,1)-COUNTIFS(Оценки!$J$1:$J$97,A9,Оценки!$O$1:$O$97,"-",Оценки!$P$1:$P$97,1)</f>
        <v>0</v>
      </c>
      <c r="K9" s="40">
        <v>1</v>
      </c>
      <c r="L9" s="40">
        <v>1</v>
      </c>
      <c r="M9" s="40">
        <v>1</v>
      </c>
      <c r="N9" s="40">
        <v>1</v>
      </c>
      <c r="O9" s="40">
        <f ca="1">IFERROR(__xludf.dummyfunction("if(counta(unique(filter('Оценки'!$R:$R,'Оценки'!$D:$D&lt;9000,'Оценки'!$J:$J=$A9)))&gt;1,1,0)"),1)</f>
        <v>1</v>
      </c>
      <c r="P9" s="40">
        <f t="shared" ca="1" si="0"/>
        <v>4</v>
      </c>
      <c r="Q9" s="41" t="s">
        <v>830</v>
      </c>
      <c r="R9" s="42">
        <v>4</v>
      </c>
      <c r="S9" s="42">
        <v>1</v>
      </c>
      <c r="T9" s="42">
        <v>0</v>
      </c>
      <c r="U9" s="42">
        <v>1</v>
      </c>
      <c r="V9" s="42">
        <v>1</v>
      </c>
      <c r="W9" s="42">
        <v>1</v>
      </c>
      <c r="X9" s="42">
        <f ca="1">IFERROR(__xludf.dummyfunction("if(isna(filter(prs!A:Q,prs!A:A=E9)),0,COUNTUNIQUE(index(filter(prs!A:Q,prs!A:A=E9),,3)))"),59)</f>
        <v>59</v>
      </c>
      <c r="Y9" s="42">
        <f ca="1">IFERROR(__xludf.dummyfunction("if(isna(filter(prs!A:Q,prs!A:A=E9,prs!R:R&lt;&gt;""Empty field"")),0,COUNTUNIQUE(index(filter(prs!A:Q,prs!A:A=E9,prs!R:R&lt;&gt;""Empty field""),,3)))"),36)</f>
        <v>36</v>
      </c>
      <c r="Z9" s="42">
        <f ca="1">IFERROR(__xludf.dummyfunction("COUNTUNIQUE(index(filter(wikis!A:Q,wikis!A:A=E9,wikis!F:F&lt;&gt;""Страница удалена""),,5))"),1)</f>
        <v>1</v>
      </c>
      <c r="AA9" s="42">
        <v>1</v>
      </c>
      <c r="AB9" s="42">
        <v>2</v>
      </c>
      <c r="AC9" s="42">
        <f t="shared" si="1"/>
        <v>3</v>
      </c>
      <c r="AD9" s="42">
        <f t="shared" si="2"/>
        <v>3.8</v>
      </c>
      <c r="AE9" s="43" t="s">
        <v>831</v>
      </c>
      <c r="AF9" s="42"/>
      <c r="AG9" s="42">
        <v>2</v>
      </c>
      <c r="AH9" s="42">
        <v>3</v>
      </c>
      <c r="AI9" s="42">
        <v>1</v>
      </c>
      <c r="AJ9" s="42">
        <v>1</v>
      </c>
      <c r="AK9" s="42">
        <v>1</v>
      </c>
      <c r="AL9" s="42">
        <v>1</v>
      </c>
      <c r="AM9" s="42">
        <v>1</v>
      </c>
      <c r="AN9" s="42">
        <f ca="1">IFERROR(__xludf.dummyfunction("COUNTUNIQUE(index(filter(prs!A:Q,prs!A:A=E9,prs!G:G&gt;DATE(2024,3,28),prs!G:G&lt;DATE(2024,4,26)),,3))"),24)</f>
        <v>24</v>
      </c>
      <c r="AO9" s="42">
        <f ca="1">IFERROR(__xludf.dummyfunction("COUNTUNIQUE(index(filter(prs!A:Q,prs!A:A=E9,prs!R:R&lt;&gt;""Empty field"",prs!G:G&gt;DATE(2024,3,28),prs!G:G&lt;DATE(2024,4,26)),,3))"),18)</f>
        <v>18</v>
      </c>
      <c r="AP9" s="42"/>
      <c r="AQ9" s="42">
        <f ca="1">IF(COUNTIFS(Оценки!J$1:J$96,A9,Оценки!AF$1:AF$96,0,Оценки!AH$1:AH$96,0)&gt;0,0,1)</f>
        <v>1</v>
      </c>
      <c r="AR9" s="42">
        <v>1.8</v>
      </c>
      <c r="AS9" s="42">
        <f t="shared" ca="1" si="3"/>
        <v>5</v>
      </c>
      <c r="AT9" s="42">
        <f t="shared" si="4"/>
        <v>4</v>
      </c>
      <c r="AU9" s="43" t="s">
        <v>832</v>
      </c>
      <c r="AV9" s="42">
        <v>4</v>
      </c>
      <c r="AW9" s="42">
        <v>3</v>
      </c>
      <c r="AX9" s="42">
        <v>1</v>
      </c>
      <c r="AY9" s="42">
        <v>1</v>
      </c>
      <c r="AZ9" s="42">
        <f ca="1">IFERROR(__xludf.dummyfunction("""COMPUTED_VALUE"""),3.6)</f>
        <v>3.6</v>
      </c>
      <c r="BA9" s="42">
        <f t="shared" si="5"/>
        <v>5</v>
      </c>
      <c r="BB9" s="45">
        <f t="shared" ca="1" si="6"/>
        <v>4</v>
      </c>
      <c r="BC9" s="46"/>
      <c r="BD9" s="47">
        <v>7</v>
      </c>
      <c r="BE9" s="47">
        <v>0</v>
      </c>
      <c r="BF9" s="47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</row>
    <row r="10" spans="1:75" ht="15.75" customHeight="1">
      <c r="A10" s="36">
        <v>8</v>
      </c>
      <c r="B10" s="37" t="s">
        <v>833</v>
      </c>
      <c r="C10" s="37" t="s">
        <v>834</v>
      </c>
      <c r="D10" s="38"/>
      <c r="E10" s="37" t="str">
        <f ca="1">IFERROR(__xludf.dummyfunction("index(split(D10,"".com/"",FALSE),1,2)"),"test")</f>
        <v>test</v>
      </c>
      <c r="F10" s="39">
        <f ca="1">COUNTIF(Оценки!$A$98:$J$137,A10)</f>
        <v>1</v>
      </c>
      <c r="G10" s="36">
        <f ca="1">COUNTIF(Оценки!$A$2:$J$97,A10)</f>
        <v>5</v>
      </c>
      <c r="H10" s="40" t="s">
        <v>800</v>
      </c>
      <c r="I10" s="40">
        <f ca="1">IFERROR(__xludf.dummyfunction("count(unique(filter(issues!B:B,issues!A:A=split(D10,""https://github.com/"",FALSE,TRUE))))"),0)</f>
        <v>0</v>
      </c>
      <c r="J10" s="40">
        <f ca="1">COUNTIFS(Оценки!$J$1:$J$97,A10,Оценки!$O$1:$O$97,"-")+COUNTIFS(Оценки!$J$1:$J$97,A10,Оценки!$P$1:$P$97,1)-COUNTIFS(Оценки!$J$1:$J$97,A10,Оценки!$O$1:$O$97,"-",Оценки!$P$1:$P$97,1)</f>
        <v>0</v>
      </c>
      <c r="K10" s="40">
        <v>1</v>
      </c>
      <c r="L10" s="40">
        <v>1</v>
      </c>
      <c r="M10" s="40">
        <v>1</v>
      </c>
      <c r="N10" s="40">
        <v>1</v>
      </c>
      <c r="O10" s="40">
        <f ca="1">IFERROR(__xludf.dummyfunction("if(counta(unique(filter('Оценки'!$R:$R,'Оценки'!$D:$D&lt;9000,'Оценки'!$J:$J=$A10)))&gt;1,1,0)"),1)</f>
        <v>1</v>
      </c>
      <c r="P10" s="40">
        <f t="shared" ca="1" si="0"/>
        <v>4</v>
      </c>
      <c r="Q10" s="41" t="s">
        <v>835</v>
      </c>
      <c r="R10" s="42">
        <v>3</v>
      </c>
      <c r="S10" s="42">
        <v>1</v>
      </c>
      <c r="T10" s="42">
        <v>0</v>
      </c>
      <c r="U10" s="42">
        <v>0</v>
      </c>
      <c r="V10" s="42">
        <v>1</v>
      </c>
      <c r="W10" s="42">
        <v>0</v>
      </c>
      <c r="X10" s="42">
        <f ca="1">IFERROR(__xludf.dummyfunction("if(isna(filter(prs!A:Q,prs!A:A=E10)),0,COUNTUNIQUE(index(filter(prs!A:Q,prs!A:A=E10),,3)))"),99)</f>
        <v>99</v>
      </c>
      <c r="Y10" s="42">
        <f ca="1">IFERROR(__xludf.dummyfunction("if(isna(filter(prs!A:Q,prs!A:A=E10,prs!R:R&lt;&gt;""Empty field"")),0,COUNTUNIQUE(index(filter(prs!A:Q,prs!A:A=E10,prs!R:R&lt;&gt;""Empty field""),,3)))"),78)</f>
        <v>78</v>
      </c>
      <c r="Z10" s="42">
        <f ca="1">IFERROR(__xludf.dummyfunction("COUNTUNIQUE(index(filter(wikis!A:Q,wikis!A:A=E10,wikis!F:F&lt;&gt;""Страница удалена""),,5))"),1)</f>
        <v>1</v>
      </c>
      <c r="AA10" s="42">
        <v>1</v>
      </c>
      <c r="AB10" s="42">
        <v>1.5</v>
      </c>
      <c r="AC10" s="42">
        <f t="shared" si="1"/>
        <v>2</v>
      </c>
      <c r="AD10" s="42">
        <f t="shared" si="2"/>
        <v>2.6</v>
      </c>
      <c r="AE10" s="43" t="s">
        <v>836</v>
      </c>
      <c r="AF10" s="42"/>
      <c r="AG10" s="42">
        <v>4</v>
      </c>
      <c r="AH10" s="42">
        <v>3</v>
      </c>
      <c r="AI10" s="42">
        <v>0</v>
      </c>
      <c r="AJ10" s="42">
        <v>1</v>
      </c>
      <c r="AK10" s="42">
        <v>0.5</v>
      </c>
      <c r="AL10" s="42">
        <v>1</v>
      </c>
      <c r="AM10" s="42">
        <v>1</v>
      </c>
      <c r="AN10" s="42">
        <f ca="1">IFERROR(__xludf.dummyfunction("COUNTUNIQUE(INDEX(filter(prs!A:Q,prs!A:A=E10,prs!G:G&gt;DATE(2024,3,28),prs!G:G&lt;DATE(2024,4,26)),,3))"),70)</f>
        <v>70</v>
      </c>
      <c r="AO10" s="42">
        <f ca="1">IFERROR(__xludf.dummyfunction("COUNTUNIQUE(index(filter(prs!A:Q,prs!A:A=E10,prs!R:R&lt;&gt;""Empty field"",prs!G:G&gt;DATE(2024,3,28),prs!G:G&lt;DATE(2024,4,26)),,3))"),54)</f>
        <v>54</v>
      </c>
      <c r="AP10" s="42"/>
      <c r="AQ10" s="42">
        <f ca="1">IF(COUNTIFS(Оценки!J$1:J$96,A10,Оценки!AF$1:AF$96,0,Оценки!AH$1:AH$96,0)&gt;0,0,1)</f>
        <v>1</v>
      </c>
      <c r="AR10" s="42">
        <v>1.7</v>
      </c>
      <c r="AS10" s="42">
        <f t="shared" ca="1" si="3"/>
        <v>4.5999999999999996</v>
      </c>
      <c r="AT10" s="42">
        <f t="shared" si="4"/>
        <v>3.7</v>
      </c>
      <c r="AU10" s="43"/>
      <c r="AV10" s="42">
        <v>4</v>
      </c>
      <c r="AW10" s="42">
        <v>3</v>
      </c>
      <c r="AX10" s="42">
        <v>1</v>
      </c>
      <c r="AY10" s="42">
        <v>1</v>
      </c>
      <c r="AZ10" s="42">
        <f ca="1">IFERROR(__xludf.dummyfunction("""COMPUTED_VALUE"""),1.6)</f>
        <v>1.6</v>
      </c>
      <c r="BA10" s="42">
        <f t="shared" si="5"/>
        <v>5</v>
      </c>
      <c r="BB10" s="45">
        <f t="shared" ca="1" si="6"/>
        <v>2.4</v>
      </c>
      <c r="BC10" s="46"/>
      <c r="BD10" s="47">
        <v>7</v>
      </c>
      <c r="BE10" s="47">
        <v>0</v>
      </c>
      <c r="BF10" s="47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</row>
    <row r="11" spans="1:75" ht="15.75" customHeight="1">
      <c r="A11" s="48">
        <v>9</v>
      </c>
      <c r="B11" s="49" t="s">
        <v>833</v>
      </c>
      <c r="C11" s="49" t="s">
        <v>837</v>
      </c>
      <c r="D11" s="50"/>
      <c r="E11" s="37" t="str">
        <f ca="1">IFERROR(__xludf.dummyfunction("index(split(D9,"".com/"",FALSE),1,2)"),"test")</f>
        <v>test</v>
      </c>
      <c r="F11" s="51">
        <f ca="1">COUNTIF(Оценки!$A$98:$J$137,A11)</f>
        <v>1</v>
      </c>
      <c r="G11" s="48">
        <f ca="1">COUNTIF(Оценки!$A$2:$J$97,A11)</f>
        <v>5</v>
      </c>
      <c r="H11" s="52" t="s">
        <v>800</v>
      </c>
      <c r="I11" s="52">
        <f ca="1">IFERROR(__xludf.dummyfunction("count(unique(filter(issues!B:B,issues!A:A=split(D11,""https://github.com/"",FALSE,TRUE))))"),0)</f>
        <v>0</v>
      </c>
      <c r="J11" s="52">
        <f ca="1">COUNTIFS(Оценки!$J$1:$J$97,A11,Оценки!$O$1:$O$97,"-")+COUNTIFS(Оценки!$J$1:$J$97,A11,Оценки!$P$1:$P$97,1)-COUNTIFS(Оценки!$J$1:$J$97,A11,Оценки!$O$1:$O$97,"-",Оценки!$P$1:$P$97,1)</f>
        <v>0</v>
      </c>
      <c r="K11" s="52">
        <v>1</v>
      </c>
      <c r="L11" s="52">
        <v>1</v>
      </c>
      <c r="M11" s="52">
        <v>1</v>
      </c>
      <c r="N11" s="52">
        <v>0</v>
      </c>
      <c r="O11" s="52">
        <f ca="1">IFERROR(__xludf.dummyfunction("if(counta(unique(filter('Оценки'!$R:$R,'Оценки'!$D:$D&lt;9000,'Оценки'!$J:$J=$A11)))&gt;1,1,0)"),1)</f>
        <v>1</v>
      </c>
      <c r="P11" s="52">
        <f t="shared" ca="1" si="0"/>
        <v>4</v>
      </c>
      <c r="Q11" s="53" t="s">
        <v>838</v>
      </c>
      <c r="R11" s="54">
        <v>4</v>
      </c>
      <c r="S11" s="54">
        <v>0</v>
      </c>
      <c r="T11" s="54">
        <v>0</v>
      </c>
      <c r="U11" s="54">
        <v>1</v>
      </c>
      <c r="V11" s="54">
        <v>1</v>
      </c>
      <c r="W11" s="54">
        <v>1</v>
      </c>
      <c r="X11" s="54">
        <f ca="1">IFERROR(__xludf.dummyfunction("if(isna(filter(prs!A:Q,prs!A:A=E11)),0,COUNTUNIQUE(index(filter(prs!A:Q,prs!A:A=E11),,3)))"),72)</f>
        <v>72</v>
      </c>
      <c r="Y11" s="54">
        <f ca="1">IFERROR(__xludf.dummyfunction("if(isna(filter(prs!A:Q,prs!A:A=E11,prs!R:R&lt;&gt;""Empty field"")),0,COUNTUNIQUE(index(filter(prs!A:Q,prs!A:A=E11,prs!R:R&lt;&gt;""Empty field""),,3)))"),70)</f>
        <v>70</v>
      </c>
      <c r="Z11" s="54">
        <f ca="1">IFERROR(__xludf.dummyfunction("COUNTUNIQUE(index(filter(wikis!A:Q,wikis!A:A=E11,wikis!F:F&lt;&gt;""Страница удалена""),,5))"),1)</f>
        <v>1</v>
      </c>
      <c r="AA11" s="54">
        <v>1</v>
      </c>
      <c r="AB11" s="54">
        <v>0.8</v>
      </c>
      <c r="AC11" s="42">
        <f t="shared" si="1"/>
        <v>2</v>
      </c>
      <c r="AD11" s="42">
        <f t="shared" si="2"/>
        <v>2.2999999999999998</v>
      </c>
      <c r="AE11" s="55" t="s">
        <v>839</v>
      </c>
      <c r="AF11" s="54"/>
      <c r="AG11" s="54">
        <v>4</v>
      </c>
      <c r="AH11" s="54">
        <v>3</v>
      </c>
      <c r="AI11" s="54">
        <v>1</v>
      </c>
      <c r="AJ11" s="54">
        <v>1</v>
      </c>
      <c r="AK11" s="54">
        <v>0.5</v>
      </c>
      <c r="AL11" s="54">
        <v>1</v>
      </c>
      <c r="AM11" s="54">
        <v>1</v>
      </c>
      <c r="AN11" s="54">
        <f ca="1">IFERROR(__xludf.dummyfunction("COUNTUNIQUE(INDEX(filter(prs!A:Q,prs!A:A=E11,prs!G:G&gt;DATE(2024,3,28),prs!G:G&lt;DATE(2024,4,26)),,3))"),34)</f>
        <v>34</v>
      </c>
      <c r="AO11" s="54">
        <f ca="1">IFERROR(__xludf.dummyfunction("COUNTUNIQUE(index(filter(prs!A:Q,prs!A:A=E11,prs!R:R&lt;&gt;""Empty field"",prs!G:G&gt;DATE(2024,3,28),prs!G:G&lt;DATE(2024,4,26)),,3))"),32)</f>
        <v>32</v>
      </c>
      <c r="AP11" s="54"/>
      <c r="AQ11" s="54">
        <f ca="1">IF(COUNTIFS(Оценки!J$1:J$96,A11,Оценки!AF$1:AF$96,0,Оценки!AH$1:AH$96,0)&gt;0,0,1)</f>
        <v>1</v>
      </c>
      <c r="AR11" s="54">
        <v>1.4</v>
      </c>
      <c r="AS11" s="54">
        <f t="shared" ca="1" si="3"/>
        <v>4.5999999999999996</v>
      </c>
      <c r="AT11" s="54">
        <f t="shared" si="4"/>
        <v>3.9</v>
      </c>
      <c r="AU11" s="56" t="s">
        <v>840</v>
      </c>
      <c r="AV11" s="54">
        <v>4</v>
      </c>
      <c r="AW11" s="54">
        <v>3</v>
      </c>
      <c r="AX11" s="54">
        <v>1</v>
      </c>
      <c r="AY11" s="54">
        <v>0.5</v>
      </c>
      <c r="AZ11" s="54">
        <f ca="1">IFERROR(__xludf.dummyfunction("""COMPUTED_VALUE"""),4)</f>
        <v>4</v>
      </c>
      <c r="BA11" s="54">
        <f t="shared" si="5"/>
        <v>4.5</v>
      </c>
      <c r="BB11" s="57">
        <f t="shared" ca="1" si="6"/>
        <v>4</v>
      </c>
      <c r="BC11" s="58" t="s">
        <v>841</v>
      </c>
      <c r="BD11" s="47">
        <v>0</v>
      </c>
      <c r="BE11" s="47">
        <v>0</v>
      </c>
      <c r="BF11" s="59"/>
      <c r="BG11" s="60"/>
      <c r="BH11" s="60"/>
      <c r="BI11" s="60"/>
      <c r="BJ11" s="60"/>
      <c r="BK11" s="60"/>
      <c r="BL11" s="60"/>
      <c r="BM11" s="60"/>
      <c r="BN11" s="60"/>
      <c r="BO11" s="60"/>
      <c r="BP11" s="60"/>
      <c r="BQ11" s="60"/>
      <c r="BR11" s="60"/>
      <c r="BS11" s="60"/>
      <c r="BT11" s="60"/>
      <c r="BU11" s="60"/>
      <c r="BV11" s="60"/>
      <c r="BW11" s="60"/>
    </row>
    <row r="12" spans="1:75" ht="15.75" customHeight="1">
      <c r="A12" s="48">
        <v>10</v>
      </c>
      <c r="B12" s="49" t="s">
        <v>833</v>
      </c>
      <c r="C12" s="49" t="s">
        <v>842</v>
      </c>
      <c r="D12" s="50"/>
      <c r="E12" s="37" t="str">
        <f ca="1">IFERROR(__xludf.dummyfunction("index(split(D10,"".com/"",FALSE),1,2)"),"test")</f>
        <v>test</v>
      </c>
      <c r="F12" s="51">
        <f ca="1">COUNTIF(Оценки!$A$98:$J$137,A12)</f>
        <v>1</v>
      </c>
      <c r="G12" s="48">
        <f ca="1">COUNTIF(Оценки!$A$2:$J$97,A12)</f>
        <v>5</v>
      </c>
      <c r="H12" s="52" t="s">
        <v>800</v>
      </c>
      <c r="I12" s="52">
        <f ca="1">IFERROR(__xludf.dummyfunction("count(unique(filter(issues!B:B,issues!A:A=split(D12,""https://github.com/"",FALSE,TRUE))))"),0)</f>
        <v>0</v>
      </c>
      <c r="J12" s="52">
        <f ca="1">COUNTIFS(Оценки!$J$1:$J$97,A12,Оценки!$O$1:$O$97,"-")+COUNTIFS(Оценки!$J$1:$J$97,A12,Оценки!$P$1:$P$97,1)-COUNTIFS(Оценки!$J$1:$J$97,A12,Оценки!$O$1:$O$97,"-",Оценки!$P$1:$P$97,1)</f>
        <v>0</v>
      </c>
      <c r="K12" s="52">
        <v>1</v>
      </c>
      <c r="L12" s="52">
        <v>1</v>
      </c>
      <c r="M12" s="52">
        <v>1</v>
      </c>
      <c r="N12" s="52">
        <v>0</v>
      </c>
      <c r="O12" s="52">
        <f ca="1">IFERROR(__xludf.dummyfunction("if(counta(unique(filter('Оценки'!$R:$R,'Оценки'!$D:$D&lt;9000,'Оценки'!$J:$J=$A12)))&gt;1,1,0)"),1)</f>
        <v>1</v>
      </c>
      <c r="P12" s="52">
        <f t="shared" ca="1" si="0"/>
        <v>4</v>
      </c>
      <c r="Q12" s="53" t="s">
        <v>843</v>
      </c>
      <c r="R12" s="54">
        <v>0.5</v>
      </c>
      <c r="S12" s="54">
        <v>2</v>
      </c>
      <c r="T12" s="54">
        <v>1</v>
      </c>
      <c r="U12" s="54">
        <v>1</v>
      </c>
      <c r="V12" s="54">
        <v>1</v>
      </c>
      <c r="W12" s="54">
        <v>0</v>
      </c>
      <c r="X12" s="54">
        <f ca="1">IFERROR(__xludf.dummyfunction("if(isna(filter(prs!A:Q,prs!A:A=E12)),0,COUNTUNIQUE(index(filter(prs!A:Q,prs!A:A=E12),,3)))"),94)</f>
        <v>94</v>
      </c>
      <c r="Y12" s="54">
        <f ca="1">IFERROR(__xludf.dummyfunction("if(isna(filter(prs!A:Q,prs!A:A=E12,prs!R:R&lt;&gt;""Empty field"")),0,COUNTUNIQUE(index(filter(prs!A:Q,prs!A:A=E12,prs!R:R&lt;&gt;""Empty field""),,3)))"),82)</f>
        <v>82</v>
      </c>
      <c r="Z12" s="54">
        <f ca="1">IFERROR(__xludf.dummyfunction("COUNTUNIQUE(index(filter(wikis!A:Q,wikis!A:A=E12,wikis!F:F&lt;&gt;""Страница удалена""),,5))"),1)</f>
        <v>1</v>
      </c>
      <c r="AA12" s="54">
        <v>1</v>
      </c>
      <c r="AB12" s="54">
        <v>1.9</v>
      </c>
      <c r="AC12" s="42">
        <f t="shared" si="1"/>
        <v>3</v>
      </c>
      <c r="AD12" s="42">
        <f t="shared" si="2"/>
        <v>4</v>
      </c>
      <c r="AE12" s="55" t="s">
        <v>844</v>
      </c>
      <c r="AF12" s="54"/>
      <c r="AG12" s="54">
        <v>3</v>
      </c>
      <c r="AH12" s="54">
        <v>3</v>
      </c>
      <c r="AI12" s="54">
        <v>0.5</v>
      </c>
      <c r="AJ12" s="54">
        <v>1</v>
      </c>
      <c r="AK12" s="54">
        <v>1</v>
      </c>
      <c r="AL12" s="54">
        <v>1</v>
      </c>
      <c r="AM12" s="54">
        <v>0</v>
      </c>
      <c r="AN12" s="54">
        <f ca="1">IFERROR(__xludf.dummyfunction("COUNTUNIQUE(INDEX(filter(prs!A:Q,prs!A:A=E12,prs!G:G&gt;DATE(2024,3,28),prs!G:G&lt;DATE(2024,4,26)),,3))"),34)</f>
        <v>34</v>
      </c>
      <c r="AO12" s="54">
        <f ca="1">IFERROR(__xludf.dummyfunction("COUNTUNIQUE(index(filter(prs!A:Q,prs!A:A=E12,prs!R:R&lt;&gt;""Empty field"",prs!G:G&gt;DATE(2024,3,28),prs!G:G&lt;DATE(2024,4,26)),,3))"),30)</f>
        <v>30</v>
      </c>
      <c r="AP12" s="54"/>
      <c r="AQ12" s="54">
        <f ca="1">IF(COUNTIFS(Оценки!J$1:J$96,A12,Оценки!AF$1:AF$96,0,Оценки!AH$1:AH$96,0)&gt;0,0,1)</f>
        <v>1</v>
      </c>
      <c r="AR12" s="54">
        <v>1.7</v>
      </c>
      <c r="AS12" s="54">
        <f t="shared" ca="1" si="3"/>
        <v>4</v>
      </c>
      <c r="AT12" s="54">
        <f t="shared" si="4"/>
        <v>4</v>
      </c>
      <c r="AU12" s="61" t="s">
        <v>845</v>
      </c>
      <c r="AV12" s="54">
        <v>3</v>
      </c>
      <c r="AW12" s="54">
        <v>3</v>
      </c>
      <c r="AX12" s="54">
        <v>1</v>
      </c>
      <c r="AY12" s="54">
        <v>1</v>
      </c>
      <c r="AZ12" s="54">
        <f ca="1">IFERROR(__xludf.dummyfunction("""COMPUTED_VALUE"""),4)</f>
        <v>4</v>
      </c>
      <c r="BA12" s="54">
        <f t="shared" si="5"/>
        <v>4.3</v>
      </c>
      <c r="BB12" s="57">
        <f t="shared" ca="1" si="6"/>
        <v>4</v>
      </c>
      <c r="BC12" s="58" t="s">
        <v>846</v>
      </c>
      <c r="BD12" s="47">
        <v>3</v>
      </c>
      <c r="BE12" s="47">
        <v>0</v>
      </c>
      <c r="BF12" s="59"/>
      <c r="BG12" s="60"/>
      <c r="BH12" s="60"/>
      <c r="BI12" s="60"/>
      <c r="BJ12" s="60"/>
      <c r="BK12" s="60"/>
      <c r="BL12" s="60"/>
      <c r="BM12" s="60"/>
      <c r="BN12" s="60"/>
      <c r="BO12" s="60"/>
      <c r="BP12" s="60"/>
      <c r="BQ12" s="60"/>
      <c r="BR12" s="60"/>
      <c r="BS12" s="60"/>
      <c r="BT12" s="60"/>
      <c r="BU12" s="60"/>
      <c r="BV12" s="60"/>
      <c r="BW12" s="60"/>
    </row>
    <row r="13" spans="1:75" ht="15.75" customHeight="1">
      <c r="A13" s="48">
        <v>11</v>
      </c>
      <c r="B13" s="49" t="s">
        <v>847</v>
      </c>
      <c r="C13" s="49" t="s">
        <v>848</v>
      </c>
      <c r="D13" s="50"/>
      <c r="E13" s="37" t="str">
        <f ca="1">IFERROR(__xludf.dummyfunction("index(split(D9,"".com/"",FALSE),1,2)"),"test")</f>
        <v>test</v>
      </c>
      <c r="F13" s="51">
        <f ca="1">COUNTIF(Оценки!$A$98:$J$137,A13)</f>
        <v>1</v>
      </c>
      <c r="G13" s="48">
        <f ca="1">COUNTIF(Оценки!$A$2:$J$97,A13)</f>
        <v>7</v>
      </c>
      <c r="H13" s="52" t="s">
        <v>800</v>
      </c>
      <c r="I13" s="52">
        <f ca="1">IFERROR(__xludf.dummyfunction("count(unique(filter(issues!B:B,issues!A:A=split(D13,""https://github.com/"",FALSE,TRUE))))"),0)</f>
        <v>0</v>
      </c>
      <c r="J13" s="52">
        <f ca="1">COUNTIFS(Оценки!$J$1:$J$97,A13,Оценки!$O$1:$O$97,"-")+COUNTIFS(Оценки!$J$1:$J$97,A13,Оценки!$P$1:$P$97,1)-COUNTIFS(Оценки!$J$1:$J$97,A13,Оценки!$O$1:$O$97,"-",Оценки!$P$1:$P$97,1)</f>
        <v>0</v>
      </c>
      <c r="K13" s="52">
        <v>1</v>
      </c>
      <c r="L13" s="52">
        <v>1</v>
      </c>
      <c r="M13" s="52">
        <v>0</v>
      </c>
      <c r="N13" s="52">
        <v>0</v>
      </c>
      <c r="O13" s="52">
        <f ca="1">IFERROR(__xludf.dummyfunction("if(counta(unique(filter('Оценки'!$R:$R,'Оценки'!$D:$D&lt;9000,'Оценки'!$J:$J=$A13)))&gt;1,1,0)"),1)</f>
        <v>1</v>
      </c>
      <c r="P13" s="52">
        <f t="shared" ca="1" si="0"/>
        <v>3</v>
      </c>
      <c r="Q13" s="53" t="s">
        <v>849</v>
      </c>
      <c r="R13" s="54">
        <v>4</v>
      </c>
      <c r="S13" s="54">
        <v>3</v>
      </c>
      <c r="T13" s="54">
        <v>0</v>
      </c>
      <c r="U13" s="54">
        <v>0</v>
      </c>
      <c r="V13" s="54">
        <v>1</v>
      </c>
      <c r="W13" s="54">
        <v>1</v>
      </c>
      <c r="X13" s="54">
        <f ca="1">IFERROR(__xludf.dummyfunction("if(isna(filter(prs!A:Q,prs!A:A=E13)),0,COUNTUNIQUE(index(filter(prs!A:Q,prs!A:A=E13),,3)))"),99)</f>
        <v>99</v>
      </c>
      <c r="Y13" s="54">
        <f ca="1">IFERROR(__xludf.dummyfunction("if(isna(filter(prs!A:Q,prs!A:A=E13,prs!R:R&lt;&gt;""Empty field"")),0,COUNTUNIQUE(index(filter(prs!A:Q,prs!A:A=E13,prs!R:R&lt;&gt;""Empty field""),,3)))"),57)</f>
        <v>57</v>
      </c>
      <c r="Z13" s="54">
        <f ca="1">IFERROR(__xludf.dummyfunction("COUNTUNIQUE(index(filter(wikis!A:Q,wikis!A:A=E13,wikis!F:F&lt;&gt;""Страница удалена""),,5))"),1)</f>
        <v>1</v>
      </c>
      <c r="AA13" s="54">
        <v>1</v>
      </c>
      <c r="AB13" s="54">
        <v>0.9</v>
      </c>
      <c r="AC13" s="42">
        <f t="shared" si="1"/>
        <v>4</v>
      </c>
      <c r="AD13" s="42">
        <f t="shared" si="2"/>
        <v>2.9</v>
      </c>
      <c r="AE13" s="55" t="s">
        <v>850</v>
      </c>
      <c r="AF13" s="54"/>
      <c r="AG13" s="54">
        <v>4</v>
      </c>
      <c r="AH13" s="54">
        <v>3</v>
      </c>
      <c r="AI13" s="54">
        <v>1</v>
      </c>
      <c r="AJ13" s="54">
        <v>1</v>
      </c>
      <c r="AK13" s="54">
        <v>1</v>
      </c>
      <c r="AL13" s="54">
        <v>1</v>
      </c>
      <c r="AM13" s="54">
        <v>1</v>
      </c>
      <c r="AN13" s="54">
        <f ca="1">IFERROR(__xludf.dummyfunction("COUNTUNIQUE(INDEX(filter(prs!A:Q,prs!A:A=E13,prs!G:G&gt;DATE(2024,3,28),prs!G:G&lt;DATE(2024,4,26)),,3))"),28)</f>
        <v>28</v>
      </c>
      <c r="AO13" s="54">
        <f ca="1">IFERROR(__xludf.dummyfunction("COUNTUNIQUE(index(filter(prs!A:Q,prs!A:A=E13,prs!R:R&lt;&gt;""Empty field"",prs!G:G&gt;DATE(2024,3,28),prs!G:G&lt;DATE(2024,4,26)),,3))"),26)</f>
        <v>26</v>
      </c>
      <c r="AP13" s="54"/>
      <c r="AQ13" s="54">
        <f ca="1">IF(COUNTIFS(Оценки!J$1:J$96,A13,Оценки!AF$1:AF$96,0,Оценки!AH$1:AH$96,0)&gt;0,0,1)</f>
        <v>1</v>
      </c>
      <c r="AR13" s="54">
        <v>1.5</v>
      </c>
      <c r="AS13" s="54">
        <f t="shared" ca="1" si="3"/>
        <v>5</v>
      </c>
      <c r="AT13" s="54">
        <f t="shared" si="4"/>
        <v>4</v>
      </c>
      <c r="AU13" s="73" t="s">
        <v>851</v>
      </c>
      <c r="AV13" s="54">
        <v>4</v>
      </c>
      <c r="AW13" s="54">
        <v>3</v>
      </c>
      <c r="AX13" s="54">
        <v>1</v>
      </c>
      <c r="AY13" s="54">
        <v>0.5</v>
      </c>
      <c r="AZ13" s="54">
        <f ca="1">IFERROR(__xludf.dummyfunction("""COMPUTED_VALUE"""),3)</f>
        <v>3</v>
      </c>
      <c r="BA13" s="54">
        <f t="shared" si="5"/>
        <v>4.5</v>
      </c>
      <c r="BB13" s="57">
        <f t="shared" ca="1" si="6"/>
        <v>3.7</v>
      </c>
      <c r="BC13" s="58" t="s">
        <v>852</v>
      </c>
      <c r="BD13" s="47">
        <v>0</v>
      </c>
      <c r="BE13" s="47">
        <v>0</v>
      </c>
      <c r="BF13" s="59"/>
      <c r="BG13" s="60"/>
      <c r="BH13" s="60"/>
      <c r="BI13" s="60"/>
      <c r="BJ13" s="60"/>
      <c r="BK13" s="60"/>
      <c r="BL13" s="60"/>
      <c r="BM13" s="60"/>
      <c r="BN13" s="60"/>
      <c r="BO13" s="60"/>
      <c r="BP13" s="60"/>
      <c r="BQ13" s="60"/>
      <c r="BR13" s="60"/>
      <c r="BS13" s="60"/>
      <c r="BT13" s="60"/>
      <c r="BU13" s="60"/>
      <c r="BV13" s="60"/>
      <c r="BW13" s="60"/>
    </row>
    <row r="14" spans="1:75" ht="15.75" customHeight="1">
      <c r="A14" s="48">
        <v>12</v>
      </c>
      <c r="B14" s="49" t="s">
        <v>853</v>
      </c>
      <c r="C14" s="49" t="s">
        <v>854</v>
      </c>
      <c r="D14" s="50"/>
      <c r="E14" s="37" t="str">
        <f ca="1">IFERROR(__xludf.dummyfunction("index(split(D10,"".com/"",FALSE),1,2)"),"test")</f>
        <v>test</v>
      </c>
      <c r="F14" s="51">
        <f ca="1">COUNTIF(Оценки!$A$98:$J$137,A14)</f>
        <v>1</v>
      </c>
      <c r="G14" s="48">
        <f ca="1">COUNTIF(Оценки!$A$2:$J$97,A14)</f>
        <v>4</v>
      </c>
      <c r="H14" s="52" t="s">
        <v>800</v>
      </c>
      <c r="I14" s="52">
        <f ca="1">IFERROR(__xludf.dummyfunction("count(unique(filter(issues!B:B,issues!A:A=split(D14,""https://github.com/"",FALSE,TRUE))))"),0)</f>
        <v>0</v>
      </c>
      <c r="J14" s="52">
        <f ca="1">COUNTIFS(Оценки!$J$1:$J$97,A14,Оценки!$O$1:$O$97,"-")+COUNTIFS(Оценки!$J$1:$J$97,A14,Оценки!$P$1:$P$97,1)-COUNTIFS(Оценки!$J$1:$J$97,A14,Оценки!$O$1:$O$97,"-",Оценки!$P$1:$P$97,1)</f>
        <v>0</v>
      </c>
      <c r="K14" s="52">
        <v>1</v>
      </c>
      <c r="L14" s="52">
        <v>1</v>
      </c>
      <c r="M14" s="52">
        <v>1</v>
      </c>
      <c r="N14" s="52">
        <v>1</v>
      </c>
      <c r="O14" s="52">
        <f ca="1">IFERROR(__xludf.dummyfunction("if(counta(unique(filter('Оценки'!$R:$R,'Оценки'!$D:$D&lt;9000,'Оценки'!$J:$J=$A14)))&gt;1,1,0)"),0)</f>
        <v>0</v>
      </c>
      <c r="P14" s="52">
        <f t="shared" ca="1" si="0"/>
        <v>4</v>
      </c>
      <c r="Q14" s="53" t="s">
        <v>855</v>
      </c>
      <c r="R14" s="54">
        <v>4</v>
      </c>
      <c r="S14" s="54">
        <v>3</v>
      </c>
      <c r="T14" s="54">
        <v>0</v>
      </c>
      <c r="U14" s="54">
        <v>1</v>
      </c>
      <c r="V14" s="54">
        <v>1</v>
      </c>
      <c r="W14" s="54">
        <v>1</v>
      </c>
      <c r="X14" s="54">
        <f ca="1">IFERROR(__xludf.dummyfunction("if(isna(filter(prs!A:Q,prs!A:A=E14)),0,COUNTUNIQUE(index(filter(prs!A:Q,prs!A:A=E14),,3)))"),43)</f>
        <v>43</v>
      </c>
      <c r="Y14" s="54">
        <f ca="1">IFERROR(__xludf.dummyfunction("if(isna(filter(prs!A:Q,prs!A:A=E14,prs!R:R&lt;&gt;""Empty field"")),0,COUNTUNIQUE(index(filter(prs!A:Q,prs!A:A=E14,prs!R:R&lt;&gt;""Empty field""),,3)))"),37)</f>
        <v>37</v>
      </c>
      <c r="Z14" s="54">
        <f ca="1">IFERROR(__xludf.dummyfunction("COUNTUNIQUE(index(filter(wikis!A:Q,wikis!A:A=E14,wikis!F:F&lt;&gt;""Страница удалена""),,5))"),13)</f>
        <v>13</v>
      </c>
      <c r="AA14" s="54">
        <v>1</v>
      </c>
      <c r="AB14" s="54">
        <v>1.3</v>
      </c>
      <c r="AC14" s="42">
        <f t="shared" si="1"/>
        <v>4</v>
      </c>
      <c r="AD14" s="42">
        <f t="shared" si="2"/>
        <v>3.8</v>
      </c>
      <c r="AE14" s="55" t="s">
        <v>856</v>
      </c>
      <c r="AF14" s="54"/>
      <c r="AG14" s="54">
        <v>4</v>
      </c>
      <c r="AH14" s="54">
        <v>3</v>
      </c>
      <c r="AI14" s="54">
        <v>1</v>
      </c>
      <c r="AJ14" s="54">
        <v>1</v>
      </c>
      <c r="AK14" s="54">
        <v>0</v>
      </c>
      <c r="AL14" s="54">
        <v>1</v>
      </c>
      <c r="AM14" s="54">
        <v>1</v>
      </c>
      <c r="AN14" s="54">
        <f ca="1">IFERROR(__xludf.dummyfunction("COUNTUNIQUE(INDEX(filter(prs!A:Q,prs!A:A=E14,prs!G:G&gt;DATE(2024,3,28),prs!G:G&lt;DATE(2024,4,26)),,3))"),22)</f>
        <v>22</v>
      </c>
      <c r="AO14" s="54">
        <f ca="1">IFERROR(__xludf.dummyfunction("COUNTUNIQUE(index(filter(prs!A:Q,prs!A:A=E14,prs!R:R&lt;&gt;""Empty field"",prs!G:G&gt;DATE(2024,3,28),prs!G:G&lt;DATE(2024,4,26)),,3))"),18)</f>
        <v>18</v>
      </c>
      <c r="AP14" s="54"/>
      <c r="AQ14" s="54">
        <f ca="1">IF(COUNTIFS(Оценки!J$1:J$96,A14,Оценки!AF$1:AF$96,0,Оценки!AH$1:AH$96,0)&gt;0,0,1)</f>
        <v>1</v>
      </c>
      <c r="AR14" s="54">
        <v>1.3</v>
      </c>
      <c r="AS14" s="54">
        <f t="shared" ca="1" si="3"/>
        <v>4.3</v>
      </c>
      <c r="AT14" s="54">
        <f t="shared" si="4"/>
        <v>3.3</v>
      </c>
      <c r="AU14" s="61" t="s">
        <v>857</v>
      </c>
      <c r="AV14" s="54">
        <v>3</v>
      </c>
      <c r="AW14" s="54">
        <v>3</v>
      </c>
      <c r="AX14" s="54">
        <v>1</v>
      </c>
      <c r="AY14" s="54">
        <v>1</v>
      </c>
      <c r="AZ14" s="54">
        <f ca="1">IFERROR(__xludf.dummyfunction("""COMPUTED_VALUE"""),0.4)</f>
        <v>0.4</v>
      </c>
      <c r="BA14" s="54">
        <f t="shared" si="5"/>
        <v>4.3</v>
      </c>
      <c r="BB14" s="57">
        <f t="shared" ca="1" si="6"/>
        <v>1.1000000000000001</v>
      </c>
      <c r="BC14" s="58" t="s">
        <v>858</v>
      </c>
      <c r="BD14" s="47">
        <v>7</v>
      </c>
      <c r="BE14" s="47">
        <v>0</v>
      </c>
      <c r="BF14" s="59"/>
      <c r="BG14" s="60"/>
      <c r="BH14" s="60"/>
      <c r="BI14" s="60"/>
      <c r="BJ14" s="60"/>
      <c r="BK14" s="60"/>
      <c r="BL14" s="60"/>
      <c r="BM14" s="60"/>
      <c r="BN14" s="60"/>
      <c r="BO14" s="60"/>
      <c r="BP14" s="60"/>
      <c r="BQ14" s="60"/>
      <c r="BR14" s="60"/>
      <c r="BS14" s="60"/>
      <c r="BT14" s="60"/>
      <c r="BU14" s="60"/>
      <c r="BV14" s="60"/>
      <c r="BW14" s="60"/>
    </row>
    <row r="15" spans="1:75" ht="15.75" customHeight="1">
      <c r="A15" s="48">
        <v>13</v>
      </c>
      <c r="B15" s="49" t="s">
        <v>859</v>
      </c>
      <c r="C15" s="49" t="s">
        <v>860</v>
      </c>
      <c r="D15" s="50"/>
      <c r="E15" s="37" t="str">
        <f ca="1">IFERROR(__xludf.dummyfunction("index(split(D9,"".com/"",FALSE),1,2)"),"test")</f>
        <v>test</v>
      </c>
      <c r="F15" s="51">
        <f ca="1">COUNTIF(Оценки!$A$98:$J$137,A15)</f>
        <v>1</v>
      </c>
      <c r="G15" s="48">
        <f ca="1">COUNTIF(Оценки!$A$2:$J$97,A15)</f>
        <v>4</v>
      </c>
      <c r="H15" s="52" t="s">
        <v>800</v>
      </c>
      <c r="I15" s="52">
        <f ca="1">IFERROR(__xludf.dummyfunction("count(unique(filter(issues!B:B,issues!A:A=split(D15,""https://github.com/"",FALSE,TRUE))))"),0)</f>
        <v>0</v>
      </c>
      <c r="J15" s="52">
        <f ca="1">COUNTIFS(Оценки!$J$1:$J$97,A15,Оценки!$O$1:$O$97,"-")+COUNTIFS(Оценки!$J$1:$J$97,A15,Оценки!$P$1:$P$97,1)-COUNTIFS(Оценки!$J$1:$J$97,A15,Оценки!$O$1:$O$97,"-",Оценки!$P$1:$P$97,1)</f>
        <v>2</v>
      </c>
      <c r="K15" s="52">
        <v>1</v>
      </c>
      <c r="L15" s="52">
        <v>1</v>
      </c>
      <c r="M15" s="52">
        <v>1</v>
      </c>
      <c r="N15" s="52">
        <v>0</v>
      </c>
      <c r="O15" s="52">
        <f ca="1">IFERROR(__xludf.dummyfunction("if(counta(unique(filter('Оценки'!$R:$R,'Оценки'!$D:$D&lt;9000,'Оценки'!$J:$J=$A15)))&gt;1,1,0)"),1)</f>
        <v>1</v>
      </c>
      <c r="P15" s="52">
        <f t="shared" ca="1" si="0"/>
        <v>4</v>
      </c>
      <c r="Q15" s="53" t="s">
        <v>861</v>
      </c>
      <c r="R15" s="54">
        <v>4</v>
      </c>
      <c r="S15" s="54">
        <v>3</v>
      </c>
      <c r="T15" s="54">
        <v>1</v>
      </c>
      <c r="U15" s="54">
        <v>0</v>
      </c>
      <c r="V15" s="54">
        <v>0</v>
      </c>
      <c r="W15" s="54">
        <v>1</v>
      </c>
      <c r="X15" s="54">
        <f ca="1">IFERROR(__xludf.dummyfunction("if(isna(filter(prs!A:Q,prs!A:A=E15)),0,COUNTUNIQUE(index(filter(prs!A:Q,prs!A:A=E15),,3)))"),22)</f>
        <v>22</v>
      </c>
      <c r="Y15" s="54">
        <f ca="1">IFERROR(__xludf.dummyfunction("if(isna(filter(prs!A:Q,prs!A:A=E15,prs!R:R&lt;&gt;""Empty field"")),0,COUNTUNIQUE(index(filter(prs!A:Q,prs!A:A=E15,prs!R:R&lt;&gt;""Empty field""),,3)))"),20)</f>
        <v>20</v>
      </c>
      <c r="Z15" s="54">
        <f ca="1">IFERROR(__xludf.dummyfunction("COUNTUNIQUE(index(filter(wikis!A:Q,wikis!A:A=E15,wikis!F:F&lt;&gt;""Страница удалена""),,5))"),1)</f>
        <v>1</v>
      </c>
      <c r="AA15" s="54">
        <v>0</v>
      </c>
      <c r="AB15" s="54">
        <v>1.1000000000000001</v>
      </c>
      <c r="AC15" s="42">
        <f t="shared" si="1"/>
        <v>3</v>
      </c>
      <c r="AD15" s="42">
        <f t="shared" si="2"/>
        <v>4</v>
      </c>
      <c r="AE15" s="55" t="s">
        <v>862</v>
      </c>
      <c r="AF15" s="54"/>
      <c r="AG15" s="54">
        <v>3</v>
      </c>
      <c r="AH15" s="54">
        <v>3</v>
      </c>
      <c r="AI15" s="54">
        <v>1</v>
      </c>
      <c r="AJ15" s="54">
        <v>0</v>
      </c>
      <c r="AK15" s="54">
        <v>1</v>
      </c>
      <c r="AL15" s="54">
        <v>0</v>
      </c>
      <c r="AM15" s="54">
        <v>1</v>
      </c>
      <c r="AN15" s="54">
        <f ca="1">IFERROR(__xludf.dummyfunction("COUNTUNIQUE(INDEX(filter(prs!A:Q,prs!A:A=E15,prs!G:G&gt;DATE(2024,3,28),prs!G:G&lt;DATE(2024,4,26)),,3))"),10)</f>
        <v>10</v>
      </c>
      <c r="AO15" s="54">
        <f ca="1">IFERROR(__xludf.dummyfunction("COUNTUNIQUE(index(filter(prs!A:Q,prs!A:A=E15,prs!R:R&lt;&gt;""Empty field"",prs!G:G&gt;DATE(2024,3,28),prs!G:G&lt;DATE(2024,4,26)),,3))"),8)</f>
        <v>8</v>
      </c>
      <c r="AP15" s="54"/>
      <c r="AQ15" s="54">
        <f ca="1">IF(COUNTIFS(Оценки!J$1:J$96,A15,Оценки!AF$1:AF$96,0,Оценки!AH$1:AH$96,0)&gt;0,0,1)</f>
        <v>0</v>
      </c>
      <c r="AR15" s="54">
        <v>0.7</v>
      </c>
      <c r="AS15" s="54">
        <f t="shared" ca="1" si="3"/>
        <v>4</v>
      </c>
      <c r="AT15" s="54">
        <f t="shared" si="4"/>
        <v>3.5</v>
      </c>
      <c r="AU15" s="61" t="s">
        <v>863</v>
      </c>
      <c r="AV15" s="54">
        <v>4</v>
      </c>
      <c r="AW15" s="54">
        <v>2.5</v>
      </c>
      <c r="AX15" s="54">
        <v>0</v>
      </c>
      <c r="AY15" s="54">
        <v>1</v>
      </c>
      <c r="AZ15" s="54">
        <f ca="1">IFERROR(__xludf.dummyfunction("""COMPUTED_VALUE"""),2.6)</f>
        <v>2.6</v>
      </c>
      <c r="BA15" s="54">
        <f t="shared" si="5"/>
        <v>4.8</v>
      </c>
      <c r="BB15" s="57">
        <f t="shared" ca="1" si="6"/>
        <v>3.2</v>
      </c>
      <c r="BC15" s="73" t="s">
        <v>864</v>
      </c>
      <c r="BD15" s="47">
        <v>0</v>
      </c>
      <c r="BE15" s="47">
        <v>0</v>
      </c>
      <c r="BF15" s="59"/>
      <c r="BG15" s="60"/>
      <c r="BH15" s="60"/>
      <c r="BI15" s="60"/>
      <c r="BJ15" s="60"/>
      <c r="BK15" s="60"/>
      <c r="BL15" s="60"/>
      <c r="BM15" s="60"/>
      <c r="BN15" s="60"/>
      <c r="BO15" s="60"/>
      <c r="BP15" s="60"/>
      <c r="BQ15" s="60"/>
      <c r="BR15" s="60"/>
      <c r="BS15" s="60"/>
      <c r="BT15" s="60"/>
      <c r="BU15" s="60"/>
      <c r="BV15" s="60"/>
      <c r="BW15" s="60"/>
    </row>
    <row r="16" spans="1:75" ht="15.75" customHeight="1">
      <c r="A16" s="48">
        <v>14</v>
      </c>
      <c r="B16" s="49" t="s">
        <v>865</v>
      </c>
      <c r="C16" s="49" t="s">
        <v>866</v>
      </c>
      <c r="D16" s="50"/>
      <c r="E16" s="37" t="str">
        <f ca="1">IFERROR(__xludf.dummyfunction("index(split(D10,"".com/"",FALSE),1,2)"),"test")</f>
        <v>test</v>
      </c>
      <c r="F16" s="51">
        <f ca="1">COUNTIF(Оценки!$A$98:$J$137,A16)</f>
        <v>1</v>
      </c>
      <c r="G16" s="48">
        <f ca="1">COUNTIF(Оценки!$A$2:$J$97,A16)</f>
        <v>4</v>
      </c>
      <c r="H16" s="52" t="s">
        <v>800</v>
      </c>
      <c r="I16" s="52">
        <f ca="1">IFERROR(__xludf.dummyfunction("count(unique(filter(issues!B:B,issues!A:A=split(D16,""https://github.com/"",FALSE,TRUE))))"),0)</f>
        <v>0</v>
      </c>
      <c r="J16" s="52">
        <f ca="1">COUNTIFS(Оценки!$J$1:$J$97,A16,Оценки!$O$1:$O$97,"-")+COUNTIFS(Оценки!$J$1:$J$97,A16,Оценки!$P$1:$P$97,1)-COUNTIFS(Оценки!$J$1:$J$97,A16,Оценки!$O$1:$O$97,"-",Оценки!$P$1:$P$97,1)</f>
        <v>0</v>
      </c>
      <c r="K16" s="52">
        <v>1</v>
      </c>
      <c r="L16" s="52">
        <v>1</v>
      </c>
      <c r="M16" s="52">
        <v>1</v>
      </c>
      <c r="N16" s="52">
        <v>1</v>
      </c>
      <c r="O16" s="52">
        <f ca="1">IFERROR(__xludf.dummyfunction("if(counta(unique(filter('Оценки'!$R:$R,'Оценки'!$D:$D&lt;9000,'Оценки'!$J:$J=$A16)))&gt;1,1,0)"),1)</f>
        <v>1</v>
      </c>
      <c r="P16" s="52">
        <f t="shared" ca="1" si="0"/>
        <v>4</v>
      </c>
      <c r="Q16" s="53" t="s">
        <v>867</v>
      </c>
      <c r="R16" s="54">
        <v>4</v>
      </c>
      <c r="S16" s="54">
        <v>1</v>
      </c>
      <c r="T16" s="54">
        <v>0</v>
      </c>
      <c r="U16" s="54">
        <v>0</v>
      </c>
      <c r="V16" s="54">
        <v>1</v>
      </c>
      <c r="W16" s="54">
        <v>0</v>
      </c>
      <c r="X16" s="54">
        <f ca="1">IFERROR(__xludf.dummyfunction("if(isna(filter(prs!A:Q,prs!A:A=E16)),0,COUNTUNIQUE(index(filter(prs!A:Q,prs!A:A=E16),,3)))"),69)</f>
        <v>69</v>
      </c>
      <c r="Y16" s="54">
        <f ca="1">IFERROR(__xludf.dummyfunction("if(isna(filter(prs!A:Q,prs!A:A=E16,prs!R:R&lt;&gt;""Empty field"")),0,COUNTUNIQUE(index(filter(prs!A:Q,prs!A:A=E16,prs!R:R&lt;&gt;""Empty field""),,3)))"),67)</f>
        <v>67</v>
      </c>
      <c r="Z16" s="54">
        <f ca="1">IFERROR(__xludf.dummyfunction("COUNTUNIQUE(index(filter(wikis!A:Q,wikis!A:A=E16,wikis!F:F&lt;&gt;""Страница удалена""),,5))"),5)</f>
        <v>5</v>
      </c>
      <c r="AA16" s="54">
        <v>1</v>
      </c>
      <c r="AB16" s="54">
        <v>0.8</v>
      </c>
      <c r="AC16" s="42">
        <f t="shared" si="1"/>
        <v>2</v>
      </c>
      <c r="AD16" s="42">
        <f t="shared" si="2"/>
        <v>2.1</v>
      </c>
      <c r="AE16" s="55" t="s">
        <v>868</v>
      </c>
      <c r="AF16" s="54"/>
      <c r="AG16" s="54">
        <v>3</v>
      </c>
      <c r="AH16" s="54">
        <v>3</v>
      </c>
      <c r="AI16" s="54">
        <v>0</v>
      </c>
      <c r="AJ16" s="54">
        <v>1</v>
      </c>
      <c r="AK16" s="54">
        <v>1</v>
      </c>
      <c r="AL16" s="54">
        <v>1</v>
      </c>
      <c r="AM16" s="54">
        <v>1</v>
      </c>
      <c r="AN16" s="54">
        <f ca="1">IFERROR(__xludf.dummyfunction("COUNTUNIQUE(INDEX(filter(prs!A:Q,prs!A:A=E16,prs!G:G&gt;DATE(2024,3,28),prs!G:G&lt;DATE(2024,4,26)),,3))"),34)</f>
        <v>34</v>
      </c>
      <c r="AO16" s="54">
        <f ca="1">IFERROR(__xludf.dummyfunction("COUNTUNIQUE(index(filter(prs!A:Q,prs!A:A=E16,prs!R:R&lt;&gt;""Empty field"",prs!G:G&gt;DATE(2024,3,28),prs!G:G&lt;DATE(2024,4,26)),,3))"),32)</f>
        <v>32</v>
      </c>
      <c r="AP16" s="54"/>
      <c r="AQ16" s="54">
        <f ca="1">IF(COUNTIFS(Оценки!J$1:J$96,A16,Оценки!AF$1:AF$96,0,Оценки!AH$1:AH$96,0)&gt;0,0,1)</f>
        <v>1</v>
      </c>
      <c r="AR16" s="54">
        <v>1.2</v>
      </c>
      <c r="AS16" s="54">
        <f t="shared" ca="1" si="3"/>
        <v>5</v>
      </c>
      <c r="AT16" s="54">
        <f t="shared" si="4"/>
        <v>3.5</v>
      </c>
      <c r="AU16" s="61" t="s">
        <v>869</v>
      </c>
      <c r="AV16" s="54">
        <v>3</v>
      </c>
      <c r="AW16" s="54">
        <v>3</v>
      </c>
      <c r="AX16" s="54">
        <v>1</v>
      </c>
      <c r="AY16" s="54">
        <v>1</v>
      </c>
      <c r="AZ16" s="54">
        <f ca="1">IFERROR(__xludf.dummyfunction("""COMPUTED_VALUE"""),3.6)</f>
        <v>3.6</v>
      </c>
      <c r="BA16" s="54">
        <f t="shared" si="5"/>
        <v>4.3</v>
      </c>
      <c r="BB16" s="57">
        <f t="shared" ca="1" si="6"/>
        <v>4</v>
      </c>
      <c r="BC16" s="58" t="s">
        <v>870</v>
      </c>
      <c r="BD16" s="47">
        <v>0</v>
      </c>
      <c r="BE16" s="47">
        <v>0</v>
      </c>
      <c r="BF16" s="59"/>
      <c r="BG16" s="60"/>
      <c r="BH16" s="60"/>
      <c r="BI16" s="60"/>
      <c r="BJ16" s="60"/>
      <c r="BK16" s="60"/>
      <c r="BL16" s="60"/>
      <c r="BM16" s="60"/>
      <c r="BN16" s="60"/>
      <c r="BO16" s="60"/>
      <c r="BP16" s="60"/>
      <c r="BQ16" s="60"/>
      <c r="BR16" s="60"/>
      <c r="BS16" s="60"/>
      <c r="BT16" s="60"/>
      <c r="BU16" s="60"/>
      <c r="BV16" s="60"/>
      <c r="BW16" s="60"/>
    </row>
    <row r="17" spans="1:75" ht="15.75" customHeight="1">
      <c r="A17" s="48">
        <v>15</v>
      </c>
      <c r="B17" s="49" t="s">
        <v>865</v>
      </c>
      <c r="C17" s="49" t="s">
        <v>871</v>
      </c>
      <c r="D17" s="50"/>
      <c r="E17" s="37" t="str">
        <f ca="1">IFERROR(__xludf.dummyfunction("index(split(D9,"".com/"",FALSE),1,2)"),"test")</f>
        <v>test</v>
      </c>
      <c r="F17" s="51">
        <f ca="1">COUNTIF(Оценки!$A$98:$J$137,A17)</f>
        <v>1</v>
      </c>
      <c r="G17" s="48">
        <f ca="1">COUNTIF(Оценки!$A$2:$J$97,A17)</f>
        <v>5</v>
      </c>
      <c r="H17" s="52" t="s">
        <v>800</v>
      </c>
      <c r="I17" s="52">
        <f ca="1">IFERROR(__xludf.dummyfunction("count(unique(filter(issues!B:B,issues!A:A=split(D17,""https://github.com/"",FALSE,TRUE))))"),0)</f>
        <v>0</v>
      </c>
      <c r="J17" s="52">
        <f ca="1">COUNTIFS(Оценки!$J$1:$J$97,A17,Оценки!$O$1:$O$97,"-")+COUNTIFS(Оценки!$J$1:$J$97,A17,Оценки!$P$1:$P$97,1)-COUNTIFS(Оценки!$J$1:$J$97,A17,Оценки!$O$1:$O$97,"-",Оценки!$P$1:$P$97,1)</f>
        <v>0</v>
      </c>
      <c r="K17" s="52">
        <v>1</v>
      </c>
      <c r="L17" s="52">
        <v>1</v>
      </c>
      <c r="M17" s="52">
        <v>1</v>
      </c>
      <c r="N17" s="52">
        <v>1</v>
      </c>
      <c r="O17" s="52">
        <f ca="1">IFERROR(__xludf.dummyfunction("if(counta(unique(filter('Оценки'!$R:$R,'Оценки'!$D:$D&lt;9000,'Оценки'!$J:$J=$A17)))&gt;1,1,0)"),1)</f>
        <v>1</v>
      </c>
      <c r="P17" s="52">
        <f t="shared" ca="1" si="0"/>
        <v>4</v>
      </c>
      <c r="Q17" s="53" t="s">
        <v>872</v>
      </c>
      <c r="R17" s="54">
        <v>3</v>
      </c>
      <c r="S17" s="54">
        <v>1</v>
      </c>
      <c r="T17" s="54">
        <v>0</v>
      </c>
      <c r="U17" s="54">
        <v>0</v>
      </c>
      <c r="V17" s="54">
        <v>1</v>
      </c>
      <c r="W17" s="54">
        <v>1</v>
      </c>
      <c r="X17" s="54">
        <f ca="1">IFERROR(__xludf.dummyfunction("if(isna(filter(prs!A:Q,prs!A:A=E17)),0,COUNTUNIQUE(index(filter(prs!A:Q,prs!A:A=E17),,3)))"),47)</f>
        <v>47</v>
      </c>
      <c r="Y17" s="54">
        <f ca="1">IFERROR(__xludf.dummyfunction("if(isna(filter(prs!A:Q,prs!A:A=E17,prs!R:R&lt;&gt;""Empty field"")),0,COUNTUNIQUE(index(filter(prs!A:Q,prs!A:A=E17,prs!R:R&lt;&gt;""Empty field""),,3)))"),40)</f>
        <v>40</v>
      </c>
      <c r="Z17" s="54">
        <f ca="1">IFERROR(__xludf.dummyfunction("COUNTUNIQUE(index(filter(wikis!A:Q,wikis!A:A=E17,wikis!F:F&lt;&gt;""Страница удалена""),,5))"),1)</f>
        <v>1</v>
      </c>
      <c r="AA17" s="54">
        <v>1</v>
      </c>
      <c r="AB17" s="54">
        <v>0.9</v>
      </c>
      <c r="AC17" s="42">
        <f t="shared" si="1"/>
        <v>3</v>
      </c>
      <c r="AD17" s="42">
        <f t="shared" si="2"/>
        <v>2</v>
      </c>
      <c r="AE17" s="55" t="s">
        <v>873</v>
      </c>
      <c r="AF17" s="54"/>
      <c r="AG17" s="54">
        <v>2</v>
      </c>
      <c r="AH17" s="54">
        <v>1</v>
      </c>
      <c r="AI17" s="54">
        <v>0</v>
      </c>
      <c r="AJ17" s="54">
        <v>0</v>
      </c>
      <c r="AK17" s="54">
        <v>0</v>
      </c>
      <c r="AL17" s="54">
        <v>1</v>
      </c>
      <c r="AM17" s="54">
        <v>1</v>
      </c>
      <c r="AN17" s="54">
        <f ca="1">IFERROR(__xludf.dummyfunction("COUNTUNIQUE(INDEX(filter(prs!A:Q,prs!A:A=E17,prs!G:G&gt;DATE(2024,3,28),prs!G:G&lt;DATE(2024,4,26)),,3))"),22)</f>
        <v>22</v>
      </c>
      <c r="AO17" s="54">
        <f ca="1">IFERROR(__xludf.dummyfunction("COUNTUNIQUE(index(filter(prs!A:Q,prs!A:A=E17,prs!R:R&lt;&gt;""Empty field"",prs!G:G&gt;DATE(2024,3,28),prs!G:G&lt;DATE(2024,4,26)),,3))"),18)</f>
        <v>18</v>
      </c>
      <c r="AP17" s="54"/>
      <c r="AQ17" s="54">
        <f ca="1">IF(COUNTIFS(Оценки!J$1:J$96,A17,Оценки!AF$1:AF$96,0,Оценки!AH$1:AH$96,0)&gt;0,0,1)</f>
        <v>1</v>
      </c>
      <c r="AR17" s="54">
        <v>1.7</v>
      </c>
      <c r="AS17" s="54">
        <f t="shared" ca="1" si="3"/>
        <v>2.8</v>
      </c>
      <c r="AT17" s="54">
        <f t="shared" si="4"/>
        <v>2.2000000000000002</v>
      </c>
      <c r="AU17" s="61" t="s">
        <v>874</v>
      </c>
      <c r="AV17" s="54">
        <v>0</v>
      </c>
      <c r="AW17" s="54">
        <v>1</v>
      </c>
      <c r="AX17" s="54">
        <v>0</v>
      </c>
      <c r="AY17" s="54">
        <v>0</v>
      </c>
      <c r="AZ17" s="54">
        <f ca="1">IFERROR(__xludf.dummyfunction("""COMPUTED_VALUE"""),3.6)</f>
        <v>3.6</v>
      </c>
      <c r="BA17" s="54">
        <f t="shared" si="5"/>
        <v>0.3</v>
      </c>
      <c r="BB17" s="57">
        <f t="shared" ca="1" si="6"/>
        <v>3.7</v>
      </c>
      <c r="BC17" s="58" t="s">
        <v>875</v>
      </c>
      <c r="BD17" s="47">
        <v>3</v>
      </c>
      <c r="BE17" s="47">
        <v>0</v>
      </c>
      <c r="BF17" s="59"/>
      <c r="BG17" s="60"/>
      <c r="BH17" s="60"/>
      <c r="BI17" s="60"/>
      <c r="BJ17" s="60"/>
      <c r="BK17" s="60"/>
      <c r="BL17" s="60"/>
      <c r="BM17" s="60"/>
      <c r="BN17" s="60"/>
      <c r="BO17" s="60"/>
      <c r="BP17" s="60"/>
      <c r="BQ17" s="60"/>
      <c r="BR17" s="60"/>
      <c r="BS17" s="60"/>
      <c r="BT17" s="60"/>
      <c r="BU17" s="60"/>
      <c r="BV17" s="60"/>
      <c r="BW17" s="60"/>
    </row>
    <row r="18" spans="1:75" ht="15.75" customHeight="1">
      <c r="A18" s="48">
        <v>16</v>
      </c>
      <c r="B18" s="49" t="s">
        <v>827</v>
      </c>
      <c r="C18" s="49" t="s">
        <v>876</v>
      </c>
      <c r="D18" s="62"/>
      <c r="E18" s="37" t="str">
        <f ca="1">IFERROR(__xludf.dummyfunction("index(split(D10,"".com/"",FALSE),1,2)"),"test")</f>
        <v>test</v>
      </c>
      <c r="F18" s="51">
        <f ca="1">COUNTIF(Оценки!$A$98:$J$137,A18)</f>
        <v>1</v>
      </c>
      <c r="G18" s="48">
        <f ca="1">COUNTIF(Оценки!$A$2:$J$97,A18)</f>
        <v>5</v>
      </c>
      <c r="H18" s="52" t="s">
        <v>800</v>
      </c>
      <c r="I18" s="52">
        <v>5</v>
      </c>
      <c r="J18" s="52">
        <f ca="1">COUNTIFS(Оценки!$J$1:$J$97,A18,Оценки!$O$1:$O$97,"-")+COUNTIFS(Оценки!$J$1:$J$97,A18,Оценки!$P$1:$P$97,1)-COUNTIFS(Оценки!$J$1:$J$97,A18,Оценки!$O$1:$O$97,"-",Оценки!$P$1:$P$97,1)</f>
        <v>1</v>
      </c>
      <c r="K18" s="52">
        <v>1</v>
      </c>
      <c r="L18" s="52">
        <v>1</v>
      </c>
      <c r="M18" s="52">
        <v>1</v>
      </c>
      <c r="N18" s="52">
        <v>1</v>
      </c>
      <c r="O18" s="52">
        <f ca="1">IFERROR(__xludf.dummyfunction("if(counta(unique(filter('Оценки'!$R:$R,'Оценки'!$D:$D&lt;9000,'Оценки'!$J:$J=$A18)))&gt;1,1,0)"),1)</f>
        <v>1</v>
      </c>
      <c r="P18" s="52">
        <f t="shared" ca="1" si="0"/>
        <v>4</v>
      </c>
      <c r="Q18" s="53" t="s">
        <v>877</v>
      </c>
      <c r="R18" s="54">
        <v>4</v>
      </c>
      <c r="S18" s="54">
        <v>3</v>
      </c>
      <c r="T18" s="54">
        <v>0</v>
      </c>
      <c r="U18" s="54">
        <v>1</v>
      </c>
      <c r="V18" s="54">
        <v>1</v>
      </c>
      <c r="W18" s="54">
        <v>1</v>
      </c>
      <c r="X18" s="54">
        <f ca="1">IFERROR(__xludf.dummyfunction("if(isna(filter(prs!A:Q,prs!A:A=index(split(E18,char(10)),1,1))),0,COUNTUNIQUE(index(filter(prs!A:Q,prs!A:A=index(split(E18,char(10)),1,1)),,3))) +
if(isna(filter(prs!A:Q,prs!A:A=index(split(E18,char(10)),1,2))),0,COUNTUNIQUE(index(filter(prs!A:Q,prs!A:A=i"&amp;"ndex(split(E18,char(10)),1,2)),,3))) +
if(isna(filter(prs!A:Q,prs!A:A=index(split(E18,char(10)),1,3))),0,COUNTUNIQUE(index(filter(prs!A:Q,prs!A:A=index(split(E18,char(10)),1,3)),,3)))"),110)</f>
        <v>110</v>
      </c>
      <c r="Y18" s="54">
        <f ca="1">IFERROR(__xludf.dummyfunction("if(isna(filter(prs!A:Q,prs!A:A=index(split(E18,char(10)),1,1),prs!R:R&lt;&gt;""Empty field"")),0,COUNTUNIQUE(index(filter(prs!A:Q,prs!A:A=index(split(E18,char(10)),1,1),prs!R:R&lt;&gt;""Empty field""),,3))) +
if(isna(filter(prs!A:Q,prs!A:A=index(split(E18,char(10)),1"&amp;",2),prs!R:R&lt;&gt;""Empty field"")),0,COUNTUNIQUE(index(filter(prs!A:Q,prs!A:A=index(split(E18,char(10)),1,2),prs!R:R&lt;&gt;""Empty field""),,3))) +
if(isna(filter(prs!A:Q,prs!A:A=index(split(E18,char(10)),1,3),prs!R:R&lt;&gt;""Empty field"")),0,COUNTUNIQUE(index(filter("&amp;"prs!A:Q,prs!A:A=index(split(E18,char(10)),1,3),prs!R:R&lt;&gt;""Empty field""),,3)))"),107)</f>
        <v>107</v>
      </c>
      <c r="Z18" s="54">
        <f ca="1">IFERROR(__xludf.dummyfunction("if(isna(filter(wikis!A:Q,wikis!A:A=index(split(E18,char(10)),1,1),wikis!F:F&lt;&gt;""Страница удалена"")),0,COUNTUNIQUE(index(filter(wikis!A:Q,wikis!A:A=index(split(E18,char(10)),1,1),wikis!F:F&lt;&gt;""Страница удалена""),,5)) +
if(isna(filter(wikis!A:Q,wikis!A:A=in"&amp;"dex(split(E18,char(10)),1,2),wikis!F:F&lt;&gt;""Страница удалена"")),0,COUNTUNIQUE(index(filter(wikis!A:Q,wikis!A:A=index(split(E18,char(10)),1,2),wikis!F:F&lt;&gt;""Страница удалена""),,5))) +
if(isna(filter(wikis!A:Q,wikis!A:A=index(split(E18,char(10)),1,3),wikis!F"&amp;":F&lt;&gt;""Страница удалена"")),0,COUNTUNIQUE(index(filter(wikis!A:Q,wikis!A:A=index(split(E18,char(10)),1,3),wikis!F:F&lt;&gt;""Страница удалена""),,5))))"),0)</f>
        <v>0</v>
      </c>
      <c r="AA18" s="54">
        <v>1</v>
      </c>
      <c r="AB18" s="54">
        <v>1.8</v>
      </c>
      <c r="AC18" s="42">
        <f t="shared" si="1"/>
        <v>4</v>
      </c>
      <c r="AD18" s="42">
        <f t="shared" si="2"/>
        <v>4</v>
      </c>
      <c r="AE18" s="55" t="s">
        <v>878</v>
      </c>
      <c r="AF18" s="54"/>
      <c r="AG18" s="54">
        <v>4</v>
      </c>
      <c r="AH18" s="54">
        <v>3</v>
      </c>
      <c r="AI18" s="54">
        <v>0</v>
      </c>
      <c r="AJ18" s="54">
        <v>1</v>
      </c>
      <c r="AK18" s="54">
        <v>1</v>
      </c>
      <c r="AL18" s="54">
        <v>1</v>
      </c>
      <c r="AM18" s="54">
        <v>1</v>
      </c>
      <c r="AN18" s="54">
        <f ca="1">IFERROR(__xludf.dummyfunction("COUNTUNIQUE(index(filter(prs!A:Q,prs!A:A=index(split(E18,char(10)),1,1),prs!G:G&gt;DATE(2024,3,28),prs!G:G&lt;DATE(2024,4,26)),,3)) + 
COUNTUNIQUE(index(filter(prs!A:Q,prs!A:A=index(split(E18,char(10)),1,2),prs!G:G&gt;DATE(2024,3,28),prs!G:G&lt;DATE(2024,4,26)),,3)) "&amp;"+
COUNTUNIQUE(index(filter(prs!A:Q,prs!A:A=index(split(E18,char(10)),1,3),prs!G:G&gt;DATE(2024,3,28),prs!G:G&lt;DATE(2024,4,26)),,3))"),50)</f>
        <v>50</v>
      </c>
      <c r="AO18" s="54">
        <f ca="1">IFERROR(__xludf.dummyfunction("COUNTUNIQUE(index(filter(prs!A:Q,prs!R:R&lt;&gt;""Empty field"",prs!A:A=index(split(E18,char(10)),1,1),prs!G:G&gt;DATE(2024,3,28),prs!G:G&lt;DATE(2024,4,26)),,3)) + 
COUNTUNIQUE(index(filter(prs!A:Q,prs!R:R&lt;&gt;""Empty field"",prs!A:A=index(split(E18,char(10)),1,2),prs!"&amp;"G:G&gt;DATE(2024,3,28),prs!G:G&lt;DATE(2024,4,26)),,3)) +
COUNTUNIQUE(index(filter(prs!A:Q,prs!R:R&lt;&gt;""Empty field"",prs!A:A=index(split(E18,char(10)),1,3),prs!G:G&gt;DATE(2024,3,28),prs!G:G&lt;DATE(2024,4,26)),,3))"),48)</f>
        <v>48</v>
      </c>
      <c r="AP18" s="54"/>
      <c r="AQ18" s="54">
        <f ca="1">IF(COUNTIFS(Оценки!J$1:J$96,A18,Оценки!AF$1:AF$96,0,Оценки!AH$1:AH$96,0)&gt;0,0,1)</f>
        <v>1</v>
      </c>
      <c r="AR18" s="54">
        <v>1.5</v>
      </c>
      <c r="AS18" s="54">
        <f t="shared" ca="1" si="3"/>
        <v>5</v>
      </c>
      <c r="AT18" s="54">
        <f t="shared" si="4"/>
        <v>4</v>
      </c>
      <c r="AU18" s="56" t="s">
        <v>879</v>
      </c>
      <c r="AV18" s="54">
        <v>4</v>
      </c>
      <c r="AW18" s="54">
        <v>3</v>
      </c>
      <c r="AX18" s="54">
        <v>1</v>
      </c>
      <c r="AY18" s="54">
        <v>1</v>
      </c>
      <c r="AZ18" s="54">
        <f ca="1">IFERROR(__xludf.dummyfunction("""COMPUTED_VALUE"""),1.6)</f>
        <v>1.6</v>
      </c>
      <c r="BA18" s="54">
        <f t="shared" si="5"/>
        <v>5</v>
      </c>
      <c r="BB18" s="57">
        <f t="shared" ca="1" si="6"/>
        <v>2.4</v>
      </c>
      <c r="BC18" s="58"/>
      <c r="BD18" s="47">
        <v>0</v>
      </c>
      <c r="BE18" s="47">
        <v>0</v>
      </c>
      <c r="BF18" s="59"/>
      <c r="BG18" s="60"/>
      <c r="BH18" s="60"/>
      <c r="BI18" s="60"/>
      <c r="BJ18" s="60"/>
      <c r="BK18" s="60"/>
      <c r="BL18" s="60"/>
      <c r="BM18" s="60"/>
      <c r="BN18" s="60"/>
      <c r="BO18" s="60"/>
      <c r="BP18" s="60"/>
      <c r="BQ18" s="60"/>
      <c r="BR18" s="60"/>
      <c r="BS18" s="60"/>
      <c r="BT18" s="60"/>
      <c r="BU18" s="60"/>
      <c r="BV18" s="60"/>
      <c r="BW18" s="60"/>
    </row>
    <row r="19" spans="1:75" ht="15.75" customHeight="1">
      <c r="A19" s="36">
        <v>17</v>
      </c>
      <c r="B19" s="37" t="s">
        <v>798</v>
      </c>
      <c r="C19" s="37" t="s">
        <v>880</v>
      </c>
      <c r="D19" s="38"/>
      <c r="E19" s="37" t="str">
        <f ca="1">IFERROR(__xludf.dummyfunction("index(split(D9,"".com/"",FALSE),1,2)"),"test")</f>
        <v>test</v>
      </c>
      <c r="F19" s="39">
        <f ca="1">COUNTIF(Оценки!$A$98:$J$137,A19)</f>
        <v>1</v>
      </c>
      <c r="G19" s="36">
        <f ca="1">COUNTIF(Оценки!$A$2:$J$97,A19)</f>
        <v>5</v>
      </c>
      <c r="H19" s="40" t="s">
        <v>800</v>
      </c>
      <c r="I19" s="40">
        <f ca="1">IFERROR(__xludf.dummyfunction("count(unique(filter(issues!B:B,issues!A:A=split(D19,""https://github.com/"",FALSE,TRUE))))"),0)</f>
        <v>0</v>
      </c>
      <c r="J19" s="40">
        <f ca="1">COUNTIFS(Оценки!$J$1:$J$97,A19,Оценки!$O$1:$O$97,"-")+COUNTIFS(Оценки!$J$1:$J$97,A19,Оценки!$P$1:$P$97,1)-COUNTIFS(Оценки!$J$1:$J$97,A19,Оценки!$O$1:$O$97,"-",Оценки!$P$1:$P$97,1)</f>
        <v>0</v>
      </c>
      <c r="K19" s="40">
        <v>1</v>
      </c>
      <c r="L19" s="40">
        <v>1</v>
      </c>
      <c r="M19" s="40">
        <v>1</v>
      </c>
      <c r="N19" s="40">
        <v>1</v>
      </c>
      <c r="O19" s="40">
        <f ca="1">IFERROR(__xludf.dummyfunction("if(counta(unique(filter('Оценки'!$R:$R,'Оценки'!$D:$D&lt;9000,'Оценки'!$J:$J=$A19)))&gt;1,1,0)"),0)</f>
        <v>0</v>
      </c>
      <c r="P19" s="40">
        <f t="shared" ca="1" si="0"/>
        <v>4</v>
      </c>
      <c r="Q19" s="41" t="s">
        <v>881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1</v>
      </c>
      <c r="X19" s="42">
        <f ca="1">IFERROR(__xludf.dummyfunction("if(isna(filter(prs!A:Q,prs!A:A=E19)),0,COUNTUNIQUE(index(filter(prs!A:Q,prs!A:A=E19),,3)))"),18)</f>
        <v>18</v>
      </c>
      <c r="Y19" s="42">
        <f ca="1">IFERROR(__xludf.dummyfunction("if(isna(filter(prs!A:Q,prs!A:A=E19,prs!R:R&lt;&gt;""Empty field"")),0,COUNTUNIQUE(index(filter(prs!A:Q,prs!A:A=E19,prs!R:R&lt;&gt;""Empty field""),,3)))"),16)</f>
        <v>16</v>
      </c>
      <c r="Z19" s="42">
        <f ca="1">IFERROR(__xludf.dummyfunction("COUNTUNIQUE(index(filter(wikis!A:Q,wikis!A:A=E19,wikis!F:F&lt;&gt;""Страница удалена""),,5))"),2)</f>
        <v>2</v>
      </c>
      <c r="AA19" s="42">
        <v>0</v>
      </c>
      <c r="AB19" s="42">
        <v>0.2</v>
      </c>
      <c r="AC19" s="42">
        <f t="shared" si="1"/>
        <v>1</v>
      </c>
      <c r="AD19" s="42">
        <f t="shared" si="2"/>
        <v>0.2</v>
      </c>
      <c r="AE19" s="43" t="s">
        <v>882</v>
      </c>
      <c r="AF19" s="42"/>
      <c r="AG19" s="42">
        <v>2</v>
      </c>
      <c r="AH19" s="42">
        <v>1</v>
      </c>
      <c r="AI19" s="42">
        <v>0</v>
      </c>
      <c r="AJ19" s="42">
        <v>1</v>
      </c>
      <c r="AK19" s="42">
        <v>0</v>
      </c>
      <c r="AL19" s="42">
        <v>1</v>
      </c>
      <c r="AM19" s="42">
        <v>0.5</v>
      </c>
      <c r="AN19" s="42">
        <f ca="1">IFERROR(__xludf.dummyfunction("COUNTUNIQUE(INDEX(filter(prs!A:Q,prs!A:A=E19,prs!G:G&gt;DATE(2024,3,28),prs!G:G&lt;DATE(2024,4,26)),,3))"),8)</f>
        <v>8</v>
      </c>
      <c r="AO19" s="42">
        <f ca="1">IFERROR(__xludf.dummyfunction("COUNTUNIQUE(index(filter(prs!A:Q,prs!A:A=E19,prs!R:R&lt;&gt;""Empty field"",prs!G:G&gt;DATE(2024,3,28),prs!G:G&lt;DATE(2024,4,26)),,3))"),6)</f>
        <v>6</v>
      </c>
      <c r="AP19" s="42"/>
      <c r="AQ19" s="42">
        <f ca="1">IF(COUNTIFS(Оценки!J$1:J$96,A19,Оценки!AF$1:AF$96,0,Оценки!AH$1:AH$96,0)&gt;0,0,1)</f>
        <v>1</v>
      </c>
      <c r="AR19" s="42">
        <v>0.8</v>
      </c>
      <c r="AS19" s="42">
        <f t="shared" ca="1" si="3"/>
        <v>2.2999999999999998</v>
      </c>
      <c r="AT19" s="42">
        <f t="shared" si="4"/>
        <v>1.3</v>
      </c>
      <c r="AU19" s="63" t="s">
        <v>883</v>
      </c>
      <c r="AV19" s="42">
        <v>0</v>
      </c>
      <c r="AW19" s="42">
        <v>0</v>
      </c>
      <c r="AX19" s="42">
        <v>1</v>
      </c>
      <c r="AY19" s="42">
        <v>0</v>
      </c>
      <c r="AZ19" s="42">
        <f ca="1">IFERROR(__xludf.dummyfunction("""COMPUTED_VALUE"""),0.4)</f>
        <v>0.4</v>
      </c>
      <c r="BA19" s="42">
        <f t="shared" si="5"/>
        <v>0</v>
      </c>
      <c r="BB19" s="45">
        <f t="shared" ca="1" si="6"/>
        <v>0.5</v>
      </c>
      <c r="BC19" s="46" t="s">
        <v>826</v>
      </c>
      <c r="BD19" s="47">
        <v>0</v>
      </c>
      <c r="BE19" s="47">
        <v>0</v>
      </c>
      <c r="BF19" s="47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</row>
    <row r="20" spans="1:75" ht="15.75" customHeight="1">
      <c r="A20" s="48">
        <v>18</v>
      </c>
      <c r="B20" s="49" t="s">
        <v>884</v>
      </c>
      <c r="C20" s="49" t="s">
        <v>885</v>
      </c>
      <c r="D20" s="50"/>
      <c r="E20" s="37" t="str">
        <f ca="1">IFERROR(__xludf.dummyfunction("index(split(D10,"".com/"",FALSE),1,2)"),"test")</f>
        <v>test</v>
      </c>
      <c r="F20" s="51">
        <f ca="1">COUNTIF(Оценки!$A$98:$J$137,A20)</f>
        <v>1</v>
      </c>
      <c r="G20" s="48">
        <f ca="1">COUNTIF(Оценки!$A$2:$J$97,A20)</f>
        <v>5</v>
      </c>
      <c r="H20" s="52" t="s">
        <v>800</v>
      </c>
      <c r="I20" s="52">
        <f ca="1">IFERROR(__xludf.dummyfunction("count(unique(filter(issues!B:B,issues!A:A=split(D20,""https://github.com/"",FALSE,TRUE))))"),0)</f>
        <v>0</v>
      </c>
      <c r="J20" s="52">
        <f ca="1">COUNTIFS(Оценки!$J$1:$J$97,A20,Оценки!$O$1:$O$97,"-")+COUNTIFS(Оценки!$J$1:$J$97,A20,Оценки!$P$1:$P$97,1)-COUNTIFS(Оценки!$J$1:$J$97,A20,Оценки!$O$1:$O$97,"-",Оценки!$P$1:$P$97,1)</f>
        <v>0</v>
      </c>
      <c r="K20" s="52">
        <v>1</v>
      </c>
      <c r="L20" s="52">
        <v>1</v>
      </c>
      <c r="M20" s="52">
        <v>1</v>
      </c>
      <c r="N20" s="52">
        <v>1</v>
      </c>
      <c r="O20" s="52">
        <f ca="1">IFERROR(__xludf.dummyfunction("if(counta(unique(filter('Оценки'!$R:$R,'Оценки'!$D:$D&lt;9000,'Оценки'!$J:$J=$A20)))&gt;1,1,0)"),1)</f>
        <v>1</v>
      </c>
      <c r="P20" s="52">
        <f t="shared" ca="1" si="0"/>
        <v>4</v>
      </c>
      <c r="Q20" s="53" t="s">
        <v>886</v>
      </c>
      <c r="R20" s="54">
        <v>4</v>
      </c>
      <c r="S20" s="54">
        <v>1</v>
      </c>
      <c r="T20" s="54">
        <v>0</v>
      </c>
      <c r="U20" s="54">
        <v>1</v>
      </c>
      <c r="V20" s="54">
        <v>1</v>
      </c>
      <c r="W20" s="54">
        <v>1</v>
      </c>
      <c r="X20" s="54">
        <f ca="1">IFERROR(__xludf.dummyfunction("if(isna(filter(prs!A:Q,prs!A:A=E20)),0,COUNTUNIQUE(index(filter(prs!A:Q,prs!A:A=E20),,3)))"),52)</f>
        <v>52</v>
      </c>
      <c r="Y20" s="54">
        <f ca="1">IFERROR(__xludf.dummyfunction("if(isna(filter(prs!A:Q,prs!A:A=E20,prs!R:R&lt;&gt;""Empty field"")),0,COUNTUNIQUE(index(filter(prs!A:Q,prs!A:A=E20,prs!R:R&lt;&gt;""Empty field""),,3)))"),50)</f>
        <v>50</v>
      </c>
      <c r="Z20" s="54">
        <f ca="1">IFERROR(__xludf.dummyfunction("COUNTUNIQUE(index(filter(wikis!A:Q,wikis!A:A=E20,wikis!F:F&lt;&gt;""Страница удалена""),,5))"),7)</f>
        <v>7</v>
      </c>
      <c r="AA20" s="54">
        <v>1</v>
      </c>
      <c r="AB20" s="54">
        <v>2</v>
      </c>
      <c r="AC20" s="42">
        <f t="shared" si="1"/>
        <v>3</v>
      </c>
      <c r="AD20" s="42">
        <f t="shared" si="2"/>
        <v>3.8</v>
      </c>
      <c r="AE20" s="55" t="s">
        <v>887</v>
      </c>
      <c r="AF20" s="54"/>
      <c r="AG20" s="54">
        <v>4</v>
      </c>
      <c r="AH20" s="54">
        <v>1</v>
      </c>
      <c r="AI20" s="54">
        <v>1</v>
      </c>
      <c r="AJ20" s="54">
        <v>1</v>
      </c>
      <c r="AK20" s="54">
        <v>0</v>
      </c>
      <c r="AL20" s="54">
        <v>0.5</v>
      </c>
      <c r="AM20" s="54">
        <v>0.5</v>
      </c>
      <c r="AN20" s="54">
        <f ca="1">IFERROR(__xludf.dummyfunction("COUNTUNIQUE(INDEX(filter(prs!A:Q,prs!A:A=E20,prs!G:G&gt;DATE(2024,3,28),prs!G:G&lt;DATE(2024,4,26)),,3))"),28)</f>
        <v>28</v>
      </c>
      <c r="AO20" s="54">
        <f ca="1">IFERROR(__xludf.dummyfunction("COUNTUNIQUE(index(filter(prs!A:Q,prs!A:A=E20,prs!R:R&lt;&gt;""Empty field"",prs!G:G&gt;DATE(2024,3,28),prs!G:G&lt;DATE(2024,4,26)),,3))"),28)</f>
        <v>28</v>
      </c>
      <c r="AP20" s="54"/>
      <c r="AQ20" s="54">
        <f ca="1">IF(COUNTIFS(Оценки!J$1:J$96,A20,Оценки!AF$1:AF$96,0,Оценки!AH$1:AH$96,0)&gt;0,0,1)</f>
        <v>1</v>
      </c>
      <c r="AR20" s="54">
        <v>2</v>
      </c>
      <c r="AS20" s="54">
        <f t="shared" ca="1" si="3"/>
        <v>2.2999999999999998</v>
      </c>
      <c r="AT20" s="54">
        <f t="shared" si="4"/>
        <v>3.5</v>
      </c>
      <c r="AU20" s="73" t="s">
        <v>888</v>
      </c>
      <c r="AV20" s="54">
        <v>4</v>
      </c>
      <c r="AW20" s="54">
        <v>3</v>
      </c>
      <c r="AX20" s="54">
        <v>1</v>
      </c>
      <c r="AY20" s="54">
        <v>1</v>
      </c>
      <c r="AZ20" s="54">
        <f ca="1">IFERROR(__xludf.dummyfunction("""COMPUTED_VALUE"""),3.8)</f>
        <v>3.8</v>
      </c>
      <c r="BA20" s="54">
        <f t="shared" si="5"/>
        <v>5</v>
      </c>
      <c r="BB20" s="57">
        <f t="shared" ca="1" si="6"/>
        <v>4</v>
      </c>
      <c r="BC20" s="58"/>
      <c r="BD20" s="47">
        <v>0</v>
      </c>
      <c r="BE20" s="47">
        <v>0</v>
      </c>
      <c r="BF20" s="59"/>
      <c r="BG20" s="60"/>
      <c r="BH20" s="60"/>
      <c r="BI20" s="60"/>
      <c r="BJ20" s="60"/>
      <c r="BK20" s="60"/>
      <c r="BL20" s="60"/>
      <c r="BM20" s="60"/>
      <c r="BN20" s="60"/>
      <c r="BO20" s="60"/>
      <c r="BP20" s="60"/>
      <c r="BQ20" s="60"/>
      <c r="BR20" s="60"/>
      <c r="BS20" s="60"/>
      <c r="BT20" s="60"/>
      <c r="BU20" s="60"/>
      <c r="BV20" s="60"/>
      <c r="BW20" s="60"/>
    </row>
    <row r="21" spans="1:75" ht="15.75" customHeight="1">
      <c r="A21" s="48">
        <v>19</v>
      </c>
      <c r="B21" s="49" t="s">
        <v>884</v>
      </c>
      <c r="C21" s="49" t="s">
        <v>889</v>
      </c>
      <c r="D21" s="50"/>
      <c r="E21" s="37" t="str">
        <f ca="1">IFERROR(__xludf.dummyfunction("index(split(D9,"".com/"",FALSE),1,2)"),"test")</f>
        <v>test</v>
      </c>
      <c r="F21" s="51">
        <f ca="1">COUNTIF(Оценки!$A$98:$J$137,A21)</f>
        <v>1</v>
      </c>
      <c r="G21" s="48">
        <f ca="1">COUNTIF(Оценки!$A$2:$J$97,A21)</f>
        <v>5</v>
      </c>
      <c r="H21" s="52" t="s">
        <v>800</v>
      </c>
      <c r="I21" s="52">
        <f ca="1">IFERROR(__xludf.dummyfunction("count(unique(filter(issues!B:B,issues!A:A=split(D21,""https://github.com/"",FALSE,TRUE))))"),0)</f>
        <v>0</v>
      </c>
      <c r="J21" s="52">
        <f ca="1">COUNTIFS(Оценки!$J$1:$J$97,A21,Оценки!$O$1:$O$97,"-")+COUNTIFS(Оценки!$J$1:$J$97,A21,Оценки!$P$1:$P$97,1)-COUNTIFS(Оценки!$J$1:$J$97,A21,Оценки!$O$1:$O$97,"-",Оценки!$P$1:$P$97,1)</f>
        <v>0</v>
      </c>
      <c r="K21" s="52">
        <v>1</v>
      </c>
      <c r="L21" s="52">
        <v>1</v>
      </c>
      <c r="M21" s="52">
        <v>1</v>
      </c>
      <c r="N21" s="52">
        <v>1</v>
      </c>
      <c r="O21" s="52">
        <f ca="1">IFERROR(__xludf.dummyfunction("if(counta(unique(filter('Оценки'!$R:$R,'Оценки'!$D:$D&lt;9000,'Оценки'!$J:$J=$A21)))&gt;1,1,0)"),1)</f>
        <v>1</v>
      </c>
      <c r="P21" s="52">
        <f t="shared" ca="1" si="0"/>
        <v>4</v>
      </c>
      <c r="Q21" s="53" t="s">
        <v>890</v>
      </c>
      <c r="R21" s="54">
        <v>3</v>
      </c>
      <c r="S21" s="54">
        <v>3</v>
      </c>
      <c r="T21" s="54">
        <v>0</v>
      </c>
      <c r="U21" s="54">
        <v>1</v>
      </c>
      <c r="V21" s="54">
        <v>1</v>
      </c>
      <c r="W21" s="54">
        <v>0</v>
      </c>
      <c r="X21" s="54">
        <f ca="1">IFERROR(__xludf.dummyfunction("if(isna(filter(prs!A:Q,prs!A:A=E21)),0,COUNTUNIQUE(index(filter(prs!A:Q,prs!A:A=E21),,3)))"),45)</f>
        <v>45</v>
      </c>
      <c r="Y21" s="54">
        <f ca="1">IFERROR(__xludf.dummyfunction("if(isna(filter(prs!A:Q,prs!A:A=E21,prs!R:R&lt;&gt;""Empty field"")),0,COUNTUNIQUE(index(filter(prs!A:Q,prs!A:A=E21,prs!R:R&lt;&gt;""Empty field""),,3)))"),45)</f>
        <v>45</v>
      </c>
      <c r="Z21" s="54">
        <f ca="1">IFERROR(__xludf.dummyfunction("COUNTUNIQUE(index(filter(wikis!A:Q,wikis!A:A=E21,wikis!F:F&lt;&gt;""Страница удалена""),,5))"),4)</f>
        <v>4</v>
      </c>
      <c r="AA21" s="54">
        <v>1</v>
      </c>
      <c r="AB21" s="54">
        <v>2</v>
      </c>
      <c r="AC21" s="42">
        <f t="shared" si="1"/>
        <v>3</v>
      </c>
      <c r="AD21" s="42">
        <f t="shared" si="2"/>
        <v>4</v>
      </c>
      <c r="AE21" s="55" t="s">
        <v>891</v>
      </c>
      <c r="AF21" s="54"/>
      <c r="AG21" s="54">
        <v>3</v>
      </c>
      <c r="AH21" s="54">
        <v>3</v>
      </c>
      <c r="AI21" s="54">
        <v>0</v>
      </c>
      <c r="AJ21" s="54">
        <v>1</v>
      </c>
      <c r="AK21" s="54">
        <v>1</v>
      </c>
      <c r="AL21" s="54">
        <v>1</v>
      </c>
      <c r="AM21" s="54">
        <v>1</v>
      </c>
      <c r="AN21" s="54">
        <f ca="1">IFERROR(__xludf.dummyfunction("COUNTUNIQUE(INDEX(filter(prs!A:Q,prs!A:A=E21,prs!G:G&gt;DATE(2024,3,28),prs!G:G&lt;DATE(2024,4,26)),,3))"),24)</f>
        <v>24</v>
      </c>
      <c r="AO21" s="54">
        <f ca="1">IFERROR(__xludf.dummyfunction("COUNTUNIQUE(index(filter(prs!A:Q,prs!A:A=E21,prs!R:R&lt;&gt;""Empty field"",prs!G:G&gt;DATE(2024,3,28),prs!G:G&lt;DATE(2024,4,26)),,3))"),24)</f>
        <v>24</v>
      </c>
      <c r="AP21" s="54"/>
      <c r="AQ21" s="54">
        <f ca="1">IF(COUNTIFS(Оценки!J$1:J$96,A21,Оценки!AF$1:AF$96,0,Оценки!AH$1:AH$96,0)&gt;0,0,1)</f>
        <v>1</v>
      </c>
      <c r="AR21" s="54">
        <v>1.8</v>
      </c>
      <c r="AS21" s="54">
        <f t="shared" ca="1" si="3"/>
        <v>5</v>
      </c>
      <c r="AT21" s="54">
        <f t="shared" si="4"/>
        <v>4</v>
      </c>
      <c r="AU21" s="61" t="s">
        <v>892</v>
      </c>
      <c r="AV21" s="54">
        <v>4</v>
      </c>
      <c r="AW21" s="54">
        <v>3</v>
      </c>
      <c r="AX21" s="54">
        <v>1</v>
      </c>
      <c r="AY21" s="54">
        <v>1</v>
      </c>
      <c r="AZ21" s="54">
        <f ca="1">IFERROR(__xludf.dummyfunction("""COMPUTED_VALUE"""),3.4)</f>
        <v>3.4</v>
      </c>
      <c r="BA21" s="54">
        <f t="shared" si="5"/>
        <v>5</v>
      </c>
      <c r="BB21" s="57">
        <f t="shared" ca="1" si="6"/>
        <v>4</v>
      </c>
      <c r="BC21" s="58" t="s">
        <v>893</v>
      </c>
      <c r="BD21" s="47">
        <v>0</v>
      </c>
      <c r="BE21" s="47">
        <v>0</v>
      </c>
      <c r="BF21" s="59"/>
      <c r="BG21" s="60"/>
      <c r="BH21" s="60"/>
      <c r="BI21" s="60"/>
      <c r="BJ21" s="60"/>
      <c r="BK21" s="60"/>
      <c r="BL21" s="60"/>
      <c r="BM21" s="60"/>
      <c r="BN21" s="60"/>
      <c r="BO21" s="60"/>
      <c r="BP21" s="60"/>
      <c r="BQ21" s="60"/>
      <c r="BR21" s="60"/>
      <c r="BS21" s="60"/>
      <c r="BT21" s="60"/>
      <c r="BU21" s="60"/>
      <c r="BV21" s="60"/>
      <c r="BW21" s="60"/>
    </row>
    <row r="22" spans="1:75" ht="15.75" customHeight="1">
      <c r="A22" s="48" t="s">
        <v>537</v>
      </c>
      <c r="B22" s="49"/>
      <c r="C22" s="49"/>
      <c r="D22" s="64"/>
      <c r="E22" s="37"/>
      <c r="F22" s="51">
        <f ca="1">COUNTIF(Оценки!$A$98:$J$137,A22)</f>
        <v>17</v>
      </c>
      <c r="G22" s="48"/>
      <c r="H22" s="52"/>
      <c r="I22" s="52"/>
      <c r="J22" s="52">
        <f ca="1">COUNTIFS(Оценки!J:J,A22,Оценки!O:O,"-")+COUNTIFS(Оценки!J:J,A22,Оценки!P:P,1)-COUNTIFS(Оценки!J:J,A22,Оценки!O:O,"-",Оценки!P:P,1)</f>
        <v>4</v>
      </c>
      <c r="K22" s="52"/>
      <c r="L22" s="52"/>
      <c r="M22" s="52"/>
      <c r="N22" s="52"/>
      <c r="O22" s="52"/>
      <c r="P22" s="52"/>
      <c r="Q22" s="53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42"/>
      <c r="AD22" s="42"/>
      <c r="AE22" s="55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6"/>
      <c r="AV22" s="54"/>
      <c r="AW22" s="54"/>
      <c r="AX22" s="54"/>
      <c r="AY22" s="54"/>
      <c r="AZ22" s="54"/>
      <c r="BA22" s="54"/>
      <c r="BB22" s="57"/>
      <c r="BC22" s="58"/>
      <c r="BD22" s="59"/>
      <c r="BE22" s="59"/>
      <c r="BF22" s="59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0"/>
      <c r="BU22" s="60"/>
      <c r="BV22" s="60"/>
      <c r="BW22" s="60"/>
    </row>
    <row r="23" spans="1:75" ht="15.75" customHeight="1">
      <c r="A23" s="65"/>
      <c r="B23" s="66"/>
      <c r="C23" s="66"/>
      <c r="D23" s="66"/>
      <c r="E23" s="66"/>
      <c r="F23" s="65"/>
      <c r="G23" s="65"/>
      <c r="H23" s="66"/>
      <c r="I23" s="66"/>
      <c r="J23" s="66"/>
      <c r="K23" s="66"/>
      <c r="L23" s="66"/>
      <c r="M23" s="66"/>
      <c r="N23" s="66"/>
      <c r="O23" s="66"/>
      <c r="P23" s="66"/>
      <c r="Q23" s="23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67"/>
      <c r="AE23" s="68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5"/>
      <c r="AV23" s="69"/>
      <c r="AW23" s="67"/>
      <c r="BB23" s="66"/>
      <c r="BC23" s="66"/>
      <c r="BD23" s="66"/>
      <c r="BE23" s="66"/>
      <c r="BF23" s="66"/>
      <c r="BG23" s="66"/>
      <c r="BH23" s="66"/>
      <c r="BI23" s="66"/>
      <c r="BJ23" s="66"/>
      <c r="BK23" s="66"/>
      <c r="BL23" s="66"/>
      <c r="BM23" s="66"/>
      <c r="BN23" s="66"/>
      <c r="BO23" s="66"/>
      <c r="BP23" s="66"/>
      <c r="BQ23" s="66"/>
      <c r="BR23" s="66"/>
      <c r="BS23" s="66"/>
      <c r="BT23" s="66"/>
      <c r="BU23" s="66"/>
      <c r="BV23" s="66"/>
      <c r="BW23" s="66"/>
    </row>
    <row r="24" spans="1:75" ht="15.75" customHeight="1">
      <c r="A24" s="65"/>
      <c r="B24" s="66"/>
      <c r="C24" s="66"/>
      <c r="D24" s="66"/>
      <c r="E24" s="66"/>
      <c r="F24" s="65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23"/>
      <c r="AB24" s="23"/>
      <c r="AC24" s="23"/>
      <c r="AD24" s="23"/>
      <c r="AE24" s="7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71"/>
      <c r="AV24" s="10"/>
      <c r="AW24" s="23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BP24" s="66"/>
      <c r="BQ24" s="66"/>
      <c r="BR24" s="66"/>
      <c r="BS24" s="66"/>
      <c r="BT24" s="66"/>
      <c r="BU24" s="66"/>
      <c r="BV24" s="66"/>
      <c r="BW24" s="66"/>
    </row>
    <row r="25" spans="1:75" ht="15.75" customHeight="1">
      <c r="A25" s="65"/>
      <c r="B25" s="66"/>
      <c r="C25" s="66"/>
      <c r="D25" s="66"/>
      <c r="E25" s="66"/>
      <c r="F25" s="65"/>
      <c r="G25" s="65"/>
      <c r="H25" s="66"/>
      <c r="I25" s="66"/>
      <c r="J25" s="66"/>
      <c r="K25" s="66"/>
      <c r="L25" s="66"/>
      <c r="M25" s="66"/>
      <c r="N25" s="66"/>
      <c r="O25" s="66"/>
      <c r="P25" s="66"/>
      <c r="Q25" s="23"/>
      <c r="AB25" s="23"/>
      <c r="AC25" s="23"/>
      <c r="AD25" s="23"/>
      <c r="AE25" s="7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71"/>
      <c r="AV25" s="10"/>
      <c r="AW25" s="23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BP25" s="66"/>
      <c r="BQ25" s="66"/>
      <c r="BR25" s="66"/>
      <c r="BS25" s="66"/>
      <c r="BT25" s="66"/>
      <c r="BU25" s="66"/>
      <c r="BV25" s="66"/>
      <c r="BW25" s="66"/>
    </row>
    <row r="26" spans="1:75" ht="15.75" customHeight="1">
      <c r="A26" s="65"/>
      <c r="B26" s="66"/>
      <c r="C26" s="66"/>
      <c r="D26" s="66"/>
      <c r="E26" s="66"/>
      <c r="F26" s="65"/>
      <c r="G26" s="65"/>
      <c r="H26" s="66"/>
      <c r="I26" s="66"/>
      <c r="J26" s="66"/>
      <c r="K26" s="66"/>
      <c r="L26" s="66"/>
      <c r="M26" s="66"/>
      <c r="N26" s="66"/>
      <c r="O26" s="66"/>
      <c r="P26" s="66"/>
      <c r="Q26" s="23"/>
      <c r="AB26" s="23"/>
      <c r="AC26" s="23"/>
      <c r="AD26" s="23"/>
      <c r="AE26" s="7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71"/>
      <c r="AV26" s="10"/>
      <c r="AW26" s="23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BP26" s="66"/>
      <c r="BQ26" s="66"/>
      <c r="BR26" s="66"/>
      <c r="BS26" s="66"/>
      <c r="BT26" s="66"/>
      <c r="BU26" s="66"/>
      <c r="BV26" s="66"/>
      <c r="BW26" s="66"/>
    </row>
    <row r="27" spans="1:75" ht="15.75" customHeight="1">
      <c r="A27" s="65"/>
      <c r="B27" s="66"/>
      <c r="C27" s="66"/>
      <c r="D27" s="66"/>
      <c r="E27" s="66"/>
      <c r="F27" s="65"/>
      <c r="G27" s="65"/>
      <c r="H27" s="66"/>
      <c r="I27" s="66"/>
      <c r="J27" s="66"/>
      <c r="K27" s="66"/>
      <c r="L27" s="66"/>
      <c r="M27" s="66"/>
      <c r="N27" s="66"/>
      <c r="O27" s="66"/>
      <c r="P27" s="66"/>
      <c r="Q27" s="23"/>
      <c r="AB27" s="23"/>
      <c r="AC27" s="23"/>
      <c r="AD27" s="23"/>
      <c r="AE27" s="7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71"/>
      <c r="AV27" s="10"/>
      <c r="AW27" s="23"/>
      <c r="BB27" s="66"/>
      <c r="BC27" s="66"/>
      <c r="BD27" s="66"/>
      <c r="BE27" s="66"/>
      <c r="BF27" s="66"/>
      <c r="BG27" s="66"/>
      <c r="BH27" s="66"/>
      <c r="BI27" s="66"/>
      <c r="BJ27" s="66"/>
      <c r="BK27" s="66"/>
      <c r="BL27" s="66"/>
      <c r="BM27" s="66"/>
      <c r="BN27" s="66"/>
      <c r="BO27" s="66"/>
      <c r="BP27" s="66"/>
      <c r="BQ27" s="66"/>
      <c r="BR27" s="66"/>
      <c r="BS27" s="66"/>
      <c r="BT27" s="66"/>
      <c r="BU27" s="66"/>
      <c r="BV27" s="66"/>
      <c r="BW27" s="66"/>
    </row>
    <row r="28" spans="1:75" ht="15.75" customHeight="1">
      <c r="A28" s="65"/>
      <c r="B28" s="66"/>
      <c r="C28" s="66"/>
      <c r="D28" s="66"/>
      <c r="E28" s="66"/>
      <c r="F28" s="65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23"/>
      <c r="AB28" s="23"/>
      <c r="AC28" s="23"/>
      <c r="AD28" s="23"/>
      <c r="AE28" s="7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71"/>
      <c r="AV28" s="10"/>
      <c r="AW28" s="23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  <c r="BP28" s="66"/>
      <c r="BQ28" s="66"/>
      <c r="BR28" s="66"/>
      <c r="BS28" s="66"/>
      <c r="BT28" s="66"/>
      <c r="BU28" s="66"/>
      <c r="BV28" s="66"/>
      <c r="BW28" s="66"/>
    </row>
    <row r="29" spans="1:75" ht="15.75" customHeight="1">
      <c r="A29" s="65"/>
      <c r="B29" s="66"/>
      <c r="C29" s="66"/>
      <c r="D29" s="66"/>
      <c r="E29" s="66"/>
      <c r="F29" s="65"/>
      <c r="G29" s="65"/>
      <c r="H29" s="66"/>
      <c r="I29" s="66"/>
      <c r="J29" s="66"/>
      <c r="K29" s="66"/>
      <c r="L29" s="66"/>
      <c r="M29" s="66"/>
      <c r="N29" s="66"/>
      <c r="O29" s="66"/>
      <c r="P29" s="66"/>
      <c r="Q29" s="23"/>
      <c r="AB29" s="23"/>
      <c r="AC29" s="23"/>
      <c r="AD29" s="23"/>
      <c r="AE29" s="7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71"/>
      <c r="AV29" s="10"/>
      <c r="AW29" s="23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  <c r="BP29" s="66"/>
      <c r="BQ29" s="66"/>
      <c r="BR29" s="66"/>
      <c r="BS29" s="66"/>
      <c r="BT29" s="66"/>
      <c r="BU29" s="66"/>
      <c r="BV29" s="66"/>
      <c r="BW29" s="66"/>
    </row>
    <row r="30" spans="1:75" ht="15.75" customHeight="1">
      <c r="A30" s="65"/>
      <c r="B30" s="66"/>
      <c r="C30" s="66"/>
      <c r="D30" s="66"/>
      <c r="E30" s="66"/>
      <c r="F30" s="65"/>
      <c r="G30" s="65"/>
      <c r="H30" s="66"/>
      <c r="I30" s="66"/>
      <c r="J30" s="66"/>
      <c r="K30" s="66"/>
      <c r="L30" s="66"/>
      <c r="M30" s="66"/>
      <c r="N30" s="66"/>
      <c r="O30" s="66"/>
      <c r="P30" s="66"/>
      <c r="Q30" s="23"/>
      <c r="AB30" s="23"/>
      <c r="AC30" s="23"/>
      <c r="AD30" s="23"/>
      <c r="AE30" s="7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71"/>
      <c r="AV30" s="10"/>
      <c r="AW30" s="23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  <c r="BP30" s="66"/>
      <c r="BQ30" s="66"/>
      <c r="BR30" s="66"/>
      <c r="BS30" s="66"/>
      <c r="BT30" s="66"/>
      <c r="BU30" s="66"/>
      <c r="BV30" s="66"/>
      <c r="BW30" s="66"/>
    </row>
    <row r="31" spans="1:75" ht="15.75" customHeight="1">
      <c r="A31" s="65"/>
      <c r="B31" s="66"/>
      <c r="C31" s="66"/>
      <c r="D31" s="66"/>
      <c r="E31" s="66"/>
      <c r="F31" s="65"/>
      <c r="G31" s="65"/>
      <c r="H31" s="66"/>
      <c r="I31" s="66"/>
      <c r="J31" s="66"/>
      <c r="K31" s="66"/>
      <c r="L31" s="66"/>
      <c r="M31" s="66"/>
      <c r="N31" s="66"/>
      <c r="O31" s="66"/>
      <c r="P31" s="66"/>
      <c r="Q31" s="23"/>
      <c r="AB31" s="23"/>
      <c r="AC31" s="23"/>
      <c r="AD31" s="23"/>
      <c r="AE31" s="7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71"/>
      <c r="AV31" s="10"/>
      <c r="AW31" s="23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  <c r="BP31" s="66"/>
      <c r="BQ31" s="66"/>
      <c r="BR31" s="66"/>
      <c r="BS31" s="66"/>
      <c r="BT31" s="66"/>
      <c r="BU31" s="66"/>
      <c r="BV31" s="66"/>
      <c r="BW31" s="66"/>
    </row>
    <row r="32" spans="1:75" ht="15.75" customHeight="1">
      <c r="A32" s="65"/>
      <c r="B32" s="66"/>
      <c r="C32" s="66"/>
      <c r="D32" s="66"/>
      <c r="E32" s="66"/>
      <c r="F32" s="65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23"/>
      <c r="AB32" s="23"/>
      <c r="AC32" s="23"/>
      <c r="AD32" s="23"/>
      <c r="AE32" s="7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71"/>
      <c r="AV32" s="10"/>
      <c r="AW32" s="23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/>
      <c r="BN32" s="66"/>
      <c r="BO32" s="66"/>
      <c r="BP32" s="66"/>
      <c r="BQ32" s="66"/>
      <c r="BR32" s="66"/>
      <c r="BS32" s="66"/>
      <c r="BT32" s="66"/>
      <c r="BU32" s="66"/>
      <c r="BV32" s="66"/>
      <c r="BW32" s="66"/>
    </row>
    <row r="33" spans="1:75" ht="15.75" customHeight="1">
      <c r="A33" s="65"/>
      <c r="B33" s="66"/>
      <c r="C33" s="66"/>
      <c r="D33" s="66"/>
      <c r="E33" s="66"/>
      <c r="F33" s="65"/>
      <c r="G33" s="65"/>
      <c r="H33" s="66"/>
      <c r="I33" s="66"/>
      <c r="J33" s="66"/>
      <c r="K33" s="66"/>
      <c r="L33" s="66"/>
      <c r="M33" s="66"/>
      <c r="N33" s="66"/>
      <c r="O33" s="66"/>
      <c r="P33" s="66"/>
      <c r="Q33" s="23"/>
      <c r="AB33" s="23"/>
      <c r="AC33" s="23"/>
      <c r="AD33" s="23"/>
      <c r="AE33" s="7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71"/>
      <c r="AV33" s="10"/>
      <c r="AW33" s="23"/>
      <c r="BB33" s="66"/>
      <c r="BC33" s="66"/>
      <c r="BD33" s="66"/>
      <c r="BE33" s="66"/>
      <c r="BF33" s="66"/>
      <c r="BG33" s="66"/>
      <c r="BH33" s="66"/>
      <c r="BI33" s="66"/>
      <c r="BJ33" s="66"/>
      <c r="BK33" s="66"/>
      <c r="BL33" s="66"/>
      <c r="BM33" s="66"/>
      <c r="BN33" s="66"/>
      <c r="BO33" s="66"/>
      <c r="BP33" s="66"/>
      <c r="BQ33" s="66"/>
      <c r="BR33" s="66"/>
      <c r="BS33" s="66"/>
      <c r="BT33" s="66"/>
      <c r="BU33" s="66"/>
      <c r="BV33" s="66"/>
      <c r="BW33" s="66"/>
    </row>
    <row r="34" spans="1:75" ht="15.75" customHeight="1">
      <c r="A34" s="65"/>
      <c r="B34" s="66"/>
      <c r="C34" s="66"/>
      <c r="D34" s="66"/>
      <c r="E34" s="66"/>
      <c r="F34" s="65"/>
      <c r="G34" s="65"/>
      <c r="H34" s="66"/>
      <c r="I34" s="66"/>
      <c r="J34" s="66"/>
      <c r="K34" s="66"/>
      <c r="L34" s="66"/>
      <c r="M34" s="66"/>
      <c r="N34" s="66"/>
      <c r="O34" s="66"/>
      <c r="P34" s="66"/>
      <c r="Q34" s="23"/>
      <c r="AB34" s="23"/>
      <c r="AC34" s="23"/>
      <c r="AD34" s="23"/>
      <c r="AE34" s="7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71"/>
      <c r="AV34" s="10"/>
      <c r="AW34" s="23"/>
      <c r="BB34" s="66"/>
      <c r="BC34" s="66"/>
      <c r="BD34" s="66"/>
      <c r="BE34" s="66"/>
      <c r="BF34" s="66"/>
      <c r="BG34" s="66"/>
      <c r="BH34" s="66"/>
      <c r="BI34" s="66"/>
      <c r="BJ34" s="66"/>
      <c r="BK34" s="66"/>
      <c r="BL34" s="66"/>
      <c r="BM34" s="66"/>
      <c r="BN34" s="66"/>
      <c r="BO34" s="66"/>
      <c r="BP34" s="66"/>
      <c r="BQ34" s="66"/>
      <c r="BR34" s="66"/>
      <c r="BS34" s="66"/>
      <c r="BT34" s="66"/>
      <c r="BU34" s="66"/>
      <c r="BV34" s="66"/>
      <c r="BW34" s="66"/>
    </row>
    <row r="35" spans="1:75" ht="15.75" customHeight="1">
      <c r="A35" s="65"/>
      <c r="B35" s="66"/>
      <c r="C35" s="66"/>
      <c r="D35" s="66"/>
      <c r="E35" s="66"/>
      <c r="F35" s="65"/>
      <c r="G35" s="65"/>
      <c r="H35" s="66"/>
      <c r="I35" s="66"/>
      <c r="J35" s="66"/>
      <c r="K35" s="66"/>
      <c r="L35" s="66"/>
      <c r="M35" s="66"/>
      <c r="N35" s="66"/>
      <c r="O35" s="66"/>
      <c r="P35" s="66"/>
      <c r="Q35" s="23"/>
      <c r="AB35" s="23"/>
      <c r="AC35" s="23"/>
      <c r="AD35" s="23"/>
      <c r="AE35" s="7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71"/>
      <c r="AV35" s="10"/>
      <c r="AW35" s="23"/>
      <c r="BB35" s="66"/>
      <c r="BC35" s="66"/>
      <c r="BD35" s="66"/>
      <c r="BE35" s="66"/>
      <c r="BF35" s="66"/>
      <c r="BG35" s="66"/>
      <c r="BH35" s="66"/>
      <c r="BI35" s="66"/>
      <c r="BJ35" s="66"/>
      <c r="BK35" s="66"/>
      <c r="BL35" s="66"/>
      <c r="BM35" s="66"/>
      <c r="BN35" s="66"/>
      <c r="BO35" s="66"/>
      <c r="BP35" s="66"/>
      <c r="BQ35" s="66"/>
      <c r="BR35" s="66"/>
      <c r="BS35" s="66"/>
      <c r="BT35" s="66"/>
      <c r="BU35" s="66"/>
      <c r="BV35" s="66"/>
      <c r="BW35" s="66"/>
    </row>
    <row r="36" spans="1:75" ht="15.75" customHeight="1">
      <c r="A36" s="65"/>
      <c r="B36" s="66"/>
      <c r="C36" s="66"/>
      <c r="D36" s="66"/>
      <c r="E36" s="66"/>
      <c r="F36" s="65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23"/>
      <c r="AB36" s="23"/>
      <c r="AC36" s="23"/>
      <c r="AD36" s="23"/>
      <c r="AE36" s="7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71"/>
      <c r="AV36" s="10"/>
      <c r="AW36" s="23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/>
      <c r="BN36" s="66"/>
      <c r="BO36" s="66"/>
      <c r="BP36" s="66"/>
      <c r="BQ36" s="66"/>
      <c r="BR36" s="66"/>
      <c r="BS36" s="66"/>
      <c r="BT36" s="66"/>
      <c r="BU36" s="66"/>
      <c r="BV36" s="66"/>
      <c r="BW36" s="66"/>
    </row>
    <row r="37" spans="1:75" ht="15.75" customHeight="1">
      <c r="A37" s="65"/>
      <c r="B37" s="66"/>
      <c r="C37" s="66"/>
      <c r="D37" s="66"/>
      <c r="E37" s="66"/>
      <c r="F37" s="65"/>
      <c r="G37" s="65"/>
      <c r="H37" s="66"/>
      <c r="I37" s="66"/>
      <c r="J37" s="66"/>
      <c r="K37" s="66"/>
      <c r="L37" s="66"/>
      <c r="M37" s="66"/>
      <c r="N37" s="66"/>
      <c r="O37" s="66"/>
      <c r="P37" s="66"/>
      <c r="Q37" s="23"/>
      <c r="AB37" s="23"/>
      <c r="AC37" s="23"/>
      <c r="AD37" s="23"/>
      <c r="AE37" s="7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71"/>
      <c r="AV37" s="10"/>
      <c r="AW37" s="23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  <c r="BP37" s="66"/>
      <c r="BQ37" s="66"/>
      <c r="BR37" s="66"/>
      <c r="BS37" s="66"/>
      <c r="BT37" s="66"/>
      <c r="BU37" s="66"/>
      <c r="BV37" s="66"/>
      <c r="BW37" s="66"/>
    </row>
    <row r="38" spans="1:75" ht="15.75" customHeight="1">
      <c r="A38" s="65"/>
      <c r="B38" s="66"/>
      <c r="C38" s="66"/>
      <c r="D38" s="66"/>
      <c r="E38" s="66"/>
      <c r="F38" s="65"/>
      <c r="G38" s="65"/>
      <c r="H38" s="66"/>
      <c r="I38" s="66"/>
      <c r="J38" s="66"/>
      <c r="K38" s="66"/>
      <c r="L38" s="66"/>
      <c r="M38" s="66"/>
      <c r="N38" s="66"/>
      <c r="O38" s="66"/>
      <c r="P38" s="66"/>
      <c r="Q38" s="23"/>
      <c r="AB38" s="23"/>
      <c r="AC38" s="23"/>
      <c r="AD38" s="23"/>
      <c r="AE38" s="7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71"/>
      <c r="AV38" s="10"/>
      <c r="AW38" s="23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  <c r="BP38" s="66"/>
      <c r="BQ38" s="66"/>
      <c r="BR38" s="66"/>
      <c r="BS38" s="66"/>
      <c r="BT38" s="66"/>
      <c r="BU38" s="66"/>
      <c r="BV38" s="66"/>
      <c r="BW38" s="66"/>
    </row>
    <row r="39" spans="1:75" ht="15.75" customHeight="1">
      <c r="A39" s="65"/>
      <c r="B39" s="66"/>
      <c r="C39" s="66"/>
      <c r="D39" s="66"/>
      <c r="E39" s="66"/>
      <c r="F39" s="65"/>
      <c r="G39" s="65"/>
      <c r="H39" s="66"/>
      <c r="I39" s="66"/>
      <c r="J39" s="66"/>
      <c r="K39" s="66"/>
      <c r="L39" s="66"/>
      <c r="M39" s="66"/>
      <c r="N39" s="66"/>
      <c r="O39" s="66"/>
      <c r="P39" s="66"/>
      <c r="Q39" s="23"/>
      <c r="AB39" s="23"/>
      <c r="AC39" s="23"/>
      <c r="AD39" s="23"/>
      <c r="AE39" s="7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71"/>
      <c r="AV39" s="10"/>
      <c r="AW39" s="23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  <c r="BP39" s="66"/>
      <c r="BQ39" s="66"/>
      <c r="BR39" s="66"/>
      <c r="BS39" s="66"/>
      <c r="BT39" s="66"/>
      <c r="BU39" s="66"/>
      <c r="BV39" s="66"/>
      <c r="BW39" s="66"/>
    </row>
    <row r="40" spans="1:75" ht="15.75" customHeight="1">
      <c r="A40" s="65"/>
      <c r="B40" s="66"/>
      <c r="C40" s="66"/>
      <c r="D40" s="66"/>
      <c r="E40" s="66"/>
      <c r="F40" s="65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23"/>
      <c r="AB40" s="23"/>
      <c r="AC40" s="23"/>
      <c r="AD40" s="23"/>
      <c r="AE40" s="7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71"/>
      <c r="AV40" s="10"/>
      <c r="AW40" s="23"/>
      <c r="BB40" s="66"/>
      <c r="BC40" s="66"/>
      <c r="BD40" s="66"/>
      <c r="BE40" s="66"/>
      <c r="BF40" s="66"/>
      <c r="BG40" s="66"/>
      <c r="BH40" s="66"/>
      <c r="BI40" s="66"/>
      <c r="BJ40" s="66"/>
      <c r="BK40" s="66"/>
      <c r="BL40" s="66"/>
      <c r="BM40" s="66"/>
      <c r="BN40" s="66"/>
      <c r="BO40" s="66"/>
      <c r="BP40" s="66"/>
      <c r="BQ40" s="66"/>
      <c r="BR40" s="66"/>
      <c r="BS40" s="66"/>
      <c r="BT40" s="66"/>
      <c r="BU40" s="66"/>
      <c r="BV40" s="66"/>
      <c r="BW40" s="66"/>
    </row>
    <row r="41" spans="1:75" ht="15.75" customHeight="1">
      <c r="A41" s="65"/>
      <c r="B41" s="66"/>
      <c r="C41" s="66"/>
      <c r="D41" s="66"/>
      <c r="E41" s="66"/>
      <c r="F41" s="65"/>
      <c r="G41" s="65"/>
      <c r="H41" s="66"/>
      <c r="I41" s="66"/>
      <c r="J41" s="66"/>
      <c r="K41" s="66"/>
      <c r="L41" s="66"/>
      <c r="M41" s="66"/>
      <c r="N41" s="66"/>
      <c r="O41" s="66"/>
      <c r="P41" s="66"/>
      <c r="Q41" s="23"/>
      <c r="AB41" s="23"/>
      <c r="AC41" s="23"/>
      <c r="AD41" s="23"/>
      <c r="AE41" s="7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71"/>
      <c r="AV41" s="10"/>
      <c r="AW41" s="23"/>
      <c r="BB41" s="66"/>
      <c r="BC41" s="66"/>
      <c r="BD41" s="66"/>
      <c r="BE41" s="66"/>
      <c r="BF41" s="66"/>
      <c r="BG41" s="66"/>
      <c r="BH41" s="66"/>
      <c r="BI41" s="66"/>
      <c r="BJ41" s="66"/>
      <c r="BK41" s="66"/>
      <c r="BL41" s="66"/>
      <c r="BM41" s="66"/>
      <c r="BN41" s="66"/>
      <c r="BO41" s="66"/>
      <c r="BP41" s="66"/>
      <c r="BQ41" s="66"/>
      <c r="BR41" s="66"/>
      <c r="BS41" s="66"/>
      <c r="BT41" s="66"/>
      <c r="BU41" s="66"/>
      <c r="BV41" s="66"/>
      <c r="BW41" s="66"/>
    </row>
    <row r="42" spans="1:75" ht="15.75" customHeight="1">
      <c r="A42" s="65"/>
      <c r="B42" s="66"/>
      <c r="C42" s="66"/>
      <c r="D42" s="66"/>
      <c r="E42" s="66"/>
      <c r="F42" s="65"/>
      <c r="G42" s="65"/>
      <c r="H42" s="66"/>
      <c r="I42" s="66"/>
      <c r="J42" s="66"/>
      <c r="K42" s="66"/>
      <c r="L42" s="66"/>
      <c r="M42" s="66"/>
      <c r="N42" s="66"/>
      <c r="O42" s="66"/>
      <c r="P42" s="66"/>
      <c r="Q42" s="23"/>
      <c r="AB42" s="23"/>
      <c r="AC42" s="23"/>
      <c r="AD42" s="23"/>
      <c r="AE42" s="7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71"/>
      <c r="AV42" s="10"/>
      <c r="AW42" s="23"/>
      <c r="BB42" s="66"/>
      <c r="BC42" s="66"/>
      <c r="BD42" s="66"/>
      <c r="BE42" s="66"/>
      <c r="BF42" s="66"/>
      <c r="BG42" s="66"/>
      <c r="BH42" s="66"/>
      <c r="BI42" s="66"/>
      <c r="BJ42" s="66"/>
      <c r="BK42" s="66"/>
      <c r="BL42" s="66"/>
      <c r="BM42" s="66"/>
      <c r="BN42" s="66"/>
      <c r="BO42" s="66"/>
      <c r="BP42" s="66"/>
      <c r="BQ42" s="66"/>
      <c r="BR42" s="66"/>
      <c r="BS42" s="66"/>
      <c r="BT42" s="66"/>
      <c r="BU42" s="66"/>
      <c r="BV42" s="66"/>
      <c r="BW42" s="66"/>
    </row>
    <row r="43" spans="1:75" ht="15.75" customHeight="1">
      <c r="A43" s="65"/>
      <c r="B43" s="66"/>
      <c r="C43" s="66"/>
      <c r="D43" s="66"/>
      <c r="E43" s="66"/>
      <c r="F43" s="65"/>
      <c r="G43" s="65"/>
      <c r="H43" s="66"/>
      <c r="I43" s="66"/>
      <c r="J43" s="66"/>
      <c r="K43" s="66"/>
      <c r="L43" s="66"/>
      <c r="M43" s="66"/>
      <c r="N43" s="66"/>
      <c r="O43" s="66"/>
      <c r="P43" s="66"/>
      <c r="Q43" s="23"/>
      <c r="AB43" s="23"/>
      <c r="AC43" s="23"/>
      <c r="AD43" s="23"/>
      <c r="AE43" s="7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71"/>
      <c r="AV43" s="10"/>
      <c r="AW43" s="23"/>
      <c r="BB43" s="66"/>
      <c r="BC43" s="66"/>
      <c r="BD43" s="66"/>
      <c r="BE43" s="66"/>
      <c r="BF43" s="66"/>
      <c r="BG43" s="66"/>
      <c r="BH43" s="66"/>
      <c r="BI43" s="66"/>
      <c r="BJ43" s="66"/>
      <c r="BK43" s="66"/>
      <c r="BL43" s="66"/>
      <c r="BM43" s="66"/>
      <c r="BN43" s="66"/>
      <c r="BO43" s="66"/>
      <c r="BP43" s="66"/>
      <c r="BQ43" s="66"/>
      <c r="BR43" s="66"/>
      <c r="BS43" s="66"/>
      <c r="BT43" s="66"/>
      <c r="BU43" s="66"/>
      <c r="BV43" s="66"/>
      <c r="BW43" s="66"/>
    </row>
    <row r="44" spans="1:75" ht="15.75" customHeight="1">
      <c r="A44" s="65"/>
      <c r="B44" s="66"/>
      <c r="C44" s="66"/>
      <c r="D44" s="66"/>
      <c r="E44" s="66"/>
      <c r="F44" s="65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23"/>
      <c r="AB44" s="23"/>
      <c r="AC44" s="23"/>
      <c r="AD44" s="23"/>
      <c r="AE44" s="7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71"/>
      <c r="AV44" s="10"/>
      <c r="AW44" s="23"/>
      <c r="BB44" s="66"/>
      <c r="BC44" s="66"/>
      <c r="BD44" s="66"/>
      <c r="BE44" s="66"/>
      <c r="BF44" s="66"/>
      <c r="BG44" s="66"/>
      <c r="BH44" s="66"/>
      <c r="BI44" s="66"/>
      <c r="BJ44" s="66"/>
      <c r="BK44" s="66"/>
      <c r="BL44" s="66"/>
      <c r="BM44" s="66"/>
      <c r="BN44" s="66"/>
      <c r="BO44" s="66"/>
      <c r="BP44" s="66"/>
      <c r="BQ44" s="66"/>
      <c r="BR44" s="66"/>
      <c r="BS44" s="66"/>
      <c r="BT44" s="66"/>
      <c r="BU44" s="66"/>
      <c r="BV44" s="66"/>
      <c r="BW44" s="66"/>
    </row>
    <row r="45" spans="1:75" ht="15.75" customHeight="1">
      <c r="A45" s="65"/>
      <c r="B45" s="66"/>
      <c r="C45" s="66"/>
      <c r="D45" s="66"/>
      <c r="E45" s="66"/>
      <c r="F45" s="65"/>
      <c r="G45" s="65"/>
      <c r="H45" s="66"/>
      <c r="I45" s="66"/>
      <c r="J45" s="66"/>
      <c r="K45" s="66"/>
      <c r="L45" s="66"/>
      <c r="M45" s="66"/>
      <c r="N45" s="66"/>
      <c r="O45" s="66"/>
      <c r="P45" s="66"/>
      <c r="Q45" s="23"/>
      <c r="AB45" s="23"/>
      <c r="AC45" s="23"/>
      <c r="AD45" s="23"/>
      <c r="AE45" s="7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71"/>
      <c r="AV45" s="10"/>
      <c r="AW45" s="23"/>
      <c r="BB45" s="66"/>
      <c r="BC45" s="66"/>
      <c r="BD45" s="66"/>
      <c r="BE45" s="66"/>
      <c r="BF45" s="66"/>
      <c r="BG45" s="66"/>
      <c r="BH45" s="66"/>
      <c r="BI45" s="66"/>
      <c r="BJ45" s="66"/>
      <c r="BK45" s="66"/>
      <c r="BL45" s="66"/>
      <c r="BM45" s="66"/>
      <c r="BN45" s="66"/>
      <c r="BO45" s="66"/>
      <c r="BP45" s="66"/>
      <c r="BQ45" s="66"/>
      <c r="BR45" s="66"/>
      <c r="BS45" s="66"/>
      <c r="BT45" s="66"/>
      <c r="BU45" s="66"/>
      <c r="BV45" s="66"/>
      <c r="BW45" s="66"/>
    </row>
    <row r="46" spans="1:75" ht="15.75" customHeight="1">
      <c r="A46" s="65"/>
      <c r="B46" s="66"/>
      <c r="C46" s="66"/>
      <c r="D46" s="66"/>
      <c r="E46" s="66"/>
      <c r="F46" s="65"/>
      <c r="G46" s="65"/>
      <c r="H46" s="66"/>
      <c r="I46" s="66"/>
      <c r="J46" s="66"/>
      <c r="K46" s="66"/>
      <c r="L46" s="66"/>
      <c r="M46" s="66"/>
      <c r="N46" s="66"/>
      <c r="O46" s="66"/>
      <c r="P46" s="66"/>
      <c r="Q46" s="23"/>
      <c r="AB46" s="23"/>
      <c r="AC46" s="23"/>
      <c r="AD46" s="23"/>
      <c r="AE46" s="7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71"/>
      <c r="AV46" s="10"/>
      <c r="AW46" s="23"/>
      <c r="BB46" s="66"/>
      <c r="BC46" s="66"/>
      <c r="BD46" s="66"/>
      <c r="BE46" s="66"/>
      <c r="BF46" s="66"/>
      <c r="BG46" s="66"/>
      <c r="BH46" s="66"/>
      <c r="BI46" s="66"/>
      <c r="BJ46" s="66"/>
      <c r="BK46" s="66"/>
      <c r="BL46" s="66"/>
      <c r="BM46" s="66"/>
      <c r="BN46" s="66"/>
      <c r="BO46" s="66"/>
      <c r="BP46" s="66"/>
      <c r="BQ46" s="66"/>
      <c r="BR46" s="66"/>
      <c r="BS46" s="66"/>
      <c r="BT46" s="66"/>
      <c r="BU46" s="66"/>
      <c r="BV46" s="66"/>
      <c r="BW46" s="66"/>
    </row>
    <row r="47" spans="1:75" ht="15.75" customHeight="1">
      <c r="A47" s="65"/>
      <c r="B47" s="66"/>
      <c r="C47" s="66"/>
      <c r="D47" s="66"/>
      <c r="E47" s="66"/>
      <c r="F47" s="65"/>
      <c r="G47" s="65"/>
      <c r="H47" s="66"/>
      <c r="I47" s="66"/>
      <c r="J47" s="66"/>
      <c r="K47" s="66"/>
      <c r="L47" s="66"/>
      <c r="M47" s="66"/>
      <c r="N47" s="66"/>
      <c r="O47" s="66"/>
      <c r="P47" s="66"/>
      <c r="Q47" s="23"/>
      <c r="AB47" s="23"/>
      <c r="AC47" s="23"/>
      <c r="AD47" s="23"/>
      <c r="AE47" s="7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71"/>
      <c r="AV47" s="10"/>
      <c r="AW47" s="23"/>
      <c r="BB47" s="66"/>
      <c r="BC47" s="66"/>
      <c r="BD47" s="66"/>
      <c r="BE47" s="66"/>
      <c r="BF47" s="66"/>
      <c r="BG47" s="66"/>
      <c r="BH47" s="66"/>
      <c r="BI47" s="66"/>
      <c r="BJ47" s="66"/>
      <c r="BK47" s="66"/>
      <c r="BL47" s="66"/>
      <c r="BM47" s="66"/>
      <c r="BN47" s="66"/>
      <c r="BO47" s="66"/>
      <c r="BP47" s="66"/>
      <c r="BQ47" s="66"/>
      <c r="BR47" s="66"/>
      <c r="BS47" s="66"/>
      <c r="BT47" s="66"/>
      <c r="BU47" s="66"/>
      <c r="BV47" s="66"/>
      <c r="BW47" s="66"/>
    </row>
    <row r="48" spans="1:75" ht="15.75" customHeight="1">
      <c r="A48" s="65"/>
      <c r="B48" s="66"/>
      <c r="C48" s="66"/>
      <c r="D48" s="66"/>
      <c r="E48" s="66"/>
      <c r="F48" s="65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23"/>
      <c r="AB48" s="23"/>
      <c r="AC48" s="23"/>
      <c r="AD48" s="23"/>
      <c r="AE48" s="7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71"/>
      <c r="AV48" s="10"/>
      <c r="AW48" s="23"/>
      <c r="BB48" s="66"/>
      <c r="BC48" s="66"/>
      <c r="BD48" s="66"/>
      <c r="BE48" s="66"/>
      <c r="BF48" s="66"/>
      <c r="BG48" s="66"/>
      <c r="BH48" s="66"/>
      <c r="BI48" s="66"/>
      <c r="BJ48" s="66"/>
      <c r="BK48" s="66"/>
      <c r="BL48" s="66"/>
      <c r="BM48" s="66"/>
      <c r="BN48" s="66"/>
      <c r="BO48" s="66"/>
      <c r="BP48" s="66"/>
      <c r="BQ48" s="66"/>
      <c r="BR48" s="66"/>
      <c r="BS48" s="66"/>
      <c r="BT48" s="66"/>
      <c r="BU48" s="66"/>
      <c r="BV48" s="66"/>
      <c r="BW48" s="66"/>
    </row>
    <row r="49" spans="1:75" ht="15.75" customHeight="1">
      <c r="A49" s="65"/>
      <c r="B49" s="66"/>
      <c r="C49" s="66"/>
      <c r="D49" s="66"/>
      <c r="E49" s="66"/>
      <c r="F49" s="65"/>
      <c r="G49" s="65"/>
      <c r="H49" s="66"/>
      <c r="I49" s="66"/>
      <c r="J49" s="66"/>
      <c r="K49" s="66"/>
      <c r="L49" s="66"/>
      <c r="M49" s="66"/>
      <c r="N49" s="66"/>
      <c r="O49" s="66"/>
      <c r="P49" s="66"/>
      <c r="Q49" s="23"/>
      <c r="AB49" s="23"/>
      <c r="AC49" s="23"/>
      <c r="AD49" s="23"/>
      <c r="AE49" s="7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71"/>
      <c r="AV49" s="10"/>
      <c r="AW49" s="23"/>
      <c r="BB49" s="66"/>
      <c r="BC49" s="66"/>
      <c r="BD49" s="66"/>
      <c r="BE49" s="66"/>
      <c r="BF49" s="66"/>
      <c r="BG49" s="66"/>
      <c r="BH49" s="66"/>
      <c r="BI49" s="66"/>
      <c r="BJ49" s="66"/>
      <c r="BK49" s="66"/>
      <c r="BL49" s="66"/>
      <c r="BM49" s="66"/>
      <c r="BN49" s="66"/>
      <c r="BO49" s="66"/>
      <c r="BP49" s="66"/>
      <c r="BQ49" s="66"/>
      <c r="BR49" s="66"/>
      <c r="BS49" s="66"/>
      <c r="BT49" s="66"/>
      <c r="BU49" s="66"/>
      <c r="BV49" s="66"/>
      <c r="BW49" s="66"/>
    </row>
    <row r="50" spans="1:75" ht="15.75" customHeight="1">
      <c r="A50" s="65"/>
      <c r="B50" s="66"/>
      <c r="C50" s="66"/>
      <c r="D50" s="66"/>
      <c r="E50" s="66"/>
      <c r="F50" s="65"/>
      <c r="G50" s="65"/>
      <c r="H50" s="66"/>
      <c r="I50" s="66"/>
      <c r="J50" s="66"/>
      <c r="K50" s="66"/>
      <c r="L50" s="66"/>
      <c r="M50" s="66"/>
      <c r="N50" s="66"/>
      <c r="O50" s="66"/>
      <c r="P50" s="66"/>
      <c r="Q50" s="23"/>
      <c r="AB50" s="23"/>
      <c r="AC50" s="23"/>
      <c r="AD50" s="23"/>
      <c r="AE50" s="7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71"/>
      <c r="AV50" s="10"/>
      <c r="AW50" s="23"/>
      <c r="BB50" s="66"/>
      <c r="BC50" s="66"/>
      <c r="BD50" s="66"/>
      <c r="BE50" s="66"/>
      <c r="BF50" s="66"/>
      <c r="BG50" s="66"/>
      <c r="BH50" s="66"/>
      <c r="BI50" s="66"/>
      <c r="BJ50" s="66"/>
      <c r="BK50" s="66"/>
      <c r="BL50" s="66"/>
      <c r="BM50" s="66"/>
      <c r="BN50" s="66"/>
      <c r="BO50" s="66"/>
      <c r="BP50" s="66"/>
      <c r="BQ50" s="66"/>
      <c r="BR50" s="66"/>
      <c r="BS50" s="66"/>
      <c r="BT50" s="66"/>
      <c r="BU50" s="66"/>
      <c r="BV50" s="66"/>
      <c r="BW50" s="66"/>
    </row>
    <row r="51" spans="1:75" ht="15.75" customHeight="1">
      <c r="A51" s="65"/>
      <c r="B51" s="66"/>
      <c r="C51" s="66"/>
      <c r="D51" s="66"/>
      <c r="E51" s="66"/>
      <c r="F51" s="65"/>
      <c r="G51" s="65"/>
      <c r="H51" s="66"/>
      <c r="I51" s="66"/>
      <c r="J51" s="66"/>
      <c r="K51" s="66"/>
      <c r="L51" s="66"/>
      <c r="M51" s="66"/>
      <c r="N51" s="66"/>
      <c r="O51" s="66"/>
      <c r="P51" s="66"/>
      <c r="Q51" s="23"/>
      <c r="AB51" s="23"/>
      <c r="AC51" s="23"/>
      <c r="AD51" s="23"/>
      <c r="AE51" s="7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71"/>
      <c r="AV51" s="10"/>
      <c r="AW51" s="23"/>
      <c r="BB51" s="66"/>
      <c r="BC51" s="66"/>
      <c r="BD51" s="66"/>
      <c r="BE51" s="66"/>
      <c r="BF51" s="66"/>
      <c r="BG51" s="66"/>
      <c r="BH51" s="66"/>
      <c r="BI51" s="66"/>
      <c r="BJ51" s="66"/>
      <c r="BK51" s="66"/>
      <c r="BL51" s="66"/>
      <c r="BM51" s="66"/>
      <c r="BN51" s="66"/>
      <c r="BO51" s="66"/>
      <c r="BP51" s="66"/>
      <c r="BQ51" s="66"/>
      <c r="BR51" s="66"/>
      <c r="BS51" s="66"/>
      <c r="BT51" s="66"/>
      <c r="BU51" s="66"/>
      <c r="BV51" s="66"/>
      <c r="BW51" s="66"/>
    </row>
    <row r="52" spans="1:75" ht="15.75" customHeight="1">
      <c r="A52" s="65"/>
      <c r="B52" s="66"/>
      <c r="C52" s="66"/>
      <c r="D52" s="66"/>
      <c r="E52" s="66"/>
      <c r="F52" s="65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23"/>
      <c r="AB52" s="23"/>
      <c r="AC52" s="23"/>
      <c r="AD52" s="23"/>
      <c r="AE52" s="7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71"/>
      <c r="AV52" s="10"/>
      <c r="AW52" s="23"/>
      <c r="BB52" s="66"/>
      <c r="BC52" s="66"/>
      <c r="BD52" s="66"/>
      <c r="BE52" s="66"/>
      <c r="BF52" s="66"/>
      <c r="BG52" s="66"/>
      <c r="BH52" s="66"/>
      <c r="BI52" s="66"/>
      <c r="BJ52" s="66"/>
      <c r="BK52" s="66"/>
      <c r="BL52" s="66"/>
      <c r="BM52" s="66"/>
      <c r="BN52" s="66"/>
      <c r="BO52" s="66"/>
      <c r="BP52" s="66"/>
      <c r="BQ52" s="66"/>
      <c r="BR52" s="66"/>
      <c r="BS52" s="66"/>
      <c r="BT52" s="66"/>
      <c r="BU52" s="66"/>
      <c r="BV52" s="66"/>
      <c r="BW52" s="66"/>
    </row>
    <row r="53" spans="1:75" ht="15.75" customHeight="1">
      <c r="A53" s="65"/>
      <c r="B53" s="66"/>
      <c r="C53" s="66"/>
      <c r="D53" s="66"/>
      <c r="E53" s="66"/>
      <c r="F53" s="65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23"/>
      <c r="AB53" s="23"/>
      <c r="AC53" s="23"/>
      <c r="AD53" s="23"/>
      <c r="AE53" s="7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71"/>
      <c r="AV53" s="10"/>
      <c r="AW53" s="23"/>
      <c r="BB53" s="66"/>
      <c r="BC53" s="66"/>
      <c r="BD53" s="66"/>
      <c r="BE53" s="66"/>
      <c r="BF53" s="66"/>
      <c r="BG53" s="66"/>
      <c r="BH53" s="66"/>
      <c r="BI53" s="66"/>
      <c r="BJ53" s="66"/>
      <c r="BK53" s="66"/>
      <c r="BL53" s="66"/>
      <c r="BM53" s="66"/>
      <c r="BN53" s="66"/>
      <c r="BO53" s="66"/>
      <c r="BP53" s="66"/>
      <c r="BQ53" s="66"/>
      <c r="BR53" s="66"/>
      <c r="BS53" s="66"/>
      <c r="BT53" s="66"/>
      <c r="BU53" s="66"/>
      <c r="BV53" s="66"/>
      <c r="BW53" s="66"/>
    </row>
    <row r="54" spans="1:75" ht="15.75" customHeight="1">
      <c r="A54" s="65"/>
      <c r="B54" s="66"/>
      <c r="C54" s="66"/>
      <c r="D54" s="66"/>
      <c r="E54" s="66"/>
      <c r="F54" s="65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23"/>
      <c r="AB54" s="23"/>
      <c r="AC54" s="23"/>
      <c r="AD54" s="23"/>
      <c r="AE54" s="7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71"/>
      <c r="AV54" s="10"/>
      <c r="AW54" s="23"/>
      <c r="BB54" s="66"/>
      <c r="BC54" s="66"/>
      <c r="BD54" s="66"/>
      <c r="BE54" s="66"/>
      <c r="BF54" s="66"/>
      <c r="BG54" s="66"/>
      <c r="BH54" s="66"/>
      <c r="BI54" s="66"/>
      <c r="BJ54" s="66"/>
      <c r="BK54" s="66"/>
      <c r="BL54" s="66"/>
      <c r="BM54" s="66"/>
      <c r="BN54" s="66"/>
      <c r="BO54" s="66"/>
      <c r="BP54" s="66"/>
      <c r="BQ54" s="66"/>
      <c r="BR54" s="66"/>
      <c r="BS54" s="66"/>
      <c r="BT54" s="66"/>
      <c r="BU54" s="66"/>
      <c r="BV54" s="66"/>
      <c r="BW54" s="66"/>
    </row>
    <row r="55" spans="1:75" ht="15.75" customHeight="1">
      <c r="A55" s="65"/>
      <c r="B55" s="66"/>
      <c r="C55" s="66"/>
      <c r="D55" s="66"/>
      <c r="E55" s="66"/>
      <c r="F55" s="65"/>
      <c r="G55" s="65"/>
      <c r="H55" s="66"/>
      <c r="I55" s="66"/>
      <c r="J55" s="66"/>
      <c r="K55" s="66"/>
      <c r="L55" s="66"/>
      <c r="M55" s="66"/>
      <c r="N55" s="66"/>
      <c r="O55" s="66"/>
      <c r="P55" s="66"/>
      <c r="Q55" s="23"/>
      <c r="AB55" s="23"/>
      <c r="AC55" s="23"/>
      <c r="AD55" s="23"/>
      <c r="AE55" s="7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71"/>
      <c r="AV55" s="10"/>
      <c r="AW55" s="23"/>
      <c r="BB55" s="66"/>
      <c r="BC55" s="66"/>
      <c r="BD55" s="66"/>
      <c r="BE55" s="66"/>
      <c r="BF55" s="66"/>
      <c r="BG55" s="66"/>
      <c r="BH55" s="66"/>
      <c r="BI55" s="66"/>
      <c r="BJ55" s="66"/>
      <c r="BK55" s="66"/>
      <c r="BL55" s="66"/>
      <c r="BM55" s="66"/>
      <c r="BN55" s="66"/>
      <c r="BO55" s="66"/>
      <c r="BP55" s="66"/>
      <c r="BQ55" s="66"/>
      <c r="BR55" s="66"/>
      <c r="BS55" s="66"/>
      <c r="BT55" s="66"/>
      <c r="BU55" s="66"/>
      <c r="BV55" s="66"/>
      <c r="BW55" s="66"/>
    </row>
    <row r="56" spans="1:75" ht="15.75" customHeight="1">
      <c r="A56" s="65"/>
      <c r="B56" s="66"/>
      <c r="C56" s="66"/>
      <c r="D56" s="66"/>
      <c r="E56" s="66"/>
      <c r="F56" s="65"/>
      <c r="G56" s="65"/>
      <c r="H56" s="66"/>
      <c r="I56" s="66"/>
      <c r="J56" s="66"/>
      <c r="K56" s="66"/>
      <c r="L56" s="66"/>
      <c r="M56" s="66"/>
      <c r="N56" s="66"/>
      <c r="O56" s="66"/>
      <c r="P56" s="66"/>
      <c r="Q56" s="23"/>
      <c r="AB56" s="23"/>
      <c r="AC56" s="23"/>
      <c r="AD56" s="23"/>
      <c r="AE56" s="7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71"/>
      <c r="AV56" s="10"/>
      <c r="AW56" s="23"/>
      <c r="BB56" s="66"/>
      <c r="BC56" s="66"/>
      <c r="BD56" s="66"/>
      <c r="BE56" s="66"/>
      <c r="BF56" s="66"/>
      <c r="BG56" s="66"/>
      <c r="BH56" s="66"/>
      <c r="BI56" s="66"/>
      <c r="BJ56" s="66"/>
      <c r="BK56" s="66"/>
      <c r="BL56" s="66"/>
      <c r="BM56" s="66"/>
      <c r="BN56" s="66"/>
      <c r="BO56" s="66"/>
      <c r="BP56" s="66"/>
      <c r="BQ56" s="66"/>
      <c r="BR56" s="66"/>
      <c r="BS56" s="66"/>
      <c r="BT56" s="66"/>
      <c r="BU56" s="66"/>
      <c r="BV56" s="66"/>
      <c r="BW56" s="66"/>
    </row>
    <row r="57" spans="1:75" ht="15.75" customHeight="1">
      <c r="A57" s="65"/>
      <c r="B57" s="66"/>
      <c r="C57" s="66"/>
      <c r="D57" s="66"/>
      <c r="E57" s="66"/>
      <c r="F57" s="65"/>
      <c r="G57" s="65"/>
      <c r="H57" s="66"/>
      <c r="I57" s="66"/>
      <c r="J57" s="66"/>
      <c r="K57" s="66"/>
      <c r="L57" s="66"/>
      <c r="M57" s="66"/>
      <c r="N57" s="66"/>
      <c r="O57" s="66"/>
      <c r="P57" s="66"/>
      <c r="Q57" s="23"/>
      <c r="AB57" s="23"/>
      <c r="AC57" s="23"/>
      <c r="AD57" s="23"/>
      <c r="AE57" s="7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71"/>
      <c r="AV57" s="10"/>
      <c r="AW57" s="23"/>
      <c r="BB57" s="66"/>
      <c r="BC57" s="66"/>
      <c r="BD57" s="66"/>
      <c r="BE57" s="66"/>
      <c r="BF57" s="66"/>
      <c r="BG57" s="66"/>
      <c r="BH57" s="66"/>
      <c r="BI57" s="66"/>
      <c r="BJ57" s="66"/>
      <c r="BK57" s="66"/>
      <c r="BL57" s="66"/>
      <c r="BM57" s="66"/>
      <c r="BN57" s="66"/>
      <c r="BO57" s="66"/>
      <c r="BP57" s="66"/>
      <c r="BQ57" s="66"/>
      <c r="BR57" s="66"/>
      <c r="BS57" s="66"/>
      <c r="BT57" s="66"/>
      <c r="BU57" s="66"/>
      <c r="BV57" s="66"/>
      <c r="BW57" s="66"/>
    </row>
    <row r="58" spans="1:75" ht="15.75" customHeight="1">
      <c r="A58" s="65"/>
      <c r="B58" s="66"/>
      <c r="C58" s="66"/>
      <c r="D58" s="66"/>
      <c r="E58" s="66"/>
      <c r="F58" s="65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23"/>
      <c r="AB58" s="23"/>
      <c r="AC58" s="23"/>
      <c r="AD58" s="23"/>
      <c r="AE58" s="7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71"/>
      <c r="AV58" s="10"/>
      <c r="AW58" s="23"/>
      <c r="BB58" s="66"/>
      <c r="BC58" s="66"/>
      <c r="BD58" s="66"/>
      <c r="BE58" s="66"/>
      <c r="BF58" s="66"/>
      <c r="BG58" s="66"/>
      <c r="BH58" s="66"/>
      <c r="BI58" s="66"/>
      <c r="BJ58" s="66"/>
      <c r="BK58" s="66"/>
      <c r="BL58" s="66"/>
      <c r="BM58" s="66"/>
      <c r="BN58" s="66"/>
      <c r="BO58" s="66"/>
      <c r="BP58" s="66"/>
      <c r="BQ58" s="66"/>
      <c r="BR58" s="66"/>
      <c r="BS58" s="66"/>
      <c r="BT58" s="66"/>
      <c r="BU58" s="66"/>
      <c r="BV58" s="66"/>
      <c r="BW58" s="66"/>
    </row>
    <row r="59" spans="1:75" ht="15.75" customHeight="1">
      <c r="A59" s="65"/>
      <c r="B59" s="66"/>
      <c r="C59" s="66"/>
      <c r="D59" s="66"/>
      <c r="E59" s="66"/>
      <c r="F59" s="65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23"/>
      <c r="AB59" s="23"/>
      <c r="AC59" s="23"/>
      <c r="AD59" s="23"/>
      <c r="AE59" s="7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71"/>
      <c r="AV59" s="10"/>
      <c r="AW59" s="23"/>
      <c r="BB59" s="66"/>
      <c r="BC59" s="66"/>
      <c r="BD59" s="66"/>
      <c r="BE59" s="66"/>
      <c r="BF59" s="66"/>
      <c r="BG59" s="66"/>
      <c r="BH59" s="66"/>
      <c r="BI59" s="66"/>
      <c r="BJ59" s="66"/>
      <c r="BK59" s="66"/>
      <c r="BL59" s="66"/>
      <c r="BM59" s="66"/>
      <c r="BN59" s="66"/>
      <c r="BO59" s="66"/>
      <c r="BP59" s="66"/>
      <c r="BQ59" s="66"/>
      <c r="BR59" s="66"/>
      <c r="BS59" s="66"/>
      <c r="BT59" s="66"/>
      <c r="BU59" s="66"/>
      <c r="BV59" s="66"/>
      <c r="BW59" s="66"/>
    </row>
    <row r="60" spans="1:75" ht="15.75" customHeight="1">
      <c r="A60" s="65"/>
      <c r="B60" s="66"/>
      <c r="C60" s="66"/>
      <c r="D60" s="66"/>
      <c r="E60" s="66"/>
      <c r="F60" s="65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23"/>
      <c r="AB60" s="23"/>
      <c r="AC60" s="23"/>
      <c r="AD60" s="23"/>
      <c r="AE60" s="7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71"/>
      <c r="AV60" s="10"/>
      <c r="AW60" s="23"/>
      <c r="BB60" s="66"/>
      <c r="BC60" s="66"/>
      <c r="BD60" s="66"/>
      <c r="BE60" s="66"/>
      <c r="BF60" s="66"/>
      <c r="BG60" s="66"/>
      <c r="BH60" s="66"/>
      <c r="BI60" s="66"/>
      <c r="BJ60" s="66"/>
      <c r="BK60" s="66"/>
      <c r="BL60" s="66"/>
      <c r="BM60" s="66"/>
      <c r="BN60" s="66"/>
      <c r="BO60" s="66"/>
      <c r="BP60" s="66"/>
      <c r="BQ60" s="66"/>
      <c r="BR60" s="66"/>
      <c r="BS60" s="66"/>
      <c r="BT60" s="66"/>
      <c r="BU60" s="66"/>
      <c r="BV60" s="66"/>
      <c r="BW60" s="66"/>
    </row>
    <row r="61" spans="1:75" ht="15.75" customHeight="1">
      <c r="A61" s="65"/>
      <c r="B61" s="66"/>
      <c r="C61" s="66"/>
      <c r="D61" s="66"/>
      <c r="E61" s="66"/>
      <c r="F61" s="65"/>
      <c r="G61" s="65"/>
      <c r="H61" s="66"/>
      <c r="I61" s="66"/>
      <c r="J61" s="66"/>
      <c r="K61" s="66"/>
      <c r="L61" s="66"/>
      <c r="M61" s="66"/>
      <c r="N61" s="66"/>
      <c r="O61" s="66"/>
      <c r="P61" s="66"/>
      <c r="Q61" s="23"/>
      <c r="AB61" s="23"/>
      <c r="AC61" s="23"/>
      <c r="AD61" s="23"/>
      <c r="AE61" s="7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71"/>
      <c r="AV61" s="10"/>
      <c r="AW61" s="23"/>
      <c r="BB61" s="66"/>
      <c r="BC61" s="66"/>
      <c r="BD61" s="66"/>
      <c r="BE61" s="66"/>
      <c r="BF61" s="66"/>
      <c r="BG61" s="66"/>
      <c r="BH61" s="66"/>
      <c r="BI61" s="66"/>
      <c r="BJ61" s="66"/>
      <c r="BK61" s="66"/>
      <c r="BL61" s="66"/>
      <c r="BM61" s="66"/>
      <c r="BN61" s="66"/>
      <c r="BO61" s="66"/>
      <c r="BP61" s="66"/>
      <c r="BQ61" s="66"/>
      <c r="BR61" s="66"/>
      <c r="BS61" s="66"/>
      <c r="BT61" s="66"/>
      <c r="BU61" s="66"/>
      <c r="BV61" s="66"/>
      <c r="BW61" s="66"/>
    </row>
    <row r="62" spans="1:75" ht="15.75" customHeight="1">
      <c r="A62" s="65"/>
      <c r="B62" s="66"/>
      <c r="C62" s="66"/>
      <c r="D62" s="66"/>
      <c r="E62" s="66"/>
      <c r="F62" s="65"/>
      <c r="G62" s="65"/>
      <c r="H62" s="66"/>
      <c r="I62" s="66"/>
      <c r="J62" s="66"/>
      <c r="K62" s="66"/>
      <c r="L62" s="66"/>
      <c r="M62" s="66"/>
      <c r="N62" s="66"/>
      <c r="O62" s="66"/>
      <c r="P62" s="66"/>
      <c r="Q62" s="23"/>
      <c r="AB62" s="23"/>
      <c r="AC62" s="23"/>
      <c r="AD62" s="23"/>
      <c r="AE62" s="7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71"/>
      <c r="AV62" s="10"/>
      <c r="AW62" s="23"/>
      <c r="BB62" s="66"/>
      <c r="BC62" s="66"/>
      <c r="BD62" s="66"/>
      <c r="BE62" s="66"/>
      <c r="BF62" s="66"/>
      <c r="BG62" s="66"/>
      <c r="BH62" s="66"/>
      <c r="BI62" s="66"/>
      <c r="BJ62" s="66"/>
      <c r="BK62" s="66"/>
      <c r="BL62" s="66"/>
      <c r="BM62" s="66"/>
      <c r="BN62" s="66"/>
      <c r="BO62" s="66"/>
      <c r="BP62" s="66"/>
      <c r="BQ62" s="66"/>
      <c r="BR62" s="66"/>
      <c r="BS62" s="66"/>
      <c r="BT62" s="66"/>
      <c r="BU62" s="66"/>
      <c r="BV62" s="66"/>
      <c r="BW62" s="66"/>
    </row>
    <row r="63" spans="1:75" ht="15.75" customHeight="1">
      <c r="A63" s="65"/>
      <c r="B63" s="66"/>
      <c r="C63" s="66"/>
      <c r="D63" s="66"/>
      <c r="E63" s="66"/>
      <c r="F63" s="65"/>
      <c r="G63" s="65"/>
      <c r="H63" s="66"/>
      <c r="I63" s="66"/>
      <c r="J63" s="66"/>
      <c r="K63" s="66"/>
      <c r="L63" s="66"/>
      <c r="M63" s="66"/>
      <c r="N63" s="66"/>
      <c r="O63" s="66"/>
      <c r="P63" s="66"/>
      <c r="Q63" s="23"/>
      <c r="AB63" s="23"/>
      <c r="AC63" s="23"/>
      <c r="AD63" s="23"/>
      <c r="AE63" s="7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71"/>
      <c r="AV63" s="10"/>
      <c r="AW63" s="23"/>
      <c r="BB63" s="66"/>
      <c r="BC63" s="66"/>
      <c r="BD63" s="66"/>
      <c r="BE63" s="66"/>
      <c r="BF63" s="66"/>
      <c r="BG63" s="66"/>
      <c r="BH63" s="66"/>
      <c r="BI63" s="66"/>
      <c r="BJ63" s="66"/>
      <c r="BK63" s="66"/>
      <c r="BL63" s="66"/>
      <c r="BM63" s="66"/>
      <c r="BN63" s="66"/>
      <c r="BO63" s="66"/>
      <c r="BP63" s="66"/>
      <c r="BQ63" s="66"/>
      <c r="BR63" s="66"/>
      <c r="BS63" s="66"/>
      <c r="BT63" s="66"/>
      <c r="BU63" s="66"/>
      <c r="BV63" s="66"/>
      <c r="BW63" s="66"/>
    </row>
    <row r="64" spans="1:75" ht="15.75" customHeight="1">
      <c r="A64" s="65"/>
      <c r="B64" s="66"/>
      <c r="C64" s="66"/>
      <c r="D64" s="66"/>
      <c r="E64" s="66"/>
      <c r="F64" s="65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23"/>
      <c r="AB64" s="23"/>
      <c r="AC64" s="23"/>
      <c r="AD64" s="23"/>
      <c r="AE64" s="7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71"/>
      <c r="AV64" s="10"/>
      <c r="AW64" s="23"/>
      <c r="BB64" s="66"/>
      <c r="BC64" s="66"/>
      <c r="BD64" s="66"/>
      <c r="BE64" s="66"/>
      <c r="BF64" s="66"/>
      <c r="BG64" s="66"/>
      <c r="BH64" s="66"/>
      <c r="BI64" s="66"/>
      <c r="BJ64" s="66"/>
      <c r="BK64" s="66"/>
      <c r="BL64" s="66"/>
      <c r="BM64" s="66"/>
      <c r="BN64" s="66"/>
      <c r="BO64" s="66"/>
      <c r="BP64" s="66"/>
      <c r="BQ64" s="66"/>
      <c r="BR64" s="66"/>
      <c r="BS64" s="66"/>
      <c r="BT64" s="66"/>
      <c r="BU64" s="66"/>
      <c r="BV64" s="66"/>
      <c r="BW64" s="66"/>
    </row>
    <row r="65" spans="1:75" ht="15.75" customHeight="1">
      <c r="A65" s="65"/>
      <c r="B65" s="66"/>
      <c r="C65" s="66"/>
      <c r="D65" s="66"/>
      <c r="E65" s="66"/>
      <c r="F65" s="65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23"/>
      <c r="AB65" s="23"/>
      <c r="AC65" s="23"/>
      <c r="AD65" s="23"/>
      <c r="AE65" s="7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71"/>
      <c r="AV65" s="10"/>
      <c r="AW65" s="23"/>
      <c r="BB65" s="66"/>
      <c r="BC65" s="66"/>
      <c r="BD65" s="66"/>
      <c r="BE65" s="66"/>
      <c r="BF65" s="66"/>
      <c r="BG65" s="66"/>
      <c r="BH65" s="66"/>
      <c r="BI65" s="66"/>
      <c r="BJ65" s="66"/>
      <c r="BK65" s="66"/>
      <c r="BL65" s="66"/>
      <c r="BM65" s="66"/>
      <c r="BN65" s="66"/>
      <c r="BO65" s="66"/>
      <c r="BP65" s="66"/>
      <c r="BQ65" s="66"/>
      <c r="BR65" s="66"/>
      <c r="BS65" s="66"/>
      <c r="BT65" s="66"/>
      <c r="BU65" s="66"/>
      <c r="BV65" s="66"/>
      <c r="BW65" s="66"/>
    </row>
    <row r="66" spans="1:75" ht="15.75" customHeight="1">
      <c r="A66" s="65"/>
      <c r="B66" s="66"/>
      <c r="C66" s="66"/>
      <c r="D66" s="66"/>
      <c r="E66" s="66"/>
      <c r="F66" s="65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23"/>
      <c r="AB66" s="23"/>
      <c r="AC66" s="23"/>
      <c r="AD66" s="23"/>
      <c r="AE66" s="7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71"/>
      <c r="AV66" s="10"/>
      <c r="AW66" s="23"/>
      <c r="BB66" s="66"/>
      <c r="BC66" s="66"/>
      <c r="BD66" s="66"/>
      <c r="BE66" s="66"/>
      <c r="BF66" s="66"/>
      <c r="BG66" s="66"/>
      <c r="BH66" s="66"/>
      <c r="BI66" s="66"/>
      <c r="BJ66" s="66"/>
      <c r="BK66" s="66"/>
      <c r="BL66" s="66"/>
      <c r="BM66" s="66"/>
      <c r="BN66" s="66"/>
      <c r="BO66" s="66"/>
      <c r="BP66" s="66"/>
      <c r="BQ66" s="66"/>
      <c r="BR66" s="66"/>
      <c r="BS66" s="66"/>
      <c r="BT66" s="66"/>
      <c r="BU66" s="66"/>
      <c r="BV66" s="66"/>
      <c r="BW66" s="66"/>
    </row>
    <row r="67" spans="1:75" ht="15.75" customHeight="1">
      <c r="A67" s="65"/>
      <c r="B67" s="66"/>
      <c r="C67" s="66"/>
      <c r="D67" s="66"/>
      <c r="E67" s="66"/>
      <c r="F67" s="65"/>
      <c r="G67" s="65"/>
      <c r="H67" s="66"/>
      <c r="I67" s="66"/>
      <c r="J67" s="66"/>
      <c r="K67" s="66"/>
      <c r="L67" s="66"/>
      <c r="M67" s="66"/>
      <c r="N67" s="66"/>
      <c r="O67" s="66"/>
      <c r="P67" s="66"/>
      <c r="Q67" s="23"/>
      <c r="AB67" s="23"/>
      <c r="AC67" s="23"/>
      <c r="AD67" s="23"/>
      <c r="AE67" s="7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71"/>
      <c r="AV67" s="10"/>
      <c r="AW67" s="23"/>
      <c r="BB67" s="66"/>
      <c r="BC67" s="66"/>
      <c r="BD67" s="66"/>
      <c r="BE67" s="66"/>
      <c r="BF67" s="66"/>
      <c r="BG67" s="66"/>
      <c r="BH67" s="66"/>
      <c r="BI67" s="66"/>
      <c r="BJ67" s="66"/>
      <c r="BK67" s="66"/>
      <c r="BL67" s="66"/>
      <c r="BM67" s="66"/>
      <c r="BN67" s="66"/>
      <c r="BO67" s="66"/>
      <c r="BP67" s="66"/>
      <c r="BQ67" s="66"/>
      <c r="BR67" s="66"/>
      <c r="BS67" s="66"/>
      <c r="BT67" s="66"/>
      <c r="BU67" s="66"/>
      <c r="BV67" s="66"/>
      <c r="BW67" s="66"/>
    </row>
    <row r="68" spans="1:75" ht="15.75" customHeight="1">
      <c r="A68" s="65"/>
      <c r="B68" s="66"/>
      <c r="C68" s="66"/>
      <c r="D68" s="66"/>
      <c r="E68" s="66"/>
      <c r="F68" s="65"/>
      <c r="G68" s="65"/>
      <c r="H68" s="66"/>
      <c r="I68" s="66"/>
      <c r="J68" s="66"/>
      <c r="K68" s="66"/>
      <c r="L68" s="66"/>
      <c r="M68" s="66"/>
      <c r="N68" s="66"/>
      <c r="O68" s="66"/>
      <c r="P68" s="66"/>
      <c r="Q68" s="23"/>
      <c r="AB68" s="23"/>
      <c r="AC68" s="23"/>
      <c r="AD68" s="23"/>
      <c r="AE68" s="7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71"/>
      <c r="AV68" s="10"/>
      <c r="AW68" s="23"/>
      <c r="BB68" s="66"/>
      <c r="BC68" s="66"/>
      <c r="BD68" s="66"/>
      <c r="BE68" s="66"/>
      <c r="BF68" s="66"/>
      <c r="BG68" s="66"/>
      <c r="BH68" s="66"/>
      <c r="BI68" s="66"/>
      <c r="BJ68" s="66"/>
      <c r="BK68" s="66"/>
      <c r="BL68" s="66"/>
      <c r="BM68" s="66"/>
      <c r="BN68" s="66"/>
      <c r="BO68" s="66"/>
      <c r="BP68" s="66"/>
      <c r="BQ68" s="66"/>
      <c r="BR68" s="66"/>
      <c r="BS68" s="66"/>
      <c r="BT68" s="66"/>
      <c r="BU68" s="66"/>
      <c r="BV68" s="66"/>
      <c r="BW68" s="66"/>
    </row>
    <row r="69" spans="1:75" ht="15.75" customHeight="1">
      <c r="A69" s="65"/>
      <c r="B69" s="66"/>
      <c r="C69" s="66"/>
      <c r="D69" s="66"/>
      <c r="E69" s="66"/>
      <c r="F69" s="65"/>
      <c r="G69" s="65"/>
      <c r="H69" s="66"/>
      <c r="I69" s="66"/>
      <c r="J69" s="66"/>
      <c r="K69" s="66"/>
      <c r="L69" s="66"/>
      <c r="M69" s="66"/>
      <c r="N69" s="66"/>
      <c r="O69" s="66"/>
      <c r="P69" s="66"/>
      <c r="Q69" s="23"/>
      <c r="AB69" s="23"/>
      <c r="AC69" s="23"/>
      <c r="AD69" s="23"/>
      <c r="AE69" s="7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71"/>
      <c r="AV69" s="10"/>
      <c r="AW69" s="23"/>
      <c r="BB69" s="66"/>
      <c r="BC69" s="66"/>
      <c r="BD69" s="66"/>
      <c r="BE69" s="66"/>
      <c r="BF69" s="66"/>
      <c r="BG69" s="66"/>
      <c r="BH69" s="66"/>
      <c r="BI69" s="66"/>
      <c r="BJ69" s="66"/>
      <c r="BK69" s="66"/>
      <c r="BL69" s="66"/>
      <c r="BM69" s="66"/>
      <c r="BN69" s="66"/>
      <c r="BO69" s="66"/>
      <c r="BP69" s="66"/>
      <c r="BQ69" s="66"/>
      <c r="BR69" s="66"/>
      <c r="BS69" s="66"/>
      <c r="BT69" s="66"/>
      <c r="BU69" s="66"/>
      <c r="BV69" s="66"/>
      <c r="BW69" s="66"/>
    </row>
    <row r="70" spans="1:75" ht="15.75" customHeight="1">
      <c r="A70" s="65"/>
      <c r="B70" s="66"/>
      <c r="C70" s="66"/>
      <c r="D70" s="66"/>
      <c r="E70" s="66"/>
      <c r="F70" s="65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23"/>
      <c r="AB70" s="23"/>
      <c r="AC70" s="23"/>
      <c r="AD70" s="23"/>
      <c r="AE70" s="7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71"/>
      <c r="AV70" s="10"/>
      <c r="AW70" s="23"/>
      <c r="BB70" s="66"/>
      <c r="BC70" s="66"/>
      <c r="BD70" s="66"/>
      <c r="BE70" s="66"/>
      <c r="BF70" s="66"/>
      <c r="BG70" s="66"/>
      <c r="BH70" s="66"/>
      <c r="BI70" s="66"/>
      <c r="BJ70" s="66"/>
      <c r="BK70" s="66"/>
      <c r="BL70" s="66"/>
      <c r="BM70" s="66"/>
      <c r="BN70" s="66"/>
      <c r="BO70" s="66"/>
      <c r="BP70" s="66"/>
      <c r="BQ70" s="66"/>
      <c r="BR70" s="66"/>
      <c r="BS70" s="66"/>
      <c r="BT70" s="66"/>
      <c r="BU70" s="66"/>
      <c r="BV70" s="66"/>
      <c r="BW70" s="66"/>
    </row>
    <row r="71" spans="1:75" ht="15.75" customHeight="1">
      <c r="A71" s="65"/>
      <c r="B71" s="66"/>
      <c r="C71" s="66"/>
      <c r="D71" s="66"/>
      <c r="E71" s="66"/>
      <c r="F71" s="65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23"/>
      <c r="AB71" s="23"/>
      <c r="AC71" s="23"/>
      <c r="AD71" s="23"/>
      <c r="AE71" s="7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71"/>
      <c r="AV71" s="10"/>
      <c r="AW71" s="23"/>
      <c r="BB71" s="66"/>
      <c r="BC71" s="66"/>
      <c r="BD71" s="66"/>
      <c r="BE71" s="66"/>
      <c r="BF71" s="66"/>
      <c r="BG71" s="66"/>
      <c r="BH71" s="66"/>
      <c r="BI71" s="66"/>
      <c r="BJ71" s="66"/>
      <c r="BK71" s="66"/>
      <c r="BL71" s="66"/>
      <c r="BM71" s="66"/>
      <c r="BN71" s="66"/>
      <c r="BO71" s="66"/>
      <c r="BP71" s="66"/>
      <c r="BQ71" s="66"/>
      <c r="BR71" s="66"/>
      <c r="BS71" s="66"/>
      <c r="BT71" s="66"/>
      <c r="BU71" s="66"/>
      <c r="BV71" s="66"/>
      <c r="BW71" s="66"/>
    </row>
    <row r="72" spans="1:75" ht="15.75" customHeight="1">
      <c r="A72" s="65"/>
      <c r="B72" s="66"/>
      <c r="C72" s="66"/>
      <c r="D72" s="66"/>
      <c r="E72" s="66"/>
      <c r="F72" s="65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23"/>
      <c r="AB72" s="23"/>
      <c r="AC72" s="23"/>
      <c r="AD72" s="23"/>
      <c r="AE72" s="7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71"/>
      <c r="AV72" s="10"/>
      <c r="AW72" s="23"/>
      <c r="BB72" s="66"/>
      <c r="BC72" s="66"/>
      <c r="BD72" s="66"/>
      <c r="BE72" s="66"/>
      <c r="BF72" s="66"/>
      <c r="BG72" s="66"/>
      <c r="BH72" s="66"/>
      <c r="BI72" s="66"/>
      <c r="BJ72" s="66"/>
      <c r="BK72" s="66"/>
      <c r="BL72" s="66"/>
      <c r="BM72" s="66"/>
      <c r="BN72" s="66"/>
      <c r="BO72" s="66"/>
      <c r="BP72" s="66"/>
      <c r="BQ72" s="66"/>
      <c r="BR72" s="66"/>
      <c r="BS72" s="66"/>
      <c r="BT72" s="66"/>
      <c r="BU72" s="66"/>
      <c r="BV72" s="66"/>
      <c r="BW72" s="66"/>
    </row>
    <row r="73" spans="1:75" ht="15.75" customHeight="1">
      <c r="A73" s="65"/>
      <c r="B73" s="66"/>
      <c r="C73" s="66"/>
      <c r="D73" s="66"/>
      <c r="E73" s="66"/>
      <c r="F73" s="65"/>
      <c r="G73" s="65"/>
      <c r="H73" s="66"/>
      <c r="I73" s="66"/>
      <c r="J73" s="66"/>
      <c r="K73" s="66"/>
      <c r="L73" s="66"/>
      <c r="M73" s="66"/>
      <c r="N73" s="66"/>
      <c r="O73" s="66"/>
      <c r="P73" s="66"/>
      <c r="Q73" s="23"/>
      <c r="AB73" s="23"/>
      <c r="AC73" s="23"/>
      <c r="AD73" s="23"/>
      <c r="AE73" s="7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71"/>
      <c r="AV73" s="10"/>
      <c r="AW73" s="23"/>
      <c r="BB73" s="66"/>
      <c r="BC73" s="66"/>
      <c r="BD73" s="66"/>
      <c r="BE73" s="66"/>
      <c r="BF73" s="66"/>
      <c r="BG73" s="66"/>
      <c r="BH73" s="66"/>
      <c r="BI73" s="66"/>
      <c r="BJ73" s="66"/>
      <c r="BK73" s="66"/>
      <c r="BL73" s="66"/>
      <c r="BM73" s="66"/>
      <c r="BN73" s="66"/>
      <c r="BO73" s="66"/>
      <c r="BP73" s="66"/>
      <c r="BQ73" s="66"/>
      <c r="BR73" s="66"/>
      <c r="BS73" s="66"/>
      <c r="BT73" s="66"/>
      <c r="BU73" s="66"/>
      <c r="BV73" s="66"/>
      <c r="BW73" s="66"/>
    </row>
    <row r="74" spans="1:75" ht="15.75" customHeight="1">
      <c r="A74" s="65"/>
      <c r="B74" s="66"/>
      <c r="C74" s="66"/>
      <c r="D74" s="66"/>
      <c r="E74" s="66"/>
      <c r="F74" s="65"/>
      <c r="G74" s="65"/>
      <c r="H74" s="66"/>
      <c r="I74" s="66"/>
      <c r="J74" s="66"/>
      <c r="K74" s="66"/>
      <c r="L74" s="66"/>
      <c r="M74" s="66"/>
      <c r="N74" s="66"/>
      <c r="O74" s="66"/>
      <c r="P74" s="66"/>
      <c r="Q74" s="23"/>
      <c r="AB74" s="23"/>
      <c r="AC74" s="23"/>
      <c r="AD74" s="23"/>
      <c r="AE74" s="7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71"/>
      <c r="AV74" s="10"/>
      <c r="AW74" s="23"/>
      <c r="BB74" s="66"/>
      <c r="BC74" s="66"/>
      <c r="BD74" s="66"/>
      <c r="BE74" s="66"/>
      <c r="BF74" s="66"/>
      <c r="BG74" s="66"/>
      <c r="BH74" s="66"/>
      <c r="BI74" s="66"/>
      <c r="BJ74" s="66"/>
      <c r="BK74" s="66"/>
      <c r="BL74" s="66"/>
      <c r="BM74" s="66"/>
      <c r="BN74" s="66"/>
      <c r="BO74" s="66"/>
      <c r="BP74" s="66"/>
      <c r="BQ74" s="66"/>
      <c r="BR74" s="66"/>
      <c r="BS74" s="66"/>
      <c r="BT74" s="66"/>
      <c r="BU74" s="66"/>
      <c r="BV74" s="66"/>
      <c r="BW74" s="66"/>
    </row>
    <row r="75" spans="1:75" ht="15.75" customHeight="1">
      <c r="A75" s="65"/>
      <c r="B75" s="66"/>
      <c r="C75" s="66"/>
      <c r="D75" s="66"/>
      <c r="E75" s="66"/>
      <c r="F75" s="65"/>
      <c r="G75" s="65"/>
      <c r="H75" s="66"/>
      <c r="I75" s="66"/>
      <c r="J75" s="66"/>
      <c r="K75" s="66"/>
      <c r="L75" s="66"/>
      <c r="M75" s="66"/>
      <c r="N75" s="66"/>
      <c r="O75" s="66"/>
      <c r="P75" s="66"/>
      <c r="Q75" s="23"/>
      <c r="AB75" s="23"/>
      <c r="AC75" s="23"/>
      <c r="AD75" s="23"/>
      <c r="AE75" s="7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71"/>
      <c r="AV75" s="10"/>
      <c r="AW75" s="23"/>
      <c r="BB75" s="66"/>
      <c r="BC75" s="66"/>
      <c r="BD75" s="66"/>
      <c r="BE75" s="66"/>
      <c r="BF75" s="66"/>
      <c r="BG75" s="66"/>
      <c r="BH75" s="66"/>
      <c r="BI75" s="66"/>
      <c r="BJ75" s="66"/>
      <c r="BK75" s="66"/>
      <c r="BL75" s="66"/>
      <c r="BM75" s="66"/>
      <c r="BN75" s="66"/>
      <c r="BO75" s="66"/>
      <c r="BP75" s="66"/>
      <c r="BQ75" s="66"/>
      <c r="BR75" s="66"/>
      <c r="BS75" s="66"/>
      <c r="BT75" s="66"/>
      <c r="BU75" s="66"/>
      <c r="BV75" s="66"/>
      <c r="BW75" s="66"/>
    </row>
    <row r="76" spans="1:75" ht="15.75" customHeight="1">
      <c r="A76" s="65"/>
      <c r="B76" s="66"/>
      <c r="C76" s="66"/>
      <c r="D76" s="66"/>
      <c r="E76" s="66"/>
      <c r="F76" s="65"/>
      <c r="G76" s="65"/>
      <c r="H76" s="66"/>
      <c r="I76" s="66"/>
      <c r="J76" s="66"/>
      <c r="K76" s="66"/>
      <c r="L76" s="66"/>
      <c r="M76" s="66"/>
      <c r="N76" s="66"/>
      <c r="O76" s="66"/>
      <c r="P76" s="66"/>
      <c r="Q76" s="23"/>
      <c r="AB76" s="23"/>
      <c r="AC76" s="23"/>
      <c r="AD76" s="23"/>
      <c r="AE76" s="7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71"/>
      <c r="AV76" s="10"/>
      <c r="AW76" s="23"/>
      <c r="BB76" s="66"/>
      <c r="BC76" s="66"/>
      <c r="BD76" s="66"/>
      <c r="BE76" s="66"/>
      <c r="BF76" s="66"/>
      <c r="BG76" s="66"/>
      <c r="BH76" s="66"/>
      <c r="BI76" s="66"/>
      <c r="BJ76" s="66"/>
      <c r="BK76" s="66"/>
      <c r="BL76" s="66"/>
      <c r="BM76" s="66"/>
      <c r="BN76" s="66"/>
      <c r="BO76" s="66"/>
      <c r="BP76" s="66"/>
      <c r="BQ76" s="66"/>
      <c r="BR76" s="66"/>
      <c r="BS76" s="66"/>
      <c r="BT76" s="66"/>
      <c r="BU76" s="66"/>
      <c r="BV76" s="66"/>
      <c r="BW76" s="66"/>
    </row>
    <row r="77" spans="1:75" ht="15.75" customHeight="1">
      <c r="A77" s="65"/>
      <c r="B77" s="66"/>
      <c r="C77" s="66"/>
      <c r="D77" s="66"/>
      <c r="E77" s="66"/>
      <c r="F77" s="65"/>
      <c r="G77" s="65"/>
      <c r="H77" s="66"/>
      <c r="I77" s="66"/>
      <c r="J77" s="66"/>
      <c r="K77" s="66"/>
      <c r="L77" s="66"/>
      <c r="M77" s="66"/>
      <c r="N77" s="66"/>
      <c r="O77" s="66"/>
      <c r="P77" s="66"/>
      <c r="Q77" s="23"/>
      <c r="AB77" s="23"/>
      <c r="AC77" s="23"/>
      <c r="AD77" s="23"/>
      <c r="AE77" s="7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71"/>
      <c r="AV77" s="10"/>
      <c r="AW77" s="23"/>
      <c r="BB77" s="66"/>
      <c r="BC77" s="66"/>
      <c r="BD77" s="66"/>
      <c r="BE77" s="66"/>
      <c r="BF77" s="66"/>
      <c r="BG77" s="66"/>
      <c r="BH77" s="66"/>
      <c r="BI77" s="66"/>
      <c r="BJ77" s="66"/>
      <c r="BK77" s="66"/>
      <c r="BL77" s="66"/>
      <c r="BM77" s="66"/>
      <c r="BN77" s="66"/>
      <c r="BO77" s="66"/>
      <c r="BP77" s="66"/>
      <c r="BQ77" s="66"/>
      <c r="BR77" s="66"/>
      <c r="BS77" s="66"/>
      <c r="BT77" s="66"/>
      <c r="BU77" s="66"/>
      <c r="BV77" s="66"/>
      <c r="BW77" s="66"/>
    </row>
    <row r="78" spans="1:75" ht="15.75" customHeight="1">
      <c r="A78" s="65"/>
      <c r="B78" s="66"/>
      <c r="C78" s="66"/>
      <c r="D78" s="66"/>
      <c r="E78" s="66"/>
      <c r="F78" s="65"/>
      <c r="G78" s="65"/>
      <c r="H78" s="66"/>
      <c r="I78" s="66"/>
      <c r="J78" s="66"/>
      <c r="K78" s="66"/>
      <c r="L78" s="66"/>
      <c r="M78" s="66"/>
      <c r="N78" s="66"/>
      <c r="O78" s="66"/>
      <c r="P78" s="66"/>
      <c r="Q78" s="23"/>
      <c r="AB78" s="23"/>
      <c r="AC78" s="23"/>
      <c r="AD78" s="23"/>
      <c r="AE78" s="7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71"/>
      <c r="AV78" s="10"/>
      <c r="AW78" s="23"/>
      <c r="BB78" s="66"/>
      <c r="BC78" s="66"/>
      <c r="BD78" s="66"/>
      <c r="BE78" s="66"/>
      <c r="BF78" s="66"/>
      <c r="BG78" s="66"/>
      <c r="BH78" s="66"/>
      <c r="BI78" s="66"/>
      <c r="BJ78" s="66"/>
      <c r="BK78" s="66"/>
      <c r="BL78" s="66"/>
      <c r="BM78" s="66"/>
      <c r="BN78" s="66"/>
      <c r="BO78" s="66"/>
      <c r="BP78" s="66"/>
      <c r="BQ78" s="66"/>
      <c r="BR78" s="66"/>
      <c r="BS78" s="66"/>
      <c r="BT78" s="66"/>
      <c r="BU78" s="66"/>
      <c r="BV78" s="66"/>
      <c r="BW78" s="66"/>
    </row>
    <row r="79" spans="1:75" ht="15.75" customHeight="1">
      <c r="A79" s="65"/>
      <c r="B79" s="66"/>
      <c r="C79" s="66"/>
      <c r="D79" s="66"/>
      <c r="E79" s="66"/>
      <c r="F79" s="65"/>
      <c r="G79" s="65"/>
      <c r="H79" s="66"/>
      <c r="I79" s="66"/>
      <c r="J79" s="66"/>
      <c r="K79" s="66"/>
      <c r="L79" s="66"/>
      <c r="M79" s="66"/>
      <c r="N79" s="66"/>
      <c r="O79" s="66"/>
      <c r="P79" s="66"/>
      <c r="Q79" s="23"/>
      <c r="AB79" s="23"/>
      <c r="AC79" s="23"/>
      <c r="AD79" s="23"/>
      <c r="AE79" s="7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71"/>
      <c r="AV79" s="10"/>
      <c r="AW79" s="23"/>
      <c r="BB79" s="66"/>
      <c r="BC79" s="66"/>
      <c r="BD79" s="66"/>
      <c r="BE79" s="66"/>
      <c r="BF79" s="66"/>
      <c r="BG79" s="66"/>
      <c r="BH79" s="66"/>
      <c r="BI79" s="66"/>
      <c r="BJ79" s="66"/>
      <c r="BK79" s="66"/>
      <c r="BL79" s="66"/>
      <c r="BM79" s="66"/>
      <c r="BN79" s="66"/>
      <c r="BO79" s="66"/>
      <c r="BP79" s="66"/>
      <c r="BQ79" s="66"/>
      <c r="BR79" s="66"/>
      <c r="BS79" s="66"/>
      <c r="BT79" s="66"/>
      <c r="BU79" s="66"/>
      <c r="BV79" s="66"/>
      <c r="BW79" s="66"/>
    </row>
    <row r="80" spans="1:75" ht="15.75" customHeight="1">
      <c r="A80" s="65"/>
      <c r="B80" s="66"/>
      <c r="C80" s="66"/>
      <c r="D80" s="66"/>
      <c r="E80" s="66"/>
      <c r="F80" s="65"/>
      <c r="G80" s="65"/>
      <c r="H80" s="66"/>
      <c r="I80" s="66"/>
      <c r="J80" s="66"/>
      <c r="K80" s="66"/>
      <c r="L80" s="66"/>
      <c r="M80" s="66"/>
      <c r="N80" s="66"/>
      <c r="O80" s="66"/>
      <c r="P80" s="66"/>
      <c r="Q80" s="23"/>
      <c r="AB80" s="23"/>
      <c r="AC80" s="23"/>
      <c r="AD80" s="23"/>
      <c r="AE80" s="7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71"/>
      <c r="AV80" s="10"/>
      <c r="AW80" s="23"/>
      <c r="BB80" s="66"/>
      <c r="BC80" s="66"/>
      <c r="BD80" s="66"/>
      <c r="BE80" s="66"/>
      <c r="BF80" s="66"/>
      <c r="BG80" s="66"/>
      <c r="BH80" s="66"/>
      <c r="BI80" s="66"/>
      <c r="BJ80" s="66"/>
      <c r="BK80" s="66"/>
      <c r="BL80" s="66"/>
      <c r="BM80" s="66"/>
      <c r="BN80" s="66"/>
      <c r="BO80" s="66"/>
      <c r="BP80" s="66"/>
      <c r="BQ80" s="66"/>
      <c r="BR80" s="66"/>
      <c r="BS80" s="66"/>
      <c r="BT80" s="66"/>
      <c r="BU80" s="66"/>
      <c r="BV80" s="66"/>
      <c r="BW80" s="66"/>
    </row>
    <row r="81" spans="1:75" ht="15.75" customHeight="1">
      <c r="A81" s="65"/>
      <c r="B81" s="66"/>
      <c r="C81" s="66"/>
      <c r="D81" s="66"/>
      <c r="E81" s="66"/>
      <c r="F81" s="65"/>
      <c r="G81" s="65"/>
      <c r="H81" s="66"/>
      <c r="I81" s="66"/>
      <c r="J81" s="66"/>
      <c r="K81" s="66"/>
      <c r="L81" s="66"/>
      <c r="M81" s="66"/>
      <c r="N81" s="66"/>
      <c r="O81" s="66"/>
      <c r="P81" s="66"/>
      <c r="Q81" s="23"/>
      <c r="AB81" s="23"/>
      <c r="AC81" s="23"/>
      <c r="AD81" s="23"/>
      <c r="AE81" s="7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71"/>
      <c r="AV81" s="10"/>
      <c r="AW81" s="23"/>
      <c r="BB81" s="66"/>
      <c r="BC81" s="66"/>
      <c r="BD81" s="66"/>
      <c r="BE81" s="66"/>
      <c r="BF81" s="66"/>
      <c r="BG81" s="66"/>
      <c r="BH81" s="66"/>
      <c r="BI81" s="66"/>
      <c r="BJ81" s="66"/>
      <c r="BK81" s="66"/>
      <c r="BL81" s="66"/>
      <c r="BM81" s="66"/>
      <c r="BN81" s="66"/>
      <c r="BO81" s="66"/>
      <c r="BP81" s="66"/>
      <c r="BQ81" s="66"/>
      <c r="BR81" s="66"/>
      <c r="BS81" s="66"/>
      <c r="BT81" s="66"/>
      <c r="BU81" s="66"/>
      <c r="BV81" s="66"/>
      <c r="BW81" s="66"/>
    </row>
    <row r="82" spans="1:75" ht="15.75" customHeight="1">
      <c r="A82" s="65"/>
      <c r="B82" s="66"/>
      <c r="C82" s="66"/>
      <c r="D82" s="66"/>
      <c r="E82" s="66"/>
      <c r="F82" s="65"/>
      <c r="G82" s="65"/>
      <c r="H82" s="66"/>
      <c r="I82" s="66"/>
      <c r="J82" s="66"/>
      <c r="K82" s="66"/>
      <c r="L82" s="66"/>
      <c r="M82" s="66"/>
      <c r="N82" s="66"/>
      <c r="O82" s="66"/>
      <c r="P82" s="66"/>
      <c r="Q82" s="23"/>
      <c r="AB82" s="23"/>
      <c r="AC82" s="23"/>
      <c r="AD82" s="23"/>
      <c r="AE82" s="7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71"/>
      <c r="AV82" s="10"/>
      <c r="AW82" s="23"/>
      <c r="BB82" s="66"/>
      <c r="BC82" s="66"/>
      <c r="BD82" s="66"/>
      <c r="BE82" s="66"/>
      <c r="BF82" s="66"/>
      <c r="BG82" s="66"/>
      <c r="BH82" s="66"/>
      <c r="BI82" s="66"/>
      <c r="BJ82" s="66"/>
      <c r="BK82" s="66"/>
      <c r="BL82" s="66"/>
      <c r="BM82" s="66"/>
      <c r="BN82" s="66"/>
      <c r="BO82" s="66"/>
      <c r="BP82" s="66"/>
      <c r="BQ82" s="66"/>
      <c r="BR82" s="66"/>
      <c r="BS82" s="66"/>
      <c r="BT82" s="66"/>
      <c r="BU82" s="66"/>
      <c r="BV82" s="66"/>
      <c r="BW82" s="66"/>
    </row>
    <row r="83" spans="1:75" ht="15.75" customHeight="1">
      <c r="A83" s="65"/>
      <c r="B83" s="66"/>
      <c r="C83" s="66"/>
      <c r="D83" s="66"/>
      <c r="E83" s="66"/>
      <c r="F83" s="65"/>
      <c r="G83" s="65"/>
      <c r="H83" s="66"/>
      <c r="I83" s="66"/>
      <c r="J83" s="66"/>
      <c r="K83" s="66"/>
      <c r="L83" s="66"/>
      <c r="M83" s="66"/>
      <c r="N83" s="66"/>
      <c r="O83" s="66"/>
      <c r="P83" s="66"/>
      <c r="Q83" s="23"/>
      <c r="AB83" s="23"/>
      <c r="AC83" s="23"/>
      <c r="AD83" s="23"/>
      <c r="AE83" s="7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71"/>
      <c r="AV83" s="10"/>
      <c r="AW83" s="23"/>
      <c r="BB83" s="66"/>
      <c r="BC83" s="66"/>
      <c r="BD83" s="66"/>
      <c r="BE83" s="66"/>
      <c r="BF83" s="66"/>
      <c r="BG83" s="66"/>
      <c r="BH83" s="66"/>
      <c r="BI83" s="66"/>
      <c r="BJ83" s="66"/>
      <c r="BK83" s="66"/>
      <c r="BL83" s="66"/>
      <c r="BM83" s="66"/>
      <c r="BN83" s="66"/>
      <c r="BO83" s="66"/>
      <c r="BP83" s="66"/>
      <c r="BQ83" s="66"/>
      <c r="BR83" s="66"/>
      <c r="BS83" s="66"/>
      <c r="BT83" s="66"/>
      <c r="BU83" s="66"/>
      <c r="BV83" s="66"/>
      <c r="BW83" s="66"/>
    </row>
    <row r="84" spans="1:75" ht="15.75" customHeight="1">
      <c r="A84" s="65"/>
      <c r="B84" s="66"/>
      <c r="C84" s="66"/>
      <c r="D84" s="66"/>
      <c r="E84" s="66"/>
      <c r="F84" s="65"/>
      <c r="G84" s="65"/>
      <c r="H84" s="66"/>
      <c r="I84" s="66"/>
      <c r="J84" s="66"/>
      <c r="K84" s="66"/>
      <c r="L84" s="66"/>
      <c r="M84" s="66"/>
      <c r="N84" s="66"/>
      <c r="O84" s="66"/>
      <c r="P84" s="66"/>
      <c r="Q84" s="23"/>
      <c r="AB84" s="23"/>
      <c r="AC84" s="23"/>
      <c r="AD84" s="23"/>
      <c r="AE84" s="7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71"/>
      <c r="AV84" s="10"/>
      <c r="AW84" s="23"/>
      <c r="BB84" s="66"/>
      <c r="BC84" s="66"/>
      <c r="BD84" s="66"/>
      <c r="BE84" s="66"/>
      <c r="BF84" s="66"/>
      <c r="BG84" s="66"/>
      <c r="BH84" s="66"/>
      <c r="BI84" s="66"/>
      <c r="BJ84" s="66"/>
      <c r="BK84" s="66"/>
      <c r="BL84" s="66"/>
      <c r="BM84" s="66"/>
      <c r="BN84" s="66"/>
      <c r="BO84" s="66"/>
      <c r="BP84" s="66"/>
      <c r="BQ84" s="66"/>
      <c r="BR84" s="66"/>
      <c r="BS84" s="66"/>
      <c r="BT84" s="66"/>
      <c r="BU84" s="66"/>
      <c r="BV84" s="66"/>
      <c r="BW84" s="66"/>
    </row>
    <row r="85" spans="1:75" ht="15.75" customHeight="1">
      <c r="A85" s="65"/>
      <c r="B85" s="66"/>
      <c r="C85" s="66"/>
      <c r="D85" s="66"/>
      <c r="E85" s="66"/>
      <c r="F85" s="65"/>
      <c r="G85" s="65"/>
      <c r="H85" s="66"/>
      <c r="I85" s="66"/>
      <c r="J85" s="66"/>
      <c r="K85" s="66"/>
      <c r="L85" s="66"/>
      <c r="M85" s="66"/>
      <c r="N85" s="66"/>
      <c r="O85" s="66"/>
      <c r="P85" s="66"/>
      <c r="Q85" s="23"/>
      <c r="AB85" s="23"/>
      <c r="AC85" s="23"/>
      <c r="AD85" s="23"/>
      <c r="AE85" s="7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71"/>
      <c r="AV85" s="10"/>
      <c r="AW85" s="23"/>
      <c r="BB85" s="66"/>
      <c r="BC85" s="66"/>
      <c r="BD85" s="66"/>
      <c r="BE85" s="66"/>
      <c r="BF85" s="66"/>
      <c r="BG85" s="66"/>
      <c r="BH85" s="66"/>
      <c r="BI85" s="66"/>
      <c r="BJ85" s="66"/>
      <c r="BK85" s="66"/>
      <c r="BL85" s="66"/>
      <c r="BM85" s="66"/>
      <c r="BN85" s="66"/>
      <c r="BO85" s="66"/>
      <c r="BP85" s="66"/>
      <c r="BQ85" s="66"/>
      <c r="BR85" s="66"/>
      <c r="BS85" s="66"/>
      <c r="BT85" s="66"/>
      <c r="BU85" s="66"/>
      <c r="BV85" s="66"/>
      <c r="BW85" s="66"/>
    </row>
    <row r="86" spans="1:75" ht="15.75" customHeight="1">
      <c r="A86" s="65"/>
      <c r="B86" s="66"/>
      <c r="C86" s="66"/>
      <c r="D86" s="66"/>
      <c r="E86" s="66"/>
      <c r="F86" s="65"/>
      <c r="G86" s="65"/>
      <c r="H86" s="66"/>
      <c r="I86" s="66"/>
      <c r="J86" s="66"/>
      <c r="K86" s="66"/>
      <c r="L86" s="66"/>
      <c r="M86" s="66"/>
      <c r="N86" s="66"/>
      <c r="O86" s="66"/>
      <c r="P86" s="66"/>
      <c r="Q86" s="23"/>
      <c r="AB86" s="23"/>
      <c r="AC86" s="23"/>
      <c r="AD86" s="23"/>
      <c r="AE86" s="7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71"/>
      <c r="AV86" s="10"/>
      <c r="AW86" s="23"/>
      <c r="BB86" s="66"/>
      <c r="BC86" s="66"/>
      <c r="BD86" s="66"/>
      <c r="BE86" s="66"/>
      <c r="BF86" s="66"/>
      <c r="BG86" s="66"/>
      <c r="BH86" s="66"/>
      <c r="BI86" s="66"/>
      <c r="BJ86" s="66"/>
      <c r="BK86" s="66"/>
      <c r="BL86" s="66"/>
      <c r="BM86" s="66"/>
      <c r="BN86" s="66"/>
      <c r="BO86" s="66"/>
      <c r="BP86" s="66"/>
      <c r="BQ86" s="66"/>
      <c r="BR86" s="66"/>
      <c r="BS86" s="66"/>
      <c r="BT86" s="66"/>
      <c r="BU86" s="66"/>
      <c r="BV86" s="66"/>
      <c r="BW86" s="66"/>
    </row>
    <row r="87" spans="1:75" ht="15.75" customHeight="1">
      <c r="A87" s="65"/>
      <c r="B87" s="66"/>
      <c r="C87" s="66"/>
      <c r="D87" s="66"/>
      <c r="E87" s="66"/>
      <c r="F87" s="65"/>
      <c r="G87" s="65"/>
      <c r="H87" s="66"/>
      <c r="I87" s="66"/>
      <c r="J87" s="66"/>
      <c r="K87" s="66"/>
      <c r="L87" s="66"/>
      <c r="M87" s="66"/>
      <c r="N87" s="66"/>
      <c r="O87" s="66"/>
      <c r="P87" s="66"/>
      <c r="Q87" s="23"/>
      <c r="AB87" s="23"/>
      <c r="AC87" s="23"/>
      <c r="AD87" s="23"/>
      <c r="AE87" s="7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71"/>
      <c r="AV87" s="10"/>
      <c r="AW87" s="23"/>
      <c r="BB87" s="66"/>
      <c r="BC87" s="66"/>
      <c r="BD87" s="66"/>
      <c r="BE87" s="66"/>
      <c r="BF87" s="66"/>
      <c r="BG87" s="66"/>
      <c r="BH87" s="66"/>
      <c r="BI87" s="66"/>
      <c r="BJ87" s="66"/>
      <c r="BK87" s="66"/>
      <c r="BL87" s="66"/>
      <c r="BM87" s="66"/>
      <c r="BN87" s="66"/>
      <c r="BO87" s="66"/>
      <c r="BP87" s="66"/>
      <c r="BQ87" s="66"/>
      <c r="BR87" s="66"/>
      <c r="BS87" s="66"/>
      <c r="BT87" s="66"/>
      <c r="BU87" s="66"/>
      <c r="BV87" s="66"/>
      <c r="BW87" s="66"/>
    </row>
    <row r="88" spans="1:75" ht="15.75" customHeight="1">
      <c r="A88" s="65"/>
      <c r="B88" s="66"/>
      <c r="C88" s="66"/>
      <c r="D88" s="66"/>
      <c r="E88" s="66"/>
      <c r="F88" s="65"/>
      <c r="G88" s="65"/>
      <c r="H88" s="66"/>
      <c r="I88" s="66"/>
      <c r="J88" s="66"/>
      <c r="K88" s="66"/>
      <c r="L88" s="66"/>
      <c r="M88" s="66"/>
      <c r="N88" s="66"/>
      <c r="O88" s="66"/>
      <c r="P88" s="66"/>
      <c r="Q88" s="23"/>
      <c r="AB88" s="23"/>
      <c r="AC88" s="23"/>
      <c r="AD88" s="23"/>
      <c r="AE88" s="7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71"/>
      <c r="AV88" s="10"/>
      <c r="AW88" s="23"/>
      <c r="BB88" s="66"/>
      <c r="BC88" s="66"/>
      <c r="BD88" s="66"/>
      <c r="BE88" s="66"/>
      <c r="BF88" s="66"/>
      <c r="BG88" s="66"/>
      <c r="BH88" s="66"/>
      <c r="BI88" s="66"/>
      <c r="BJ88" s="66"/>
      <c r="BK88" s="66"/>
      <c r="BL88" s="66"/>
      <c r="BM88" s="66"/>
      <c r="BN88" s="66"/>
      <c r="BO88" s="66"/>
      <c r="BP88" s="66"/>
      <c r="BQ88" s="66"/>
      <c r="BR88" s="66"/>
      <c r="BS88" s="66"/>
      <c r="BT88" s="66"/>
      <c r="BU88" s="66"/>
      <c r="BV88" s="66"/>
      <c r="BW88" s="66"/>
    </row>
    <row r="89" spans="1:75" ht="15.75" customHeight="1">
      <c r="A89" s="65"/>
      <c r="B89" s="66"/>
      <c r="C89" s="66"/>
      <c r="D89" s="66"/>
      <c r="E89" s="66"/>
      <c r="F89" s="65"/>
      <c r="G89" s="65"/>
      <c r="H89" s="66"/>
      <c r="I89" s="66"/>
      <c r="J89" s="66"/>
      <c r="K89" s="66"/>
      <c r="L89" s="66"/>
      <c r="M89" s="66"/>
      <c r="N89" s="66"/>
      <c r="O89" s="66"/>
      <c r="P89" s="66"/>
      <c r="Q89" s="23"/>
      <c r="AB89" s="23"/>
      <c r="AC89" s="23"/>
      <c r="AD89" s="23"/>
      <c r="AE89" s="7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71"/>
      <c r="AV89" s="10"/>
      <c r="AW89" s="23"/>
      <c r="BB89" s="66"/>
      <c r="BC89" s="66"/>
      <c r="BD89" s="66"/>
      <c r="BE89" s="66"/>
      <c r="BF89" s="66"/>
      <c r="BG89" s="66"/>
      <c r="BH89" s="66"/>
      <c r="BI89" s="66"/>
      <c r="BJ89" s="66"/>
      <c r="BK89" s="66"/>
      <c r="BL89" s="66"/>
      <c r="BM89" s="66"/>
      <c r="BN89" s="66"/>
      <c r="BO89" s="66"/>
      <c r="BP89" s="66"/>
      <c r="BQ89" s="66"/>
      <c r="BR89" s="66"/>
      <c r="BS89" s="66"/>
      <c r="BT89" s="66"/>
      <c r="BU89" s="66"/>
      <c r="BV89" s="66"/>
      <c r="BW89" s="66"/>
    </row>
    <row r="90" spans="1:75" ht="15.75" customHeight="1">
      <c r="A90" s="65"/>
      <c r="B90" s="66"/>
      <c r="C90" s="66"/>
      <c r="D90" s="66"/>
      <c r="E90" s="66"/>
      <c r="F90" s="65"/>
      <c r="G90" s="65"/>
      <c r="H90" s="66"/>
      <c r="I90" s="66"/>
      <c r="J90" s="66"/>
      <c r="K90" s="66"/>
      <c r="L90" s="66"/>
      <c r="M90" s="66"/>
      <c r="N90" s="66"/>
      <c r="O90" s="66"/>
      <c r="P90" s="66"/>
      <c r="Q90" s="23"/>
      <c r="AB90" s="23"/>
      <c r="AC90" s="23"/>
      <c r="AD90" s="23"/>
      <c r="AE90" s="7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71"/>
      <c r="AV90" s="10"/>
      <c r="AW90" s="23"/>
      <c r="BB90" s="66"/>
      <c r="BC90" s="66"/>
      <c r="BD90" s="66"/>
      <c r="BE90" s="66"/>
      <c r="BF90" s="66"/>
      <c r="BG90" s="66"/>
      <c r="BH90" s="66"/>
      <c r="BI90" s="66"/>
      <c r="BJ90" s="66"/>
      <c r="BK90" s="66"/>
      <c r="BL90" s="66"/>
      <c r="BM90" s="66"/>
      <c r="BN90" s="66"/>
      <c r="BO90" s="66"/>
      <c r="BP90" s="66"/>
      <c r="BQ90" s="66"/>
      <c r="BR90" s="66"/>
      <c r="BS90" s="66"/>
      <c r="BT90" s="66"/>
      <c r="BU90" s="66"/>
      <c r="BV90" s="66"/>
      <c r="BW90" s="66"/>
    </row>
    <row r="91" spans="1:75" ht="15.75" customHeight="1">
      <c r="A91" s="65"/>
      <c r="B91" s="66"/>
      <c r="C91" s="66"/>
      <c r="D91" s="66"/>
      <c r="E91" s="66"/>
      <c r="F91" s="65"/>
      <c r="G91" s="65"/>
      <c r="H91" s="66"/>
      <c r="I91" s="66"/>
      <c r="J91" s="66"/>
      <c r="K91" s="66"/>
      <c r="L91" s="66"/>
      <c r="M91" s="66"/>
      <c r="N91" s="66"/>
      <c r="O91" s="66"/>
      <c r="P91" s="66"/>
      <c r="Q91" s="23"/>
      <c r="AB91" s="23"/>
      <c r="AC91" s="23"/>
      <c r="AD91" s="23"/>
      <c r="AE91" s="7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71"/>
      <c r="AV91" s="10"/>
      <c r="AW91" s="23"/>
      <c r="BB91" s="66"/>
      <c r="BC91" s="66"/>
      <c r="BD91" s="66"/>
      <c r="BE91" s="66"/>
      <c r="BF91" s="66"/>
      <c r="BG91" s="66"/>
      <c r="BH91" s="66"/>
      <c r="BI91" s="66"/>
      <c r="BJ91" s="66"/>
      <c r="BK91" s="66"/>
      <c r="BL91" s="66"/>
      <c r="BM91" s="66"/>
      <c r="BN91" s="66"/>
      <c r="BO91" s="66"/>
      <c r="BP91" s="66"/>
      <c r="BQ91" s="66"/>
      <c r="BR91" s="66"/>
      <c r="BS91" s="66"/>
      <c r="BT91" s="66"/>
      <c r="BU91" s="66"/>
      <c r="BV91" s="66"/>
      <c r="BW91" s="66"/>
    </row>
    <row r="92" spans="1:75" ht="15.75" customHeight="1">
      <c r="A92" s="65"/>
      <c r="B92" s="66"/>
      <c r="C92" s="66"/>
      <c r="D92" s="66"/>
      <c r="E92" s="66"/>
      <c r="F92" s="65"/>
      <c r="G92" s="65"/>
      <c r="H92" s="66"/>
      <c r="I92" s="66"/>
      <c r="J92" s="66"/>
      <c r="K92" s="66"/>
      <c r="L92" s="66"/>
      <c r="M92" s="66"/>
      <c r="N92" s="66"/>
      <c r="O92" s="66"/>
      <c r="P92" s="66"/>
      <c r="Q92" s="23"/>
      <c r="AB92" s="23"/>
      <c r="AC92" s="23"/>
      <c r="AD92" s="23"/>
      <c r="AE92" s="7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71"/>
      <c r="AV92" s="10"/>
      <c r="AW92" s="23"/>
      <c r="BB92" s="66"/>
      <c r="BC92" s="66"/>
      <c r="BD92" s="66"/>
      <c r="BE92" s="66"/>
      <c r="BF92" s="66"/>
      <c r="BG92" s="66"/>
      <c r="BH92" s="66"/>
      <c r="BI92" s="66"/>
      <c r="BJ92" s="66"/>
      <c r="BK92" s="66"/>
      <c r="BL92" s="66"/>
      <c r="BM92" s="66"/>
      <c r="BN92" s="66"/>
      <c r="BO92" s="66"/>
      <c r="BP92" s="66"/>
      <c r="BQ92" s="66"/>
      <c r="BR92" s="66"/>
      <c r="BS92" s="66"/>
      <c r="BT92" s="66"/>
      <c r="BU92" s="66"/>
      <c r="BV92" s="66"/>
      <c r="BW92" s="66"/>
    </row>
    <row r="93" spans="1:75" ht="15.75" customHeight="1">
      <c r="A93" s="65"/>
      <c r="B93" s="66"/>
      <c r="C93" s="66"/>
      <c r="D93" s="66"/>
      <c r="E93" s="66"/>
      <c r="F93" s="65"/>
      <c r="G93" s="65"/>
      <c r="H93" s="66"/>
      <c r="I93" s="66"/>
      <c r="J93" s="66"/>
      <c r="K93" s="66"/>
      <c r="L93" s="66"/>
      <c r="M93" s="66"/>
      <c r="N93" s="66"/>
      <c r="O93" s="66"/>
      <c r="P93" s="66"/>
      <c r="Q93" s="23"/>
      <c r="AB93" s="23"/>
      <c r="AC93" s="23"/>
      <c r="AD93" s="23"/>
      <c r="AE93" s="7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71"/>
      <c r="AV93" s="10"/>
      <c r="AW93" s="23"/>
      <c r="BB93" s="66"/>
      <c r="BC93" s="66"/>
      <c r="BD93" s="66"/>
      <c r="BE93" s="66"/>
      <c r="BF93" s="66"/>
      <c r="BG93" s="66"/>
      <c r="BH93" s="66"/>
      <c r="BI93" s="66"/>
      <c r="BJ93" s="66"/>
      <c r="BK93" s="66"/>
      <c r="BL93" s="66"/>
      <c r="BM93" s="66"/>
      <c r="BN93" s="66"/>
      <c r="BO93" s="66"/>
      <c r="BP93" s="66"/>
      <c r="BQ93" s="66"/>
      <c r="BR93" s="66"/>
      <c r="BS93" s="66"/>
      <c r="BT93" s="66"/>
      <c r="BU93" s="66"/>
      <c r="BV93" s="66"/>
      <c r="BW93" s="66"/>
    </row>
    <row r="94" spans="1:75" ht="15.75" customHeight="1">
      <c r="A94" s="65"/>
      <c r="B94" s="66"/>
      <c r="C94" s="66"/>
      <c r="D94" s="66"/>
      <c r="E94" s="66"/>
      <c r="F94" s="65"/>
      <c r="G94" s="65"/>
      <c r="H94" s="66"/>
      <c r="I94" s="66"/>
      <c r="J94" s="66"/>
      <c r="K94" s="66"/>
      <c r="L94" s="66"/>
      <c r="M94" s="66"/>
      <c r="N94" s="66"/>
      <c r="O94" s="66"/>
      <c r="P94" s="66"/>
      <c r="Q94" s="23"/>
      <c r="AB94" s="23"/>
      <c r="AC94" s="23"/>
      <c r="AD94" s="23"/>
      <c r="AE94" s="7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71"/>
      <c r="AV94" s="10"/>
      <c r="AW94" s="23"/>
      <c r="BB94" s="66"/>
      <c r="BC94" s="66"/>
      <c r="BD94" s="66"/>
      <c r="BE94" s="66"/>
      <c r="BF94" s="66"/>
      <c r="BG94" s="66"/>
      <c r="BH94" s="66"/>
      <c r="BI94" s="66"/>
      <c r="BJ94" s="66"/>
      <c r="BK94" s="66"/>
      <c r="BL94" s="66"/>
      <c r="BM94" s="66"/>
      <c r="BN94" s="66"/>
      <c r="BO94" s="66"/>
      <c r="BP94" s="66"/>
      <c r="BQ94" s="66"/>
      <c r="BR94" s="66"/>
      <c r="BS94" s="66"/>
      <c r="BT94" s="66"/>
      <c r="BU94" s="66"/>
      <c r="BV94" s="66"/>
      <c r="BW94" s="66"/>
    </row>
    <row r="95" spans="1:75" ht="15.75" customHeight="1">
      <c r="A95" s="65"/>
      <c r="B95" s="66"/>
      <c r="C95" s="66"/>
      <c r="D95" s="66"/>
      <c r="E95" s="66"/>
      <c r="F95" s="65"/>
      <c r="G95" s="65"/>
      <c r="H95" s="66"/>
      <c r="I95" s="66"/>
      <c r="J95" s="66"/>
      <c r="K95" s="66"/>
      <c r="L95" s="66"/>
      <c r="M95" s="66"/>
      <c r="N95" s="66"/>
      <c r="O95" s="66"/>
      <c r="P95" s="66"/>
      <c r="Q95" s="23"/>
      <c r="AB95" s="23"/>
      <c r="AC95" s="23"/>
      <c r="AD95" s="23"/>
      <c r="AE95" s="7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71"/>
      <c r="AV95" s="10"/>
      <c r="AW95" s="23"/>
      <c r="BB95" s="66"/>
      <c r="BC95" s="66"/>
      <c r="BD95" s="66"/>
      <c r="BE95" s="66"/>
      <c r="BF95" s="66"/>
      <c r="BG95" s="66"/>
      <c r="BH95" s="66"/>
      <c r="BI95" s="66"/>
      <c r="BJ95" s="66"/>
      <c r="BK95" s="66"/>
      <c r="BL95" s="66"/>
      <c r="BM95" s="66"/>
      <c r="BN95" s="66"/>
      <c r="BO95" s="66"/>
      <c r="BP95" s="66"/>
      <c r="BQ95" s="66"/>
      <c r="BR95" s="66"/>
      <c r="BS95" s="66"/>
      <c r="BT95" s="66"/>
      <c r="BU95" s="66"/>
      <c r="BV95" s="66"/>
      <c r="BW95" s="66"/>
    </row>
    <row r="96" spans="1:75" ht="15.75" customHeight="1">
      <c r="A96" s="65"/>
      <c r="B96" s="66"/>
      <c r="C96" s="66"/>
      <c r="D96" s="66"/>
      <c r="E96" s="66"/>
      <c r="F96" s="65"/>
      <c r="G96" s="65"/>
      <c r="H96" s="66"/>
      <c r="I96" s="66"/>
      <c r="J96" s="66"/>
      <c r="K96" s="66"/>
      <c r="L96" s="66"/>
      <c r="M96" s="66"/>
      <c r="N96" s="66"/>
      <c r="O96" s="66"/>
      <c r="P96" s="66"/>
      <c r="Q96" s="23"/>
      <c r="AB96" s="23"/>
      <c r="AC96" s="23"/>
      <c r="AD96" s="23"/>
      <c r="AE96" s="7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71"/>
      <c r="AV96" s="10"/>
      <c r="AW96" s="23"/>
      <c r="BB96" s="66"/>
      <c r="BC96" s="66"/>
      <c r="BD96" s="66"/>
      <c r="BE96" s="66"/>
      <c r="BF96" s="66"/>
      <c r="BG96" s="66"/>
      <c r="BH96" s="66"/>
      <c r="BI96" s="66"/>
      <c r="BJ96" s="66"/>
      <c r="BK96" s="66"/>
      <c r="BL96" s="66"/>
      <c r="BM96" s="66"/>
      <c r="BN96" s="66"/>
      <c r="BO96" s="66"/>
      <c r="BP96" s="66"/>
      <c r="BQ96" s="66"/>
      <c r="BR96" s="66"/>
      <c r="BS96" s="66"/>
      <c r="BT96" s="66"/>
      <c r="BU96" s="66"/>
      <c r="BV96" s="66"/>
      <c r="BW96" s="66"/>
    </row>
    <row r="97" spans="1:75" ht="15.75" customHeight="1">
      <c r="A97" s="65"/>
      <c r="B97" s="66"/>
      <c r="C97" s="66"/>
      <c r="D97" s="66"/>
      <c r="E97" s="66"/>
      <c r="F97" s="65"/>
      <c r="G97" s="65"/>
      <c r="H97" s="66"/>
      <c r="I97" s="66"/>
      <c r="J97" s="66"/>
      <c r="K97" s="66"/>
      <c r="L97" s="66"/>
      <c r="M97" s="66"/>
      <c r="N97" s="66"/>
      <c r="O97" s="66"/>
      <c r="P97" s="66"/>
      <c r="Q97" s="23"/>
      <c r="AB97" s="23"/>
      <c r="AC97" s="23"/>
      <c r="AD97" s="23"/>
      <c r="AE97" s="7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71"/>
      <c r="AV97" s="10"/>
      <c r="AW97" s="23"/>
      <c r="BB97" s="66"/>
      <c r="BC97" s="66"/>
      <c r="BD97" s="66"/>
      <c r="BE97" s="66"/>
      <c r="BF97" s="66"/>
      <c r="BG97" s="66"/>
      <c r="BH97" s="66"/>
      <c r="BI97" s="66"/>
      <c r="BJ97" s="66"/>
      <c r="BK97" s="66"/>
      <c r="BL97" s="66"/>
      <c r="BM97" s="66"/>
      <c r="BN97" s="66"/>
      <c r="BO97" s="66"/>
      <c r="BP97" s="66"/>
      <c r="BQ97" s="66"/>
      <c r="BR97" s="66"/>
      <c r="BS97" s="66"/>
      <c r="BT97" s="66"/>
      <c r="BU97" s="66"/>
      <c r="BV97" s="66"/>
      <c r="BW97" s="66"/>
    </row>
    <row r="98" spans="1:75" ht="15.75" customHeight="1">
      <c r="A98" s="65"/>
      <c r="B98" s="66"/>
      <c r="C98" s="66"/>
      <c r="D98" s="66"/>
      <c r="E98" s="66"/>
      <c r="F98" s="65"/>
      <c r="G98" s="65"/>
      <c r="H98" s="66"/>
      <c r="I98" s="66"/>
      <c r="J98" s="66"/>
      <c r="K98" s="66"/>
      <c r="L98" s="66"/>
      <c r="M98" s="66"/>
      <c r="N98" s="66"/>
      <c r="O98" s="66"/>
      <c r="P98" s="66"/>
      <c r="Q98" s="23"/>
      <c r="AB98" s="23"/>
      <c r="AC98" s="23"/>
      <c r="AD98" s="23"/>
      <c r="AE98" s="7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71"/>
      <c r="AV98" s="10"/>
      <c r="AW98" s="23"/>
      <c r="BB98" s="66"/>
      <c r="BC98" s="66"/>
      <c r="BD98" s="66"/>
      <c r="BE98" s="66"/>
      <c r="BF98" s="66"/>
      <c r="BG98" s="66"/>
      <c r="BH98" s="66"/>
      <c r="BI98" s="66"/>
      <c r="BJ98" s="66"/>
      <c r="BK98" s="66"/>
      <c r="BL98" s="66"/>
      <c r="BM98" s="66"/>
      <c r="BN98" s="66"/>
      <c r="BO98" s="66"/>
      <c r="BP98" s="66"/>
      <c r="BQ98" s="66"/>
      <c r="BR98" s="66"/>
      <c r="BS98" s="66"/>
      <c r="BT98" s="66"/>
      <c r="BU98" s="66"/>
      <c r="BV98" s="66"/>
      <c r="BW98" s="66"/>
    </row>
    <row r="99" spans="1:75" ht="15.75" customHeight="1">
      <c r="A99" s="65"/>
      <c r="B99" s="66"/>
      <c r="C99" s="66"/>
      <c r="D99" s="66"/>
      <c r="E99" s="66"/>
      <c r="F99" s="65"/>
      <c r="G99" s="65"/>
      <c r="H99" s="66"/>
      <c r="I99" s="66"/>
      <c r="J99" s="66"/>
      <c r="K99" s="66"/>
      <c r="L99" s="66"/>
      <c r="M99" s="66"/>
      <c r="N99" s="66"/>
      <c r="O99" s="66"/>
      <c r="P99" s="66"/>
      <c r="Q99" s="23"/>
      <c r="AB99" s="23"/>
      <c r="AC99" s="23"/>
      <c r="AD99" s="23"/>
      <c r="AE99" s="7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71"/>
      <c r="AV99" s="10"/>
      <c r="AW99" s="23"/>
      <c r="BB99" s="66"/>
      <c r="BC99" s="66"/>
      <c r="BD99" s="66"/>
      <c r="BE99" s="66"/>
      <c r="BF99" s="66"/>
      <c r="BG99" s="66"/>
      <c r="BH99" s="66"/>
      <c r="BI99" s="66"/>
      <c r="BJ99" s="66"/>
      <c r="BK99" s="66"/>
      <c r="BL99" s="66"/>
      <c r="BM99" s="66"/>
      <c r="BN99" s="66"/>
      <c r="BO99" s="66"/>
      <c r="BP99" s="66"/>
      <c r="BQ99" s="66"/>
      <c r="BR99" s="66"/>
      <c r="BS99" s="66"/>
      <c r="BT99" s="66"/>
      <c r="BU99" s="66"/>
      <c r="BV99" s="66"/>
      <c r="BW99" s="66"/>
    </row>
    <row r="100" spans="1:75" ht="15.75" customHeight="1">
      <c r="A100" s="65"/>
      <c r="B100" s="66"/>
      <c r="C100" s="66"/>
      <c r="D100" s="66"/>
      <c r="E100" s="66"/>
      <c r="F100" s="65"/>
      <c r="G100" s="65"/>
      <c r="H100" s="66"/>
      <c r="I100" s="66"/>
      <c r="J100" s="66"/>
      <c r="K100" s="66"/>
      <c r="L100" s="66"/>
      <c r="M100" s="66"/>
      <c r="N100" s="66"/>
      <c r="O100" s="66"/>
      <c r="P100" s="66"/>
      <c r="Q100" s="23"/>
      <c r="AB100" s="23"/>
      <c r="AC100" s="23"/>
      <c r="AD100" s="23"/>
      <c r="AE100" s="7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71"/>
      <c r="AV100" s="10"/>
      <c r="AW100" s="23"/>
      <c r="BB100" s="66"/>
      <c r="BC100" s="66"/>
      <c r="BD100" s="66"/>
      <c r="BE100" s="66"/>
      <c r="BF100" s="66"/>
      <c r="BG100" s="66"/>
      <c r="BH100" s="66"/>
      <c r="BI100" s="66"/>
      <c r="BJ100" s="66"/>
      <c r="BK100" s="66"/>
      <c r="BL100" s="66"/>
      <c r="BM100" s="66"/>
      <c r="BN100" s="66"/>
      <c r="BO100" s="66"/>
      <c r="BP100" s="66"/>
      <c r="BQ100" s="66"/>
      <c r="BR100" s="66"/>
      <c r="BS100" s="66"/>
      <c r="BT100" s="66"/>
      <c r="BU100" s="66"/>
      <c r="BV100" s="66"/>
      <c r="BW100" s="66"/>
    </row>
    <row r="101" spans="1:75" ht="15.75" customHeight="1">
      <c r="A101" s="65"/>
      <c r="B101" s="66"/>
      <c r="C101" s="66"/>
      <c r="D101" s="66"/>
      <c r="E101" s="66"/>
      <c r="F101" s="65"/>
      <c r="G101" s="65"/>
      <c r="H101" s="66"/>
      <c r="I101" s="66"/>
      <c r="J101" s="66"/>
      <c r="K101" s="66"/>
      <c r="L101" s="66"/>
      <c r="M101" s="66"/>
      <c r="N101" s="66"/>
      <c r="O101" s="66"/>
      <c r="P101" s="66"/>
      <c r="Q101" s="23"/>
      <c r="AB101" s="23"/>
      <c r="AC101" s="23"/>
      <c r="AD101" s="23"/>
      <c r="AE101" s="7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71"/>
      <c r="AV101" s="10"/>
      <c r="AW101" s="23"/>
      <c r="BB101" s="66"/>
      <c r="BC101" s="66"/>
      <c r="BD101" s="66"/>
      <c r="BE101" s="66"/>
      <c r="BF101" s="66"/>
      <c r="BG101" s="66"/>
      <c r="BH101" s="66"/>
      <c r="BI101" s="66"/>
      <c r="BJ101" s="66"/>
      <c r="BK101" s="66"/>
      <c r="BL101" s="66"/>
      <c r="BM101" s="66"/>
      <c r="BN101" s="66"/>
      <c r="BO101" s="66"/>
      <c r="BP101" s="66"/>
      <c r="BQ101" s="66"/>
      <c r="BR101" s="66"/>
      <c r="BS101" s="66"/>
      <c r="BT101" s="66"/>
      <c r="BU101" s="66"/>
      <c r="BV101" s="66"/>
      <c r="BW101" s="66"/>
    </row>
    <row r="102" spans="1:75" ht="15.75" customHeight="1">
      <c r="A102" s="65"/>
      <c r="B102" s="66"/>
      <c r="C102" s="66"/>
      <c r="D102" s="66"/>
      <c r="E102" s="66"/>
      <c r="F102" s="65"/>
      <c r="G102" s="65"/>
      <c r="H102" s="66"/>
      <c r="I102" s="66"/>
      <c r="J102" s="66"/>
      <c r="K102" s="66"/>
      <c r="L102" s="66"/>
      <c r="M102" s="66"/>
      <c r="N102" s="66"/>
      <c r="O102" s="66"/>
      <c r="P102" s="66"/>
      <c r="Q102" s="23"/>
      <c r="AB102" s="23"/>
      <c r="AC102" s="23"/>
      <c r="AD102" s="23"/>
      <c r="AE102" s="7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71"/>
      <c r="AV102" s="10"/>
      <c r="AW102" s="23"/>
      <c r="BB102" s="66"/>
      <c r="BC102" s="66"/>
      <c r="BD102" s="66"/>
      <c r="BE102" s="66"/>
      <c r="BF102" s="66"/>
      <c r="BG102" s="66"/>
      <c r="BH102" s="66"/>
      <c r="BI102" s="66"/>
      <c r="BJ102" s="66"/>
      <c r="BK102" s="66"/>
      <c r="BL102" s="66"/>
      <c r="BM102" s="66"/>
      <c r="BN102" s="66"/>
      <c r="BO102" s="66"/>
      <c r="BP102" s="66"/>
      <c r="BQ102" s="66"/>
      <c r="BR102" s="66"/>
      <c r="BS102" s="66"/>
      <c r="BT102" s="66"/>
      <c r="BU102" s="66"/>
      <c r="BV102" s="66"/>
      <c r="BW102" s="66"/>
    </row>
    <row r="103" spans="1:75" ht="15.75" customHeight="1">
      <c r="A103" s="65"/>
      <c r="B103" s="66"/>
      <c r="C103" s="66"/>
      <c r="D103" s="66"/>
      <c r="E103" s="66"/>
      <c r="F103" s="65"/>
      <c r="G103" s="65"/>
      <c r="H103" s="66"/>
      <c r="I103" s="66"/>
      <c r="J103" s="66"/>
      <c r="K103" s="66"/>
      <c r="L103" s="66"/>
      <c r="M103" s="66"/>
      <c r="N103" s="66"/>
      <c r="O103" s="66"/>
      <c r="P103" s="66"/>
      <c r="Q103" s="23"/>
      <c r="AB103" s="23"/>
      <c r="AC103" s="23"/>
      <c r="AD103" s="23"/>
      <c r="AE103" s="7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71"/>
      <c r="AV103" s="10"/>
      <c r="AW103" s="23"/>
      <c r="BB103" s="66"/>
      <c r="BC103" s="66"/>
      <c r="BD103" s="66"/>
      <c r="BE103" s="66"/>
      <c r="BF103" s="66"/>
      <c r="BG103" s="66"/>
      <c r="BH103" s="66"/>
      <c r="BI103" s="66"/>
      <c r="BJ103" s="66"/>
      <c r="BK103" s="66"/>
      <c r="BL103" s="66"/>
      <c r="BM103" s="66"/>
      <c r="BN103" s="66"/>
      <c r="BO103" s="66"/>
      <c r="BP103" s="66"/>
      <c r="BQ103" s="66"/>
      <c r="BR103" s="66"/>
      <c r="BS103" s="66"/>
      <c r="BT103" s="66"/>
      <c r="BU103" s="66"/>
      <c r="BV103" s="66"/>
      <c r="BW103" s="66"/>
    </row>
    <row r="104" spans="1:75" ht="15.75" customHeight="1">
      <c r="A104" s="65"/>
      <c r="B104" s="66"/>
      <c r="C104" s="66"/>
      <c r="D104" s="66"/>
      <c r="E104" s="66"/>
      <c r="F104" s="65"/>
      <c r="G104" s="65"/>
      <c r="H104" s="66"/>
      <c r="I104" s="66"/>
      <c r="J104" s="66"/>
      <c r="K104" s="66"/>
      <c r="L104" s="66"/>
      <c r="M104" s="66"/>
      <c r="N104" s="66"/>
      <c r="O104" s="66"/>
      <c r="P104" s="66"/>
      <c r="Q104" s="23"/>
      <c r="AB104" s="23"/>
      <c r="AC104" s="23"/>
      <c r="AD104" s="23"/>
      <c r="AE104" s="7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71"/>
      <c r="AV104" s="10"/>
      <c r="AW104" s="23"/>
      <c r="BB104" s="66"/>
      <c r="BC104" s="66"/>
      <c r="BD104" s="66"/>
      <c r="BE104" s="66"/>
      <c r="BF104" s="66"/>
      <c r="BG104" s="66"/>
      <c r="BH104" s="66"/>
      <c r="BI104" s="66"/>
      <c r="BJ104" s="66"/>
      <c r="BK104" s="66"/>
      <c r="BL104" s="66"/>
      <c r="BM104" s="66"/>
      <c r="BN104" s="66"/>
      <c r="BO104" s="66"/>
      <c r="BP104" s="66"/>
      <c r="BQ104" s="66"/>
      <c r="BR104" s="66"/>
      <c r="BS104" s="66"/>
      <c r="BT104" s="66"/>
      <c r="BU104" s="66"/>
      <c r="BV104" s="66"/>
      <c r="BW104" s="66"/>
    </row>
    <row r="105" spans="1:75" ht="15.75" customHeight="1">
      <c r="A105" s="65"/>
      <c r="B105" s="66"/>
      <c r="C105" s="66"/>
      <c r="D105" s="66"/>
      <c r="E105" s="66"/>
      <c r="F105" s="65"/>
      <c r="G105" s="65"/>
      <c r="H105" s="66"/>
      <c r="I105" s="66"/>
      <c r="J105" s="66"/>
      <c r="K105" s="66"/>
      <c r="L105" s="66"/>
      <c r="M105" s="66"/>
      <c r="N105" s="66"/>
      <c r="O105" s="66"/>
      <c r="P105" s="66"/>
      <c r="Q105" s="23"/>
      <c r="AB105" s="23"/>
      <c r="AC105" s="23"/>
      <c r="AD105" s="23"/>
      <c r="AE105" s="7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71"/>
      <c r="AV105" s="10"/>
      <c r="AW105" s="23"/>
      <c r="BB105" s="66"/>
      <c r="BC105" s="66"/>
      <c r="BD105" s="66"/>
      <c r="BE105" s="66"/>
      <c r="BF105" s="66"/>
      <c r="BG105" s="66"/>
      <c r="BH105" s="66"/>
      <c r="BI105" s="66"/>
      <c r="BJ105" s="66"/>
      <c r="BK105" s="66"/>
      <c r="BL105" s="66"/>
      <c r="BM105" s="66"/>
      <c r="BN105" s="66"/>
      <c r="BO105" s="66"/>
      <c r="BP105" s="66"/>
      <c r="BQ105" s="66"/>
      <c r="BR105" s="66"/>
      <c r="BS105" s="66"/>
      <c r="BT105" s="66"/>
      <c r="BU105" s="66"/>
      <c r="BV105" s="66"/>
      <c r="BW105" s="66"/>
    </row>
    <row r="106" spans="1:75" ht="15.75" customHeight="1">
      <c r="A106" s="65"/>
      <c r="B106" s="66"/>
      <c r="C106" s="66"/>
      <c r="D106" s="66"/>
      <c r="E106" s="66"/>
      <c r="F106" s="65"/>
      <c r="G106" s="65"/>
      <c r="H106" s="66"/>
      <c r="I106" s="66"/>
      <c r="J106" s="66"/>
      <c r="K106" s="66"/>
      <c r="L106" s="66"/>
      <c r="M106" s="66"/>
      <c r="N106" s="66"/>
      <c r="O106" s="66"/>
      <c r="P106" s="66"/>
      <c r="Q106" s="23"/>
      <c r="AB106" s="23"/>
      <c r="AC106" s="23"/>
      <c r="AD106" s="23"/>
      <c r="AE106" s="7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71"/>
      <c r="AV106" s="10"/>
      <c r="AW106" s="23"/>
      <c r="BB106" s="66"/>
      <c r="BC106" s="66"/>
      <c r="BD106" s="66"/>
      <c r="BE106" s="66"/>
      <c r="BF106" s="66"/>
      <c r="BG106" s="66"/>
      <c r="BH106" s="66"/>
      <c r="BI106" s="66"/>
      <c r="BJ106" s="66"/>
      <c r="BK106" s="66"/>
      <c r="BL106" s="66"/>
      <c r="BM106" s="66"/>
      <c r="BN106" s="66"/>
      <c r="BO106" s="66"/>
      <c r="BP106" s="66"/>
      <c r="BQ106" s="66"/>
      <c r="BR106" s="66"/>
      <c r="BS106" s="66"/>
      <c r="BT106" s="66"/>
      <c r="BU106" s="66"/>
      <c r="BV106" s="66"/>
      <c r="BW106" s="66"/>
    </row>
    <row r="107" spans="1:75" ht="15.75" customHeight="1">
      <c r="A107" s="65"/>
      <c r="B107" s="66"/>
      <c r="C107" s="66"/>
      <c r="D107" s="66"/>
      <c r="E107" s="66"/>
      <c r="F107" s="65"/>
      <c r="G107" s="65"/>
      <c r="H107" s="66"/>
      <c r="I107" s="66"/>
      <c r="J107" s="66"/>
      <c r="K107" s="66"/>
      <c r="L107" s="66"/>
      <c r="M107" s="66"/>
      <c r="N107" s="66"/>
      <c r="O107" s="66"/>
      <c r="P107" s="66"/>
      <c r="Q107" s="23"/>
      <c r="AB107" s="23"/>
      <c r="AC107" s="23"/>
      <c r="AD107" s="23"/>
      <c r="AE107" s="7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71"/>
      <c r="AV107" s="10"/>
      <c r="AW107" s="23"/>
      <c r="BB107" s="66"/>
      <c r="BC107" s="66"/>
      <c r="BD107" s="66"/>
      <c r="BE107" s="66"/>
      <c r="BF107" s="66"/>
      <c r="BG107" s="66"/>
      <c r="BH107" s="66"/>
      <c r="BI107" s="66"/>
      <c r="BJ107" s="66"/>
      <c r="BK107" s="66"/>
      <c r="BL107" s="66"/>
      <c r="BM107" s="66"/>
      <c r="BN107" s="66"/>
      <c r="BO107" s="66"/>
      <c r="BP107" s="66"/>
      <c r="BQ107" s="66"/>
      <c r="BR107" s="66"/>
      <c r="BS107" s="66"/>
      <c r="BT107" s="66"/>
      <c r="BU107" s="66"/>
      <c r="BV107" s="66"/>
      <c r="BW107" s="66"/>
    </row>
    <row r="108" spans="1:75" ht="15.75" customHeight="1">
      <c r="A108" s="65"/>
      <c r="B108" s="66"/>
      <c r="C108" s="66"/>
      <c r="D108" s="66"/>
      <c r="E108" s="66"/>
      <c r="F108" s="65"/>
      <c r="G108" s="65"/>
      <c r="H108" s="66"/>
      <c r="I108" s="66"/>
      <c r="J108" s="66"/>
      <c r="K108" s="66"/>
      <c r="L108" s="66"/>
      <c r="M108" s="66"/>
      <c r="N108" s="66"/>
      <c r="O108" s="66"/>
      <c r="P108" s="66"/>
      <c r="Q108" s="23"/>
      <c r="AB108" s="23"/>
      <c r="AC108" s="23"/>
      <c r="AD108" s="23"/>
      <c r="AE108" s="7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71"/>
      <c r="AV108" s="10"/>
      <c r="AW108" s="23"/>
      <c r="BB108" s="66"/>
      <c r="BC108" s="66"/>
      <c r="BD108" s="66"/>
      <c r="BE108" s="66"/>
      <c r="BF108" s="66"/>
      <c r="BG108" s="66"/>
      <c r="BH108" s="66"/>
      <c r="BI108" s="66"/>
      <c r="BJ108" s="66"/>
      <c r="BK108" s="66"/>
      <c r="BL108" s="66"/>
      <c r="BM108" s="66"/>
      <c r="BN108" s="66"/>
      <c r="BO108" s="66"/>
      <c r="BP108" s="66"/>
      <c r="BQ108" s="66"/>
      <c r="BR108" s="66"/>
      <c r="BS108" s="66"/>
      <c r="BT108" s="66"/>
      <c r="BU108" s="66"/>
      <c r="BV108" s="66"/>
      <c r="BW108" s="66"/>
    </row>
    <row r="109" spans="1:75" ht="15.75" customHeight="1">
      <c r="A109" s="65"/>
      <c r="B109" s="66"/>
      <c r="C109" s="66"/>
      <c r="D109" s="66"/>
      <c r="E109" s="66"/>
      <c r="F109" s="65"/>
      <c r="G109" s="65"/>
      <c r="H109" s="66"/>
      <c r="I109" s="66"/>
      <c r="J109" s="66"/>
      <c r="K109" s="66"/>
      <c r="L109" s="66"/>
      <c r="M109" s="66"/>
      <c r="N109" s="66"/>
      <c r="O109" s="66"/>
      <c r="P109" s="66"/>
      <c r="Q109" s="23"/>
      <c r="AB109" s="23"/>
      <c r="AC109" s="23"/>
      <c r="AD109" s="23"/>
      <c r="AE109" s="7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71"/>
      <c r="AV109" s="10"/>
      <c r="AW109" s="23"/>
      <c r="BB109" s="66"/>
      <c r="BC109" s="66"/>
      <c r="BD109" s="66"/>
      <c r="BE109" s="66"/>
      <c r="BF109" s="66"/>
      <c r="BG109" s="66"/>
      <c r="BH109" s="66"/>
      <c r="BI109" s="66"/>
      <c r="BJ109" s="66"/>
      <c r="BK109" s="66"/>
      <c r="BL109" s="66"/>
      <c r="BM109" s="66"/>
      <c r="BN109" s="66"/>
      <c r="BO109" s="66"/>
      <c r="BP109" s="66"/>
      <c r="BQ109" s="66"/>
      <c r="BR109" s="66"/>
      <c r="BS109" s="66"/>
      <c r="BT109" s="66"/>
      <c r="BU109" s="66"/>
      <c r="BV109" s="66"/>
      <c r="BW109" s="66"/>
    </row>
    <row r="110" spans="1:75" ht="15.75" customHeight="1">
      <c r="A110" s="65"/>
      <c r="B110" s="66"/>
      <c r="C110" s="66"/>
      <c r="D110" s="66"/>
      <c r="E110" s="66"/>
      <c r="F110" s="65"/>
      <c r="G110" s="65"/>
      <c r="H110" s="66"/>
      <c r="I110" s="66"/>
      <c r="J110" s="66"/>
      <c r="K110" s="66"/>
      <c r="L110" s="66"/>
      <c r="M110" s="66"/>
      <c r="N110" s="66"/>
      <c r="O110" s="66"/>
      <c r="P110" s="66"/>
      <c r="Q110" s="23"/>
      <c r="AB110" s="23"/>
      <c r="AC110" s="23"/>
      <c r="AD110" s="23"/>
      <c r="AE110" s="7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71"/>
      <c r="AV110" s="10"/>
      <c r="AW110" s="23"/>
      <c r="BB110" s="66"/>
      <c r="BC110" s="66"/>
      <c r="BD110" s="66"/>
      <c r="BE110" s="66"/>
      <c r="BF110" s="66"/>
      <c r="BG110" s="66"/>
      <c r="BH110" s="66"/>
      <c r="BI110" s="66"/>
      <c r="BJ110" s="66"/>
      <c r="BK110" s="66"/>
      <c r="BL110" s="66"/>
      <c r="BM110" s="66"/>
      <c r="BN110" s="66"/>
      <c r="BO110" s="66"/>
      <c r="BP110" s="66"/>
      <c r="BQ110" s="66"/>
      <c r="BR110" s="66"/>
      <c r="BS110" s="66"/>
      <c r="BT110" s="66"/>
      <c r="BU110" s="66"/>
      <c r="BV110" s="66"/>
      <c r="BW110" s="66"/>
    </row>
    <row r="111" spans="1:75" ht="15.75" customHeight="1">
      <c r="A111" s="65"/>
      <c r="B111" s="66"/>
      <c r="C111" s="66"/>
      <c r="D111" s="66"/>
      <c r="E111" s="66"/>
      <c r="F111" s="65"/>
      <c r="G111" s="65"/>
      <c r="H111" s="66"/>
      <c r="I111" s="66"/>
      <c r="J111" s="66"/>
      <c r="K111" s="66"/>
      <c r="L111" s="66"/>
      <c r="M111" s="66"/>
      <c r="N111" s="66"/>
      <c r="O111" s="66"/>
      <c r="P111" s="66"/>
      <c r="Q111" s="23"/>
      <c r="AB111" s="23"/>
      <c r="AC111" s="23"/>
      <c r="AD111" s="23"/>
      <c r="AE111" s="7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71"/>
      <c r="AV111" s="10"/>
      <c r="AW111" s="23"/>
      <c r="BB111" s="66"/>
      <c r="BC111" s="66"/>
      <c r="BD111" s="66"/>
      <c r="BE111" s="66"/>
      <c r="BF111" s="66"/>
      <c r="BG111" s="66"/>
      <c r="BH111" s="66"/>
      <c r="BI111" s="66"/>
      <c r="BJ111" s="66"/>
      <c r="BK111" s="66"/>
      <c r="BL111" s="66"/>
      <c r="BM111" s="66"/>
      <c r="BN111" s="66"/>
      <c r="BO111" s="66"/>
      <c r="BP111" s="66"/>
      <c r="BQ111" s="66"/>
      <c r="BR111" s="66"/>
      <c r="BS111" s="66"/>
      <c r="BT111" s="66"/>
      <c r="BU111" s="66"/>
      <c r="BV111" s="66"/>
      <c r="BW111" s="66"/>
    </row>
    <row r="112" spans="1:75" ht="15.75" customHeight="1">
      <c r="A112" s="65"/>
      <c r="B112" s="66"/>
      <c r="C112" s="66"/>
      <c r="D112" s="66"/>
      <c r="E112" s="66"/>
      <c r="F112" s="65"/>
      <c r="G112" s="65"/>
      <c r="H112" s="66"/>
      <c r="I112" s="66"/>
      <c r="J112" s="66"/>
      <c r="K112" s="66"/>
      <c r="L112" s="66"/>
      <c r="M112" s="66"/>
      <c r="N112" s="66"/>
      <c r="O112" s="66"/>
      <c r="P112" s="66"/>
      <c r="Q112" s="23"/>
      <c r="AB112" s="23"/>
      <c r="AC112" s="23"/>
      <c r="AD112" s="23"/>
      <c r="AE112" s="7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71"/>
      <c r="AV112" s="10"/>
      <c r="AW112" s="23"/>
      <c r="BB112" s="66"/>
      <c r="BC112" s="66"/>
      <c r="BD112" s="66"/>
      <c r="BE112" s="66"/>
      <c r="BF112" s="66"/>
      <c r="BG112" s="66"/>
      <c r="BH112" s="66"/>
      <c r="BI112" s="66"/>
      <c r="BJ112" s="66"/>
      <c r="BK112" s="66"/>
      <c r="BL112" s="66"/>
      <c r="BM112" s="66"/>
      <c r="BN112" s="66"/>
      <c r="BO112" s="66"/>
      <c r="BP112" s="66"/>
      <c r="BQ112" s="66"/>
      <c r="BR112" s="66"/>
      <c r="BS112" s="66"/>
      <c r="BT112" s="66"/>
      <c r="BU112" s="66"/>
      <c r="BV112" s="66"/>
      <c r="BW112" s="66"/>
    </row>
    <row r="113" spans="1:75" ht="15.75" customHeight="1">
      <c r="A113" s="65"/>
      <c r="B113" s="66"/>
      <c r="C113" s="66"/>
      <c r="D113" s="66"/>
      <c r="E113" s="66"/>
      <c r="F113" s="65"/>
      <c r="G113" s="65"/>
      <c r="H113" s="66"/>
      <c r="I113" s="66"/>
      <c r="J113" s="66"/>
      <c r="K113" s="66"/>
      <c r="L113" s="66"/>
      <c r="M113" s="66"/>
      <c r="N113" s="66"/>
      <c r="O113" s="66"/>
      <c r="P113" s="66"/>
      <c r="Q113" s="23"/>
      <c r="AB113" s="23"/>
      <c r="AC113" s="23"/>
      <c r="AD113" s="23"/>
      <c r="AE113" s="7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71"/>
      <c r="AV113" s="10"/>
      <c r="AW113" s="23"/>
      <c r="BB113" s="66"/>
      <c r="BC113" s="66"/>
      <c r="BD113" s="66"/>
      <c r="BE113" s="66"/>
      <c r="BF113" s="66"/>
      <c r="BG113" s="66"/>
      <c r="BH113" s="66"/>
      <c r="BI113" s="66"/>
      <c r="BJ113" s="66"/>
      <c r="BK113" s="66"/>
      <c r="BL113" s="66"/>
      <c r="BM113" s="66"/>
      <c r="BN113" s="66"/>
      <c r="BO113" s="66"/>
      <c r="BP113" s="66"/>
      <c r="BQ113" s="66"/>
      <c r="BR113" s="66"/>
      <c r="BS113" s="66"/>
      <c r="BT113" s="66"/>
      <c r="BU113" s="66"/>
      <c r="BV113" s="66"/>
      <c r="BW113" s="66"/>
    </row>
    <row r="114" spans="1:75" ht="15.75" customHeight="1">
      <c r="A114" s="65"/>
      <c r="B114" s="66"/>
      <c r="C114" s="66"/>
      <c r="D114" s="66"/>
      <c r="E114" s="66"/>
      <c r="F114" s="65"/>
      <c r="G114" s="65"/>
      <c r="H114" s="66"/>
      <c r="I114" s="66"/>
      <c r="J114" s="66"/>
      <c r="K114" s="66"/>
      <c r="L114" s="66"/>
      <c r="M114" s="66"/>
      <c r="N114" s="66"/>
      <c r="O114" s="66"/>
      <c r="P114" s="66"/>
      <c r="Q114" s="23"/>
      <c r="AB114" s="23"/>
      <c r="AC114" s="23"/>
      <c r="AD114" s="23"/>
      <c r="AE114" s="7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71"/>
      <c r="AV114" s="10"/>
      <c r="AW114" s="23"/>
      <c r="BB114" s="66"/>
      <c r="BC114" s="66"/>
      <c r="BD114" s="66"/>
      <c r="BE114" s="66"/>
      <c r="BF114" s="66"/>
      <c r="BG114" s="66"/>
      <c r="BH114" s="66"/>
      <c r="BI114" s="66"/>
      <c r="BJ114" s="66"/>
      <c r="BK114" s="66"/>
      <c r="BL114" s="66"/>
      <c r="BM114" s="66"/>
      <c r="BN114" s="66"/>
      <c r="BO114" s="66"/>
      <c r="BP114" s="66"/>
      <c r="BQ114" s="66"/>
      <c r="BR114" s="66"/>
      <c r="BS114" s="66"/>
      <c r="BT114" s="66"/>
      <c r="BU114" s="66"/>
      <c r="BV114" s="66"/>
      <c r="BW114" s="66"/>
    </row>
    <row r="115" spans="1:75" ht="15.75" customHeight="1">
      <c r="A115" s="65"/>
      <c r="B115" s="66"/>
      <c r="C115" s="66"/>
      <c r="D115" s="66"/>
      <c r="E115" s="66"/>
      <c r="F115" s="65"/>
      <c r="G115" s="65"/>
      <c r="H115" s="66"/>
      <c r="I115" s="66"/>
      <c r="J115" s="66"/>
      <c r="K115" s="66"/>
      <c r="L115" s="66"/>
      <c r="M115" s="66"/>
      <c r="N115" s="66"/>
      <c r="O115" s="66"/>
      <c r="P115" s="66"/>
      <c r="Q115" s="23"/>
      <c r="AB115" s="23"/>
      <c r="AC115" s="23"/>
      <c r="AD115" s="23"/>
      <c r="AE115" s="7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71"/>
      <c r="AV115" s="10"/>
      <c r="AW115" s="23"/>
      <c r="BB115" s="66"/>
      <c r="BC115" s="66"/>
      <c r="BD115" s="66"/>
      <c r="BE115" s="66"/>
      <c r="BF115" s="66"/>
      <c r="BG115" s="66"/>
      <c r="BH115" s="66"/>
      <c r="BI115" s="66"/>
      <c r="BJ115" s="66"/>
      <c r="BK115" s="66"/>
      <c r="BL115" s="66"/>
      <c r="BM115" s="66"/>
      <c r="BN115" s="66"/>
      <c r="BO115" s="66"/>
      <c r="BP115" s="66"/>
      <c r="BQ115" s="66"/>
      <c r="BR115" s="66"/>
      <c r="BS115" s="66"/>
      <c r="BT115" s="66"/>
      <c r="BU115" s="66"/>
      <c r="BV115" s="66"/>
      <c r="BW115" s="66"/>
    </row>
    <row r="116" spans="1:75" ht="15.75" customHeight="1">
      <c r="A116" s="65"/>
      <c r="B116" s="66"/>
      <c r="C116" s="66"/>
      <c r="D116" s="66"/>
      <c r="E116" s="66"/>
      <c r="F116" s="65"/>
      <c r="G116" s="65"/>
      <c r="H116" s="66"/>
      <c r="I116" s="66"/>
      <c r="J116" s="66"/>
      <c r="K116" s="66"/>
      <c r="L116" s="66"/>
      <c r="M116" s="66"/>
      <c r="N116" s="66"/>
      <c r="O116" s="66"/>
      <c r="P116" s="66"/>
      <c r="Q116" s="23"/>
      <c r="AB116" s="23"/>
      <c r="AC116" s="23"/>
      <c r="AD116" s="23"/>
      <c r="AE116" s="7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71"/>
      <c r="AV116" s="10"/>
      <c r="AW116" s="23"/>
      <c r="BB116" s="66"/>
      <c r="BC116" s="66"/>
      <c r="BD116" s="66"/>
      <c r="BE116" s="66"/>
      <c r="BF116" s="66"/>
      <c r="BG116" s="66"/>
      <c r="BH116" s="66"/>
      <c r="BI116" s="66"/>
      <c r="BJ116" s="66"/>
      <c r="BK116" s="66"/>
      <c r="BL116" s="66"/>
      <c r="BM116" s="66"/>
      <c r="BN116" s="66"/>
      <c r="BO116" s="66"/>
      <c r="BP116" s="66"/>
      <c r="BQ116" s="66"/>
      <c r="BR116" s="66"/>
      <c r="BS116" s="66"/>
      <c r="BT116" s="66"/>
      <c r="BU116" s="66"/>
      <c r="BV116" s="66"/>
      <c r="BW116" s="66"/>
    </row>
    <row r="117" spans="1:75" ht="15.75" customHeight="1">
      <c r="A117" s="65"/>
      <c r="B117" s="66"/>
      <c r="C117" s="66"/>
      <c r="D117" s="66"/>
      <c r="E117" s="66"/>
      <c r="F117" s="65"/>
      <c r="G117" s="65"/>
      <c r="H117" s="66"/>
      <c r="I117" s="66"/>
      <c r="J117" s="66"/>
      <c r="K117" s="66"/>
      <c r="L117" s="66"/>
      <c r="M117" s="66"/>
      <c r="N117" s="66"/>
      <c r="O117" s="66"/>
      <c r="P117" s="66"/>
      <c r="Q117" s="23"/>
      <c r="AB117" s="23"/>
      <c r="AC117" s="23"/>
      <c r="AD117" s="23"/>
      <c r="AE117" s="7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71"/>
      <c r="AV117" s="10"/>
      <c r="AW117" s="23"/>
      <c r="BB117" s="66"/>
      <c r="BC117" s="66"/>
      <c r="BD117" s="66"/>
      <c r="BE117" s="66"/>
      <c r="BF117" s="66"/>
      <c r="BG117" s="66"/>
      <c r="BH117" s="66"/>
      <c r="BI117" s="66"/>
      <c r="BJ117" s="66"/>
      <c r="BK117" s="66"/>
      <c r="BL117" s="66"/>
      <c r="BM117" s="66"/>
      <c r="BN117" s="66"/>
      <c r="BO117" s="66"/>
      <c r="BP117" s="66"/>
      <c r="BQ117" s="66"/>
      <c r="BR117" s="66"/>
      <c r="BS117" s="66"/>
      <c r="BT117" s="66"/>
      <c r="BU117" s="66"/>
      <c r="BV117" s="66"/>
      <c r="BW117" s="66"/>
    </row>
    <row r="118" spans="1:75" ht="15.75" customHeight="1">
      <c r="A118" s="65"/>
      <c r="B118" s="66"/>
      <c r="C118" s="66"/>
      <c r="D118" s="66"/>
      <c r="E118" s="66"/>
      <c r="F118" s="65"/>
      <c r="G118" s="65"/>
      <c r="H118" s="66"/>
      <c r="I118" s="66"/>
      <c r="J118" s="66"/>
      <c r="K118" s="66"/>
      <c r="L118" s="66"/>
      <c r="M118" s="66"/>
      <c r="N118" s="66"/>
      <c r="O118" s="66"/>
      <c r="P118" s="66"/>
      <c r="Q118" s="23"/>
      <c r="AB118" s="23"/>
      <c r="AC118" s="23"/>
      <c r="AD118" s="23"/>
      <c r="AE118" s="7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71"/>
      <c r="AV118" s="10"/>
      <c r="AW118" s="23"/>
      <c r="BB118" s="66"/>
      <c r="BC118" s="66"/>
      <c r="BD118" s="66"/>
      <c r="BE118" s="66"/>
      <c r="BF118" s="66"/>
      <c r="BG118" s="66"/>
      <c r="BH118" s="66"/>
      <c r="BI118" s="66"/>
      <c r="BJ118" s="66"/>
      <c r="BK118" s="66"/>
      <c r="BL118" s="66"/>
      <c r="BM118" s="66"/>
      <c r="BN118" s="66"/>
      <c r="BO118" s="66"/>
      <c r="BP118" s="66"/>
      <c r="BQ118" s="66"/>
      <c r="BR118" s="66"/>
      <c r="BS118" s="66"/>
      <c r="BT118" s="66"/>
      <c r="BU118" s="66"/>
      <c r="BV118" s="66"/>
      <c r="BW118" s="66"/>
    </row>
    <row r="119" spans="1:75" ht="15.75" customHeight="1">
      <c r="A119" s="65"/>
      <c r="B119" s="66"/>
      <c r="C119" s="66"/>
      <c r="D119" s="66"/>
      <c r="E119" s="66"/>
      <c r="F119" s="65"/>
      <c r="G119" s="65"/>
      <c r="H119" s="66"/>
      <c r="I119" s="66"/>
      <c r="J119" s="66"/>
      <c r="K119" s="66"/>
      <c r="L119" s="66"/>
      <c r="M119" s="66"/>
      <c r="N119" s="66"/>
      <c r="O119" s="66"/>
      <c r="P119" s="66"/>
      <c r="Q119" s="23"/>
      <c r="AB119" s="23"/>
      <c r="AC119" s="23"/>
      <c r="AD119" s="23"/>
      <c r="AE119" s="7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71"/>
      <c r="AV119" s="10"/>
      <c r="AW119" s="23"/>
      <c r="BB119" s="66"/>
      <c r="BC119" s="66"/>
      <c r="BD119" s="66"/>
      <c r="BE119" s="66"/>
      <c r="BF119" s="66"/>
      <c r="BG119" s="66"/>
      <c r="BH119" s="66"/>
      <c r="BI119" s="66"/>
      <c r="BJ119" s="66"/>
      <c r="BK119" s="66"/>
      <c r="BL119" s="66"/>
      <c r="BM119" s="66"/>
      <c r="BN119" s="66"/>
      <c r="BO119" s="66"/>
      <c r="BP119" s="66"/>
      <c r="BQ119" s="66"/>
      <c r="BR119" s="66"/>
      <c r="BS119" s="66"/>
      <c r="BT119" s="66"/>
      <c r="BU119" s="66"/>
      <c r="BV119" s="66"/>
      <c r="BW119" s="66"/>
    </row>
    <row r="120" spans="1:75" ht="15.75" customHeight="1">
      <c r="A120" s="65"/>
      <c r="B120" s="66"/>
      <c r="C120" s="66"/>
      <c r="D120" s="66"/>
      <c r="E120" s="66"/>
      <c r="F120" s="65"/>
      <c r="G120" s="65"/>
      <c r="H120" s="66"/>
      <c r="I120" s="66"/>
      <c r="J120" s="66"/>
      <c r="K120" s="66"/>
      <c r="L120" s="66"/>
      <c r="M120" s="66"/>
      <c r="N120" s="66"/>
      <c r="O120" s="66"/>
      <c r="P120" s="66"/>
      <c r="Q120" s="23"/>
      <c r="AB120" s="23"/>
      <c r="AC120" s="23"/>
      <c r="AD120" s="23"/>
      <c r="AE120" s="7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71"/>
      <c r="AV120" s="10"/>
      <c r="AW120" s="23"/>
      <c r="BB120" s="66"/>
      <c r="BC120" s="66"/>
      <c r="BD120" s="66"/>
      <c r="BE120" s="66"/>
      <c r="BF120" s="66"/>
      <c r="BG120" s="66"/>
      <c r="BH120" s="66"/>
      <c r="BI120" s="66"/>
      <c r="BJ120" s="66"/>
      <c r="BK120" s="66"/>
      <c r="BL120" s="66"/>
      <c r="BM120" s="66"/>
      <c r="BN120" s="66"/>
      <c r="BO120" s="66"/>
      <c r="BP120" s="66"/>
      <c r="BQ120" s="66"/>
      <c r="BR120" s="66"/>
      <c r="BS120" s="66"/>
      <c r="BT120" s="66"/>
      <c r="BU120" s="66"/>
      <c r="BV120" s="66"/>
      <c r="BW120" s="66"/>
    </row>
    <row r="121" spans="1:75" ht="15.75" customHeight="1">
      <c r="A121" s="65"/>
      <c r="B121" s="66"/>
      <c r="C121" s="66"/>
      <c r="D121" s="66"/>
      <c r="E121" s="66"/>
      <c r="F121" s="65"/>
      <c r="G121" s="65"/>
      <c r="H121" s="66"/>
      <c r="I121" s="66"/>
      <c r="J121" s="66"/>
      <c r="K121" s="66"/>
      <c r="L121" s="66"/>
      <c r="M121" s="66"/>
      <c r="N121" s="66"/>
      <c r="O121" s="66"/>
      <c r="P121" s="66"/>
      <c r="Q121" s="23"/>
      <c r="AB121" s="23"/>
      <c r="AC121" s="23"/>
      <c r="AD121" s="23"/>
      <c r="AE121" s="7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71"/>
      <c r="AV121" s="10"/>
      <c r="AW121" s="23"/>
      <c r="BB121" s="66"/>
      <c r="BC121" s="66"/>
      <c r="BD121" s="66"/>
      <c r="BE121" s="66"/>
      <c r="BF121" s="66"/>
      <c r="BG121" s="66"/>
      <c r="BH121" s="66"/>
      <c r="BI121" s="66"/>
      <c r="BJ121" s="66"/>
      <c r="BK121" s="66"/>
      <c r="BL121" s="66"/>
      <c r="BM121" s="66"/>
      <c r="BN121" s="66"/>
      <c r="BO121" s="66"/>
      <c r="BP121" s="66"/>
      <c r="BQ121" s="66"/>
      <c r="BR121" s="66"/>
      <c r="BS121" s="66"/>
      <c r="BT121" s="66"/>
      <c r="BU121" s="66"/>
      <c r="BV121" s="66"/>
      <c r="BW121" s="66"/>
    </row>
    <row r="122" spans="1:75" ht="15.75" customHeight="1">
      <c r="A122" s="65"/>
      <c r="B122" s="66"/>
      <c r="C122" s="66"/>
      <c r="D122" s="66"/>
      <c r="E122" s="66"/>
      <c r="F122" s="65"/>
      <c r="G122" s="65"/>
      <c r="H122" s="66"/>
      <c r="I122" s="66"/>
      <c r="J122" s="66"/>
      <c r="K122" s="66"/>
      <c r="L122" s="66"/>
      <c r="M122" s="66"/>
      <c r="N122" s="66"/>
      <c r="O122" s="66"/>
      <c r="P122" s="66"/>
      <c r="Q122" s="23"/>
      <c r="AB122" s="23"/>
      <c r="AC122" s="23"/>
      <c r="AD122" s="23"/>
      <c r="AE122" s="7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71"/>
      <c r="AV122" s="10"/>
      <c r="AW122" s="23"/>
      <c r="BB122" s="66"/>
      <c r="BC122" s="66"/>
      <c r="BD122" s="66"/>
      <c r="BE122" s="66"/>
      <c r="BF122" s="66"/>
      <c r="BG122" s="66"/>
      <c r="BH122" s="66"/>
      <c r="BI122" s="66"/>
      <c r="BJ122" s="66"/>
      <c r="BK122" s="66"/>
      <c r="BL122" s="66"/>
      <c r="BM122" s="66"/>
      <c r="BN122" s="66"/>
      <c r="BO122" s="66"/>
      <c r="BP122" s="66"/>
      <c r="BQ122" s="66"/>
      <c r="BR122" s="66"/>
      <c r="BS122" s="66"/>
      <c r="BT122" s="66"/>
      <c r="BU122" s="66"/>
      <c r="BV122" s="66"/>
      <c r="BW122" s="66"/>
    </row>
    <row r="123" spans="1:75" ht="15.75" customHeight="1">
      <c r="A123" s="65"/>
      <c r="B123" s="66"/>
      <c r="C123" s="66"/>
      <c r="D123" s="66"/>
      <c r="E123" s="66"/>
      <c r="F123" s="65"/>
      <c r="G123" s="65"/>
      <c r="H123" s="66"/>
      <c r="I123" s="66"/>
      <c r="J123" s="66"/>
      <c r="K123" s="66"/>
      <c r="L123" s="66"/>
      <c r="M123" s="66"/>
      <c r="N123" s="66"/>
      <c r="O123" s="66"/>
      <c r="P123" s="66"/>
      <c r="Q123" s="23"/>
      <c r="AB123" s="23"/>
      <c r="AC123" s="23"/>
      <c r="AD123" s="23"/>
      <c r="AE123" s="7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71"/>
      <c r="AV123" s="10"/>
      <c r="AW123" s="23"/>
      <c r="BB123" s="66"/>
      <c r="BC123" s="66"/>
      <c r="BD123" s="66"/>
      <c r="BE123" s="66"/>
      <c r="BF123" s="66"/>
      <c r="BG123" s="66"/>
      <c r="BH123" s="66"/>
      <c r="BI123" s="66"/>
      <c r="BJ123" s="66"/>
      <c r="BK123" s="66"/>
      <c r="BL123" s="66"/>
      <c r="BM123" s="66"/>
      <c r="BN123" s="66"/>
      <c r="BO123" s="66"/>
      <c r="BP123" s="66"/>
      <c r="BQ123" s="66"/>
      <c r="BR123" s="66"/>
      <c r="BS123" s="66"/>
      <c r="BT123" s="66"/>
      <c r="BU123" s="66"/>
      <c r="BV123" s="66"/>
      <c r="BW123" s="66"/>
    </row>
    <row r="124" spans="1:75" ht="15.75" customHeight="1">
      <c r="A124" s="65"/>
      <c r="B124" s="66"/>
      <c r="C124" s="66"/>
      <c r="D124" s="66"/>
      <c r="E124" s="66"/>
      <c r="F124" s="65"/>
      <c r="G124" s="65"/>
      <c r="H124" s="66"/>
      <c r="I124" s="66"/>
      <c r="J124" s="66"/>
      <c r="K124" s="66"/>
      <c r="L124" s="66"/>
      <c r="M124" s="66"/>
      <c r="N124" s="66"/>
      <c r="O124" s="66"/>
      <c r="P124" s="66"/>
      <c r="Q124" s="23"/>
      <c r="AB124" s="23"/>
      <c r="AC124" s="23"/>
      <c r="AD124" s="23"/>
      <c r="AE124" s="7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71"/>
      <c r="AV124" s="10"/>
      <c r="AW124" s="23"/>
      <c r="BB124" s="66"/>
      <c r="BC124" s="66"/>
      <c r="BD124" s="66"/>
      <c r="BE124" s="66"/>
      <c r="BF124" s="66"/>
      <c r="BG124" s="66"/>
      <c r="BH124" s="66"/>
      <c r="BI124" s="66"/>
      <c r="BJ124" s="66"/>
      <c r="BK124" s="66"/>
      <c r="BL124" s="66"/>
      <c r="BM124" s="66"/>
      <c r="BN124" s="66"/>
      <c r="BO124" s="66"/>
      <c r="BP124" s="66"/>
      <c r="BQ124" s="66"/>
      <c r="BR124" s="66"/>
      <c r="BS124" s="66"/>
      <c r="BT124" s="66"/>
      <c r="BU124" s="66"/>
      <c r="BV124" s="66"/>
      <c r="BW124" s="66"/>
    </row>
    <row r="125" spans="1:75" ht="15.75" customHeight="1">
      <c r="A125" s="65"/>
      <c r="B125" s="66"/>
      <c r="C125" s="66"/>
      <c r="D125" s="66"/>
      <c r="E125" s="66"/>
      <c r="F125" s="65"/>
      <c r="G125" s="65"/>
      <c r="H125" s="66"/>
      <c r="I125" s="66"/>
      <c r="J125" s="66"/>
      <c r="K125" s="66"/>
      <c r="L125" s="66"/>
      <c r="M125" s="66"/>
      <c r="N125" s="66"/>
      <c r="O125" s="66"/>
      <c r="P125" s="66"/>
      <c r="Q125" s="23"/>
      <c r="AB125" s="23"/>
      <c r="AC125" s="23"/>
      <c r="AD125" s="23"/>
      <c r="AE125" s="7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71"/>
      <c r="AV125" s="10"/>
      <c r="AW125" s="23"/>
      <c r="BB125" s="66"/>
      <c r="BC125" s="66"/>
      <c r="BD125" s="66"/>
      <c r="BE125" s="66"/>
      <c r="BF125" s="66"/>
      <c r="BG125" s="66"/>
      <c r="BH125" s="66"/>
      <c r="BI125" s="66"/>
      <c r="BJ125" s="66"/>
      <c r="BK125" s="66"/>
      <c r="BL125" s="66"/>
      <c r="BM125" s="66"/>
      <c r="BN125" s="66"/>
      <c r="BO125" s="66"/>
      <c r="BP125" s="66"/>
      <c r="BQ125" s="66"/>
      <c r="BR125" s="66"/>
      <c r="BS125" s="66"/>
      <c r="BT125" s="66"/>
      <c r="BU125" s="66"/>
      <c r="BV125" s="66"/>
      <c r="BW125" s="66"/>
    </row>
    <row r="126" spans="1:75" ht="15.75" customHeight="1">
      <c r="A126" s="65"/>
      <c r="B126" s="66"/>
      <c r="C126" s="66"/>
      <c r="D126" s="66"/>
      <c r="E126" s="66"/>
      <c r="F126" s="65"/>
      <c r="G126" s="65"/>
      <c r="H126" s="66"/>
      <c r="I126" s="66"/>
      <c r="J126" s="66"/>
      <c r="K126" s="66"/>
      <c r="L126" s="66"/>
      <c r="M126" s="66"/>
      <c r="N126" s="66"/>
      <c r="O126" s="66"/>
      <c r="P126" s="66"/>
      <c r="Q126" s="23"/>
      <c r="AB126" s="23"/>
      <c r="AC126" s="23"/>
      <c r="AD126" s="23"/>
      <c r="AE126" s="7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71"/>
      <c r="AV126" s="10"/>
      <c r="AW126" s="23"/>
      <c r="BB126" s="66"/>
      <c r="BC126" s="66"/>
      <c r="BD126" s="66"/>
      <c r="BE126" s="66"/>
      <c r="BF126" s="66"/>
      <c r="BG126" s="66"/>
      <c r="BH126" s="66"/>
      <c r="BI126" s="66"/>
      <c r="BJ126" s="66"/>
      <c r="BK126" s="66"/>
      <c r="BL126" s="66"/>
      <c r="BM126" s="66"/>
      <c r="BN126" s="66"/>
      <c r="BO126" s="66"/>
      <c r="BP126" s="66"/>
      <c r="BQ126" s="66"/>
      <c r="BR126" s="66"/>
      <c r="BS126" s="66"/>
      <c r="BT126" s="66"/>
      <c r="BU126" s="66"/>
      <c r="BV126" s="66"/>
      <c r="BW126" s="66"/>
    </row>
    <row r="127" spans="1:75" ht="15.75" customHeight="1">
      <c r="A127" s="65"/>
      <c r="B127" s="66"/>
      <c r="C127" s="66"/>
      <c r="D127" s="66"/>
      <c r="E127" s="66"/>
      <c r="F127" s="65"/>
      <c r="G127" s="65"/>
      <c r="H127" s="66"/>
      <c r="I127" s="66"/>
      <c r="J127" s="66"/>
      <c r="K127" s="66"/>
      <c r="L127" s="66"/>
      <c r="M127" s="66"/>
      <c r="N127" s="66"/>
      <c r="O127" s="66"/>
      <c r="P127" s="66"/>
      <c r="Q127" s="23"/>
      <c r="AB127" s="23"/>
      <c r="AC127" s="23"/>
      <c r="AD127" s="23"/>
      <c r="AE127" s="7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71"/>
      <c r="AV127" s="10"/>
      <c r="AW127" s="23"/>
      <c r="BB127" s="66"/>
      <c r="BC127" s="66"/>
      <c r="BD127" s="66"/>
      <c r="BE127" s="66"/>
      <c r="BF127" s="66"/>
      <c r="BG127" s="66"/>
      <c r="BH127" s="66"/>
      <c r="BI127" s="66"/>
      <c r="BJ127" s="66"/>
      <c r="BK127" s="66"/>
      <c r="BL127" s="66"/>
      <c r="BM127" s="66"/>
      <c r="BN127" s="66"/>
      <c r="BO127" s="66"/>
      <c r="BP127" s="66"/>
      <c r="BQ127" s="66"/>
      <c r="BR127" s="66"/>
      <c r="BS127" s="66"/>
      <c r="BT127" s="66"/>
      <c r="BU127" s="66"/>
      <c r="BV127" s="66"/>
      <c r="BW127" s="66"/>
    </row>
    <row r="128" spans="1:75" ht="15.75" customHeight="1">
      <c r="A128" s="65"/>
      <c r="B128" s="66"/>
      <c r="C128" s="66"/>
      <c r="D128" s="66"/>
      <c r="E128" s="66"/>
      <c r="F128" s="65"/>
      <c r="G128" s="65"/>
      <c r="H128" s="66"/>
      <c r="I128" s="66"/>
      <c r="J128" s="66"/>
      <c r="K128" s="66"/>
      <c r="L128" s="66"/>
      <c r="M128" s="66"/>
      <c r="N128" s="66"/>
      <c r="O128" s="66"/>
      <c r="P128" s="66"/>
      <c r="Q128" s="23"/>
      <c r="AB128" s="23"/>
      <c r="AC128" s="23"/>
      <c r="AD128" s="23"/>
      <c r="AE128" s="7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71"/>
      <c r="AV128" s="10"/>
      <c r="AW128" s="23"/>
      <c r="BB128" s="66"/>
      <c r="BC128" s="66"/>
      <c r="BD128" s="66"/>
      <c r="BE128" s="66"/>
      <c r="BF128" s="66"/>
      <c r="BG128" s="66"/>
      <c r="BH128" s="66"/>
      <c r="BI128" s="66"/>
      <c r="BJ128" s="66"/>
      <c r="BK128" s="66"/>
      <c r="BL128" s="66"/>
      <c r="BM128" s="66"/>
      <c r="BN128" s="66"/>
      <c r="BO128" s="66"/>
      <c r="BP128" s="66"/>
      <c r="BQ128" s="66"/>
      <c r="BR128" s="66"/>
      <c r="BS128" s="66"/>
      <c r="BT128" s="66"/>
      <c r="BU128" s="66"/>
      <c r="BV128" s="66"/>
      <c r="BW128" s="66"/>
    </row>
    <row r="129" spans="1:75" ht="15.75" customHeight="1">
      <c r="A129" s="65"/>
      <c r="B129" s="66"/>
      <c r="C129" s="66"/>
      <c r="D129" s="66"/>
      <c r="E129" s="66"/>
      <c r="F129" s="65"/>
      <c r="G129" s="65"/>
      <c r="H129" s="66"/>
      <c r="I129" s="66"/>
      <c r="J129" s="66"/>
      <c r="K129" s="66"/>
      <c r="L129" s="66"/>
      <c r="M129" s="66"/>
      <c r="N129" s="66"/>
      <c r="O129" s="66"/>
      <c r="P129" s="66"/>
      <c r="Q129" s="23"/>
      <c r="AB129" s="23"/>
      <c r="AC129" s="23"/>
      <c r="AD129" s="23"/>
      <c r="AE129" s="7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71"/>
      <c r="AV129" s="10"/>
      <c r="AW129" s="23"/>
      <c r="BB129" s="66"/>
      <c r="BC129" s="66"/>
      <c r="BD129" s="66"/>
      <c r="BE129" s="66"/>
      <c r="BF129" s="66"/>
      <c r="BG129" s="66"/>
      <c r="BH129" s="66"/>
      <c r="BI129" s="66"/>
      <c r="BJ129" s="66"/>
      <c r="BK129" s="66"/>
      <c r="BL129" s="66"/>
      <c r="BM129" s="66"/>
      <c r="BN129" s="66"/>
      <c r="BO129" s="66"/>
      <c r="BP129" s="66"/>
      <c r="BQ129" s="66"/>
      <c r="BR129" s="66"/>
      <c r="BS129" s="66"/>
      <c r="BT129" s="66"/>
      <c r="BU129" s="66"/>
      <c r="BV129" s="66"/>
      <c r="BW129" s="66"/>
    </row>
    <row r="130" spans="1:75" ht="15.75" customHeight="1">
      <c r="A130" s="65"/>
      <c r="B130" s="66"/>
      <c r="C130" s="66"/>
      <c r="D130" s="66"/>
      <c r="E130" s="66"/>
      <c r="F130" s="65"/>
      <c r="G130" s="65"/>
      <c r="H130" s="66"/>
      <c r="I130" s="66"/>
      <c r="J130" s="66"/>
      <c r="K130" s="66"/>
      <c r="L130" s="66"/>
      <c r="M130" s="66"/>
      <c r="N130" s="66"/>
      <c r="O130" s="66"/>
      <c r="P130" s="66"/>
      <c r="Q130" s="23"/>
      <c r="AB130" s="23"/>
      <c r="AC130" s="23"/>
      <c r="AD130" s="23"/>
      <c r="AE130" s="7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71"/>
      <c r="AV130" s="10"/>
      <c r="AW130" s="23"/>
      <c r="BB130" s="66"/>
      <c r="BC130" s="66"/>
      <c r="BD130" s="66"/>
      <c r="BE130" s="66"/>
      <c r="BF130" s="66"/>
      <c r="BG130" s="66"/>
      <c r="BH130" s="66"/>
      <c r="BI130" s="66"/>
      <c r="BJ130" s="66"/>
      <c r="BK130" s="66"/>
      <c r="BL130" s="66"/>
      <c r="BM130" s="66"/>
      <c r="BN130" s="66"/>
      <c r="BO130" s="66"/>
      <c r="BP130" s="66"/>
      <c r="BQ130" s="66"/>
      <c r="BR130" s="66"/>
      <c r="BS130" s="66"/>
      <c r="BT130" s="66"/>
      <c r="BU130" s="66"/>
      <c r="BV130" s="66"/>
      <c r="BW130" s="66"/>
    </row>
    <row r="131" spans="1:75" ht="15.75" customHeight="1">
      <c r="A131" s="65"/>
      <c r="B131" s="66"/>
      <c r="C131" s="66"/>
      <c r="D131" s="66"/>
      <c r="E131" s="66"/>
      <c r="F131" s="65"/>
      <c r="G131" s="65"/>
      <c r="H131" s="66"/>
      <c r="I131" s="66"/>
      <c r="J131" s="66"/>
      <c r="K131" s="66"/>
      <c r="L131" s="66"/>
      <c r="M131" s="66"/>
      <c r="N131" s="66"/>
      <c r="O131" s="66"/>
      <c r="P131" s="66"/>
      <c r="Q131" s="23"/>
      <c r="AB131" s="23"/>
      <c r="AC131" s="23"/>
      <c r="AD131" s="23"/>
      <c r="AE131" s="7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71"/>
      <c r="AV131" s="10"/>
      <c r="AW131" s="23"/>
      <c r="BB131" s="66"/>
      <c r="BC131" s="66"/>
      <c r="BD131" s="66"/>
      <c r="BE131" s="66"/>
      <c r="BF131" s="66"/>
      <c r="BG131" s="66"/>
      <c r="BH131" s="66"/>
      <c r="BI131" s="66"/>
      <c r="BJ131" s="66"/>
      <c r="BK131" s="66"/>
      <c r="BL131" s="66"/>
      <c r="BM131" s="66"/>
      <c r="BN131" s="66"/>
      <c r="BO131" s="66"/>
      <c r="BP131" s="66"/>
      <c r="BQ131" s="66"/>
      <c r="BR131" s="66"/>
      <c r="BS131" s="66"/>
      <c r="BT131" s="66"/>
      <c r="BU131" s="66"/>
      <c r="BV131" s="66"/>
      <c r="BW131" s="66"/>
    </row>
    <row r="132" spans="1:75" ht="15.75" customHeight="1">
      <c r="A132" s="65"/>
      <c r="B132" s="66"/>
      <c r="C132" s="66"/>
      <c r="D132" s="66"/>
      <c r="E132" s="66"/>
      <c r="F132" s="65"/>
      <c r="G132" s="65"/>
      <c r="H132" s="66"/>
      <c r="I132" s="66"/>
      <c r="J132" s="66"/>
      <c r="K132" s="66"/>
      <c r="L132" s="66"/>
      <c r="M132" s="66"/>
      <c r="N132" s="66"/>
      <c r="O132" s="66"/>
      <c r="P132" s="66"/>
      <c r="Q132" s="23"/>
      <c r="AB132" s="23"/>
      <c r="AC132" s="23"/>
      <c r="AD132" s="23"/>
      <c r="AE132" s="7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71"/>
      <c r="AV132" s="10"/>
      <c r="AW132" s="23"/>
      <c r="BB132" s="66"/>
      <c r="BC132" s="66"/>
      <c r="BD132" s="66"/>
      <c r="BE132" s="66"/>
      <c r="BF132" s="66"/>
      <c r="BG132" s="66"/>
      <c r="BH132" s="66"/>
      <c r="BI132" s="66"/>
      <c r="BJ132" s="66"/>
      <c r="BK132" s="66"/>
      <c r="BL132" s="66"/>
      <c r="BM132" s="66"/>
      <c r="BN132" s="66"/>
      <c r="BO132" s="66"/>
      <c r="BP132" s="66"/>
      <c r="BQ132" s="66"/>
      <c r="BR132" s="66"/>
      <c r="BS132" s="66"/>
      <c r="BT132" s="66"/>
      <c r="BU132" s="66"/>
      <c r="BV132" s="66"/>
      <c r="BW132" s="66"/>
    </row>
    <row r="133" spans="1:75" ht="15.75" customHeight="1">
      <c r="A133" s="65"/>
      <c r="B133" s="66"/>
      <c r="C133" s="66"/>
      <c r="D133" s="66"/>
      <c r="E133" s="66"/>
      <c r="F133" s="65"/>
      <c r="G133" s="65"/>
      <c r="H133" s="66"/>
      <c r="I133" s="66"/>
      <c r="J133" s="66"/>
      <c r="K133" s="66"/>
      <c r="L133" s="66"/>
      <c r="M133" s="66"/>
      <c r="N133" s="66"/>
      <c r="O133" s="66"/>
      <c r="P133" s="66"/>
      <c r="Q133" s="23"/>
      <c r="AB133" s="23"/>
      <c r="AC133" s="23"/>
      <c r="AD133" s="23"/>
      <c r="AE133" s="7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71"/>
      <c r="AV133" s="10"/>
      <c r="AW133" s="23"/>
      <c r="BB133" s="66"/>
      <c r="BC133" s="66"/>
      <c r="BD133" s="66"/>
      <c r="BE133" s="66"/>
      <c r="BF133" s="66"/>
      <c r="BG133" s="66"/>
      <c r="BH133" s="66"/>
      <c r="BI133" s="66"/>
      <c r="BJ133" s="66"/>
      <c r="BK133" s="66"/>
      <c r="BL133" s="66"/>
      <c r="BM133" s="66"/>
      <c r="BN133" s="66"/>
      <c r="BO133" s="66"/>
      <c r="BP133" s="66"/>
      <c r="BQ133" s="66"/>
      <c r="BR133" s="66"/>
      <c r="BS133" s="66"/>
      <c r="BT133" s="66"/>
      <c r="BU133" s="66"/>
      <c r="BV133" s="66"/>
      <c r="BW133" s="66"/>
    </row>
    <row r="134" spans="1:75" ht="15.75" customHeight="1">
      <c r="A134" s="65"/>
      <c r="B134" s="66"/>
      <c r="C134" s="66"/>
      <c r="D134" s="66"/>
      <c r="E134" s="66"/>
      <c r="F134" s="65"/>
      <c r="G134" s="65"/>
      <c r="H134" s="66"/>
      <c r="I134" s="66"/>
      <c r="J134" s="66"/>
      <c r="K134" s="66"/>
      <c r="L134" s="66"/>
      <c r="M134" s="66"/>
      <c r="N134" s="66"/>
      <c r="O134" s="66"/>
      <c r="P134" s="66"/>
      <c r="Q134" s="23"/>
      <c r="AB134" s="23"/>
      <c r="AC134" s="23"/>
      <c r="AD134" s="23"/>
      <c r="AE134" s="7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71"/>
      <c r="AV134" s="10"/>
      <c r="AW134" s="23"/>
      <c r="BB134" s="66"/>
      <c r="BC134" s="66"/>
      <c r="BD134" s="66"/>
      <c r="BE134" s="66"/>
      <c r="BF134" s="66"/>
      <c r="BG134" s="66"/>
      <c r="BH134" s="66"/>
      <c r="BI134" s="66"/>
      <c r="BJ134" s="66"/>
      <c r="BK134" s="66"/>
      <c r="BL134" s="66"/>
      <c r="BM134" s="66"/>
      <c r="BN134" s="66"/>
      <c r="BO134" s="66"/>
      <c r="BP134" s="66"/>
      <c r="BQ134" s="66"/>
      <c r="BR134" s="66"/>
      <c r="BS134" s="66"/>
      <c r="BT134" s="66"/>
      <c r="BU134" s="66"/>
      <c r="BV134" s="66"/>
      <c r="BW134" s="66"/>
    </row>
    <row r="135" spans="1:75" ht="15.75" customHeight="1">
      <c r="A135" s="65"/>
      <c r="B135" s="66"/>
      <c r="C135" s="66"/>
      <c r="D135" s="66"/>
      <c r="E135" s="66"/>
      <c r="F135" s="65"/>
      <c r="G135" s="65"/>
      <c r="H135" s="66"/>
      <c r="I135" s="66"/>
      <c r="J135" s="66"/>
      <c r="K135" s="66"/>
      <c r="L135" s="66"/>
      <c r="M135" s="66"/>
      <c r="N135" s="66"/>
      <c r="O135" s="66"/>
      <c r="P135" s="66"/>
      <c r="Q135" s="23"/>
      <c r="AB135" s="23"/>
      <c r="AC135" s="23"/>
      <c r="AD135" s="23"/>
      <c r="AE135" s="7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71"/>
      <c r="AV135" s="10"/>
      <c r="AW135" s="23"/>
      <c r="BB135" s="66"/>
      <c r="BC135" s="66"/>
      <c r="BD135" s="66"/>
      <c r="BE135" s="66"/>
      <c r="BF135" s="66"/>
      <c r="BG135" s="66"/>
      <c r="BH135" s="66"/>
      <c r="BI135" s="66"/>
      <c r="BJ135" s="66"/>
      <c r="BK135" s="66"/>
      <c r="BL135" s="66"/>
      <c r="BM135" s="66"/>
      <c r="BN135" s="66"/>
      <c r="BO135" s="66"/>
      <c r="BP135" s="66"/>
      <c r="BQ135" s="66"/>
      <c r="BR135" s="66"/>
      <c r="BS135" s="66"/>
      <c r="BT135" s="66"/>
      <c r="BU135" s="66"/>
      <c r="BV135" s="66"/>
      <c r="BW135" s="66"/>
    </row>
    <row r="136" spans="1:75" ht="15.75" customHeight="1">
      <c r="A136" s="65"/>
      <c r="B136" s="66"/>
      <c r="C136" s="66"/>
      <c r="D136" s="66"/>
      <c r="E136" s="66"/>
      <c r="F136" s="65"/>
      <c r="G136" s="65"/>
      <c r="H136" s="66"/>
      <c r="I136" s="66"/>
      <c r="J136" s="66"/>
      <c r="K136" s="66"/>
      <c r="L136" s="66"/>
      <c r="M136" s="66"/>
      <c r="N136" s="66"/>
      <c r="O136" s="66"/>
      <c r="P136" s="66"/>
      <c r="Q136" s="23"/>
      <c r="AB136" s="23"/>
      <c r="AC136" s="23"/>
      <c r="AD136" s="23"/>
      <c r="AE136" s="7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71"/>
      <c r="AV136" s="10"/>
      <c r="AW136" s="23"/>
      <c r="BB136" s="66"/>
      <c r="BC136" s="66"/>
      <c r="BD136" s="66"/>
      <c r="BE136" s="66"/>
      <c r="BF136" s="66"/>
      <c r="BG136" s="66"/>
      <c r="BH136" s="66"/>
      <c r="BI136" s="66"/>
      <c r="BJ136" s="66"/>
      <c r="BK136" s="66"/>
      <c r="BL136" s="66"/>
      <c r="BM136" s="66"/>
      <c r="BN136" s="66"/>
      <c r="BO136" s="66"/>
      <c r="BP136" s="66"/>
      <c r="BQ136" s="66"/>
      <c r="BR136" s="66"/>
      <c r="BS136" s="66"/>
      <c r="BT136" s="66"/>
      <c r="BU136" s="66"/>
      <c r="BV136" s="66"/>
      <c r="BW136" s="66"/>
    </row>
    <row r="137" spans="1:75" ht="15.75" customHeight="1">
      <c r="A137" s="65"/>
      <c r="B137" s="66"/>
      <c r="C137" s="66"/>
      <c r="D137" s="66"/>
      <c r="E137" s="66"/>
      <c r="F137" s="65"/>
      <c r="G137" s="65"/>
      <c r="H137" s="66"/>
      <c r="I137" s="66"/>
      <c r="J137" s="66"/>
      <c r="K137" s="66"/>
      <c r="L137" s="66"/>
      <c r="M137" s="66"/>
      <c r="N137" s="66"/>
      <c r="O137" s="66"/>
      <c r="P137" s="66"/>
      <c r="Q137" s="23"/>
      <c r="AB137" s="23"/>
      <c r="AC137" s="23"/>
      <c r="AD137" s="23"/>
      <c r="AE137" s="7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71"/>
      <c r="AV137" s="10"/>
      <c r="AW137" s="23"/>
      <c r="BB137" s="66"/>
      <c r="BC137" s="66"/>
      <c r="BD137" s="66"/>
      <c r="BE137" s="66"/>
      <c r="BF137" s="66"/>
      <c r="BG137" s="66"/>
      <c r="BH137" s="66"/>
      <c r="BI137" s="66"/>
      <c r="BJ137" s="66"/>
      <c r="BK137" s="66"/>
      <c r="BL137" s="66"/>
      <c r="BM137" s="66"/>
      <c r="BN137" s="66"/>
      <c r="BO137" s="66"/>
      <c r="BP137" s="66"/>
      <c r="BQ137" s="66"/>
      <c r="BR137" s="66"/>
      <c r="BS137" s="66"/>
      <c r="BT137" s="66"/>
      <c r="BU137" s="66"/>
      <c r="BV137" s="66"/>
      <c r="BW137" s="66"/>
    </row>
    <row r="138" spans="1:75" ht="15.75" customHeight="1">
      <c r="A138" s="65"/>
      <c r="B138" s="66"/>
      <c r="C138" s="66"/>
      <c r="D138" s="66"/>
      <c r="E138" s="66"/>
      <c r="F138" s="65"/>
      <c r="G138" s="65"/>
      <c r="H138" s="66"/>
      <c r="I138" s="66"/>
      <c r="J138" s="66"/>
      <c r="K138" s="66"/>
      <c r="L138" s="66"/>
      <c r="M138" s="66"/>
      <c r="N138" s="66"/>
      <c r="O138" s="66"/>
      <c r="P138" s="66"/>
      <c r="Q138" s="23"/>
      <c r="AB138" s="23"/>
      <c r="AC138" s="23"/>
      <c r="AD138" s="23"/>
      <c r="AE138" s="7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71"/>
      <c r="AV138" s="10"/>
      <c r="AW138" s="23"/>
      <c r="BB138" s="66"/>
      <c r="BC138" s="66"/>
      <c r="BD138" s="66"/>
      <c r="BE138" s="66"/>
      <c r="BF138" s="66"/>
      <c r="BG138" s="66"/>
      <c r="BH138" s="66"/>
      <c r="BI138" s="66"/>
      <c r="BJ138" s="66"/>
      <c r="BK138" s="66"/>
      <c r="BL138" s="66"/>
      <c r="BM138" s="66"/>
      <c r="BN138" s="66"/>
      <c r="BO138" s="66"/>
      <c r="BP138" s="66"/>
      <c r="BQ138" s="66"/>
      <c r="BR138" s="66"/>
      <c r="BS138" s="66"/>
      <c r="BT138" s="66"/>
      <c r="BU138" s="66"/>
      <c r="BV138" s="66"/>
      <c r="BW138" s="66"/>
    </row>
    <row r="139" spans="1:75" ht="15.75" customHeight="1">
      <c r="A139" s="65"/>
      <c r="B139" s="66"/>
      <c r="C139" s="66"/>
      <c r="D139" s="66"/>
      <c r="E139" s="66"/>
      <c r="F139" s="65"/>
      <c r="G139" s="65"/>
      <c r="H139" s="66"/>
      <c r="I139" s="66"/>
      <c r="J139" s="66"/>
      <c r="K139" s="66"/>
      <c r="L139" s="66"/>
      <c r="M139" s="66"/>
      <c r="N139" s="66"/>
      <c r="O139" s="66"/>
      <c r="P139" s="66"/>
      <c r="Q139" s="23"/>
      <c r="AB139" s="23"/>
      <c r="AC139" s="23"/>
      <c r="AD139" s="23"/>
      <c r="AE139" s="7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71"/>
      <c r="AV139" s="10"/>
      <c r="AW139" s="23"/>
      <c r="BB139" s="66"/>
      <c r="BC139" s="66"/>
      <c r="BD139" s="66"/>
      <c r="BE139" s="66"/>
      <c r="BF139" s="66"/>
      <c r="BG139" s="66"/>
      <c r="BH139" s="66"/>
      <c r="BI139" s="66"/>
      <c r="BJ139" s="66"/>
      <c r="BK139" s="66"/>
      <c r="BL139" s="66"/>
      <c r="BM139" s="66"/>
      <c r="BN139" s="66"/>
      <c r="BO139" s="66"/>
      <c r="BP139" s="66"/>
      <c r="BQ139" s="66"/>
      <c r="BR139" s="66"/>
      <c r="BS139" s="66"/>
      <c r="BT139" s="66"/>
      <c r="BU139" s="66"/>
      <c r="BV139" s="66"/>
      <c r="BW139" s="66"/>
    </row>
    <row r="140" spans="1:75" ht="15.75" customHeight="1">
      <c r="A140" s="65"/>
      <c r="B140" s="66"/>
      <c r="C140" s="66"/>
      <c r="D140" s="66"/>
      <c r="E140" s="66"/>
      <c r="F140" s="65"/>
      <c r="G140" s="65"/>
      <c r="H140" s="66"/>
      <c r="I140" s="66"/>
      <c r="J140" s="66"/>
      <c r="K140" s="66"/>
      <c r="L140" s="66"/>
      <c r="M140" s="66"/>
      <c r="N140" s="66"/>
      <c r="O140" s="66"/>
      <c r="P140" s="66"/>
      <c r="Q140" s="23"/>
      <c r="AB140" s="23"/>
      <c r="AC140" s="23"/>
      <c r="AD140" s="23"/>
      <c r="AE140" s="7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71"/>
      <c r="AV140" s="10"/>
      <c r="AW140" s="23"/>
      <c r="BB140" s="66"/>
      <c r="BC140" s="66"/>
      <c r="BD140" s="66"/>
      <c r="BE140" s="66"/>
      <c r="BF140" s="66"/>
      <c r="BG140" s="66"/>
      <c r="BH140" s="66"/>
      <c r="BI140" s="66"/>
      <c r="BJ140" s="66"/>
      <c r="BK140" s="66"/>
      <c r="BL140" s="66"/>
      <c r="BM140" s="66"/>
      <c r="BN140" s="66"/>
      <c r="BO140" s="66"/>
      <c r="BP140" s="66"/>
      <c r="BQ140" s="66"/>
      <c r="BR140" s="66"/>
      <c r="BS140" s="66"/>
      <c r="BT140" s="66"/>
      <c r="BU140" s="66"/>
      <c r="BV140" s="66"/>
      <c r="BW140" s="66"/>
    </row>
    <row r="141" spans="1:75" ht="15.75" customHeight="1">
      <c r="A141" s="65"/>
      <c r="B141" s="66"/>
      <c r="C141" s="66"/>
      <c r="D141" s="66"/>
      <c r="E141" s="66"/>
      <c r="F141" s="65"/>
      <c r="G141" s="65"/>
      <c r="H141" s="66"/>
      <c r="I141" s="66"/>
      <c r="J141" s="66"/>
      <c r="K141" s="66"/>
      <c r="L141" s="66"/>
      <c r="M141" s="66"/>
      <c r="N141" s="66"/>
      <c r="O141" s="66"/>
      <c r="P141" s="66"/>
      <c r="Q141" s="23"/>
      <c r="AB141" s="23"/>
      <c r="AC141" s="23"/>
      <c r="AD141" s="23"/>
      <c r="AE141" s="7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71"/>
      <c r="AV141" s="10"/>
      <c r="AW141" s="23"/>
      <c r="BB141" s="66"/>
      <c r="BC141" s="66"/>
      <c r="BD141" s="66"/>
      <c r="BE141" s="66"/>
      <c r="BF141" s="66"/>
      <c r="BG141" s="66"/>
      <c r="BH141" s="66"/>
      <c r="BI141" s="66"/>
      <c r="BJ141" s="66"/>
      <c r="BK141" s="66"/>
      <c r="BL141" s="66"/>
      <c r="BM141" s="66"/>
      <c r="BN141" s="66"/>
      <c r="BO141" s="66"/>
      <c r="BP141" s="66"/>
      <c r="BQ141" s="66"/>
      <c r="BR141" s="66"/>
      <c r="BS141" s="66"/>
      <c r="BT141" s="66"/>
      <c r="BU141" s="66"/>
      <c r="BV141" s="66"/>
      <c r="BW141" s="66"/>
    </row>
    <row r="142" spans="1:75" ht="15.75" customHeight="1">
      <c r="A142" s="65"/>
      <c r="B142" s="66"/>
      <c r="C142" s="66"/>
      <c r="D142" s="66"/>
      <c r="E142" s="66"/>
      <c r="F142" s="65"/>
      <c r="G142" s="65"/>
      <c r="H142" s="66"/>
      <c r="I142" s="66"/>
      <c r="J142" s="66"/>
      <c r="K142" s="66"/>
      <c r="L142" s="66"/>
      <c r="M142" s="66"/>
      <c r="N142" s="66"/>
      <c r="O142" s="66"/>
      <c r="P142" s="66"/>
      <c r="Q142" s="23"/>
      <c r="AB142" s="23"/>
      <c r="AC142" s="23"/>
      <c r="AD142" s="23"/>
      <c r="AE142" s="7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71"/>
      <c r="AV142" s="10"/>
      <c r="AW142" s="23"/>
      <c r="BB142" s="66"/>
      <c r="BC142" s="66"/>
      <c r="BD142" s="66"/>
      <c r="BE142" s="66"/>
      <c r="BF142" s="66"/>
      <c r="BG142" s="66"/>
      <c r="BH142" s="66"/>
      <c r="BI142" s="66"/>
      <c r="BJ142" s="66"/>
      <c r="BK142" s="66"/>
      <c r="BL142" s="66"/>
      <c r="BM142" s="66"/>
      <c r="BN142" s="66"/>
      <c r="BO142" s="66"/>
      <c r="BP142" s="66"/>
      <c r="BQ142" s="66"/>
      <c r="BR142" s="66"/>
      <c r="BS142" s="66"/>
      <c r="BT142" s="66"/>
      <c r="BU142" s="66"/>
      <c r="BV142" s="66"/>
      <c r="BW142" s="66"/>
    </row>
    <row r="143" spans="1:75" ht="15.75" customHeight="1">
      <c r="A143" s="65"/>
      <c r="B143" s="66"/>
      <c r="C143" s="66"/>
      <c r="D143" s="66"/>
      <c r="E143" s="66"/>
      <c r="F143" s="65"/>
      <c r="G143" s="65"/>
      <c r="H143" s="66"/>
      <c r="I143" s="66"/>
      <c r="J143" s="66"/>
      <c r="K143" s="66"/>
      <c r="L143" s="66"/>
      <c r="M143" s="66"/>
      <c r="N143" s="66"/>
      <c r="O143" s="66"/>
      <c r="P143" s="66"/>
      <c r="Q143" s="23"/>
      <c r="AB143" s="23"/>
      <c r="AC143" s="23"/>
      <c r="AD143" s="23"/>
      <c r="AE143" s="7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71"/>
      <c r="AV143" s="10"/>
      <c r="AW143" s="23"/>
      <c r="BB143" s="66"/>
      <c r="BC143" s="66"/>
      <c r="BD143" s="66"/>
      <c r="BE143" s="66"/>
      <c r="BF143" s="66"/>
      <c r="BG143" s="66"/>
      <c r="BH143" s="66"/>
      <c r="BI143" s="66"/>
      <c r="BJ143" s="66"/>
      <c r="BK143" s="66"/>
      <c r="BL143" s="66"/>
      <c r="BM143" s="66"/>
      <c r="BN143" s="66"/>
      <c r="BO143" s="66"/>
      <c r="BP143" s="66"/>
      <c r="BQ143" s="66"/>
      <c r="BR143" s="66"/>
      <c r="BS143" s="66"/>
      <c r="BT143" s="66"/>
      <c r="BU143" s="66"/>
      <c r="BV143" s="66"/>
      <c r="BW143" s="66"/>
    </row>
    <row r="144" spans="1:75" ht="15.75" customHeight="1">
      <c r="A144" s="65"/>
      <c r="B144" s="66"/>
      <c r="C144" s="66"/>
      <c r="D144" s="66"/>
      <c r="E144" s="66"/>
      <c r="F144" s="65"/>
      <c r="G144" s="65"/>
      <c r="H144" s="66"/>
      <c r="I144" s="66"/>
      <c r="J144" s="66"/>
      <c r="K144" s="66"/>
      <c r="L144" s="66"/>
      <c r="M144" s="66"/>
      <c r="N144" s="66"/>
      <c r="O144" s="66"/>
      <c r="P144" s="66"/>
      <c r="Q144" s="23"/>
      <c r="AB144" s="23"/>
      <c r="AC144" s="23"/>
      <c r="AD144" s="23"/>
      <c r="AE144" s="7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71"/>
      <c r="AV144" s="10"/>
      <c r="AW144" s="23"/>
      <c r="BB144" s="66"/>
      <c r="BC144" s="66"/>
      <c r="BD144" s="66"/>
      <c r="BE144" s="66"/>
      <c r="BF144" s="66"/>
      <c r="BG144" s="66"/>
      <c r="BH144" s="66"/>
      <c r="BI144" s="66"/>
      <c r="BJ144" s="66"/>
      <c r="BK144" s="66"/>
      <c r="BL144" s="66"/>
      <c r="BM144" s="66"/>
      <c r="BN144" s="66"/>
      <c r="BO144" s="66"/>
      <c r="BP144" s="66"/>
      <c r="BQ144" s="66"/>
      <c r="BR144" s="66"/>
      <c r="BS144" s="66"/>
      <c r="BT144" s="66"/>
      <c r="BU144" s="66"/>
      <c r="BV144" s="66"/>
      <c r="BW144" s="66"/>
    </row>
    <row r="145" spans="1:75" ht="15.75" customHeight="1">
      <c r="A145" s="65"/>
      <c r="B145" s="66"/>
      <c r="C145" s="66"/>
      <c r="D145" s="66"/>
      <c r="E145" s="66"/>
      <c r="F145" s="65"/>
      <c r="G145" s="65"/>
      <c r="H145" s="66"/>
      <c r="I145" s="66"/>
      <c r="J145" s="66"/>
      <c r="K145" s="66"/>
      <c r="L145" s="66"/>
      <c r="M145" s="66"/>
      <c r="N145" s="66"/>
      <c r="O145" s="66"/>
      <c r="P145" s="66"/>
      <c r="Q145" s="23"/>
      <c r="AB145" s="23"/>
      <c r="AC145" s="23"/>
      <c r="AD145" s="23"/>
      <c r="AE145" s="7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71"/>
      <c r="AV145" s="10"/>
      <c r="AW145" s="23"/>
      <c r="BB145" s="66"/>
      <c r="BC145" s="66"/>
      <c r="BD145" s="66"/>
      <c r="BE145" s="66"/>
      <c r="BF145" s="66"/>
      <c r="BG145" s="66"/>
      <c r="BH145" s="66"/>
      <c r="BI145" s="66"/>
      <c r="BJ145" s="66"/>
      <c r="BK145" s="66"/>
      <c r="BL145" s="66"/>
      <c r="BM145" s="66"/>
      <c r="BN145" s="66"/>
      <c r="BO145" s="66"/>
      <c r="BP145" s="66"/>
      <c r="BQ145" s="66"/>
      <c r="BR145" s="66"/>
      <c r="BS145" s="66"/>
      <c r="BT145" s="66"/>
      <c r="BU145" s="66"/>
      <c r="BV145" s="66"/>
      <c r="BW145" s="66"/>
    </row>
    <row r="146" spans="1:75" ht="15.75" customHeight="1">
      <c r="A146" s="65"/>
      <c r="B146" s="66"/>
      <c r="C146" s="66"/>
      <c r="D146" s="66"/>
      <c r="E146" s="66"/>
      <c r="F146" s="65"/>
      <c r="G146" s="65"/>
      <c r="H146" s="66"/>
      <c r="I146" s="66"/>
      <c r="J146" s="66"/>
      <c r="K146" s="66"/>
      <c r="L146" s="66"/>
      <c r="M146" s="66"/>
      <c r="N146" s="66"/>
      <c r="O146" s="66"/>
      <c r="P146" s="66"/>
      <c r="Q146" s="23"/>
      <c r="AB146" s="23"/>
      <c r="AC146" s="23"/>
      <c r="AD146" s="23"/>
      <c r="AE146" s="7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71"/>
      <c r="AV146" s="10"/>
      <c r="AW146" s="23"/>
      <c r="BB146" s="66"/>
      <c r="BC146" s="66"/>
      <c r="BD146" s="66"/>
      <c r="BE146" s="66"/>
      <c r="BF146" s="66"/>
      <c r="BG146" s="66"/>
      <c r="BH146" s="66"/>
      <c r="BI146" s="66"/>
      <c r="BJ146" s="66"/>
      <c r="BK146" s="66"/>
      <c r="BL146" s="66"/>
      <c r="BM146" s="66"/>
      <c r="BN146" s="66"/>
      <c r="BO146" s="66"/>
      <c r="BP146" s="66"/>
      <c r="BQ146" s="66"/>
      <c r="BR146" s="66"/>
      <c r="BS146" s="66"/>
      <c r="BT146" s="66"/>
      <c r="BU146" s="66"/>
      <c r="BV146" s="66"/>
      <c r="BW146" s="66"/>
    </row>
    <row r="147" spans="1:75" ht="15.75" customHeight="1">
      <c r="A147" s="65"/>
      <c r="B147" s="66"/>
      <c r="C147" s="66"/>
      <c r="D147" s="66"/>
      <c r="E147" s="66"/>
      <c r="F147" s="65"/>
      <c r="G147" s="65"/>
      <c r="H147" s="66"/>
      <c r="I147" s="66"/>
      <c r="J147" s="66"/>
      <c r="K147" s="66"/>
      <c r="L147" s="66"/>
      <c r="M147" s="66"/>
      <c r="N147" s="66"/>
      <c r="O147" s="66"/>
      <c r="P147" s="66"/>
      <c r="Q147" s="23"/>
      <c r="AB147" s="23"/>
      <c r="AC147" s="23"/>
      <c r="AD147" s="23"/>
      <c r="AE147" s="7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71"/>
      <c r="AV147" s="10"/>
      <c r="AW147" s="23"/>
      <c r="BB147" s="66"/>
      <c r="BC147" s="66"/>
      <c r="BD147" s="66"/>
      <c r="BE147" s="66"/>
      <c r="BF147" s="66"/>
      <c r="BG147" s="66"/>
      <c r="BH147" s="66"/>
      <c r="BI147" s="66"/>
      <c r="BJ147" s="66"/>
      <c r="BK147" s="66"/>
      <c r="BL147" s="66"/>
      <c r="BM147" s="66"/>
      <c r="BN147" s="66"/>
      <c r="BO147" s="66"/>
      <c r="BP147" s="66"/>
      <c r="BQ147" s="66"/>
      <c r="BR147" s="66"/>
      <c r="BS147" s="66"/>
      <c r="BT147" s="66"/>
      <c r="BU147" s="66"/>
      <c r="BV147" s="66"/>
      <c r="BW147" s="66"/>
    </row>
    <row r="148" spans="1:75" ht="15.75" customHeight="1">
      <c r="A148" s="65"/>
      <c r="B148" s="66"/>
      <c r="C148" s="66"/>
      <c r="D148" s="66"/>
      <c r="E148" s="66"/>
      <c r="F148" s="65"/>
      <c r="G148" s="65"/>
      <c r="H148" s="66"/>
      <c r="I148" s="66"/>
      <c r="J148" s="66"/>
      <c r="K148" s="66"/>
      <c r="L148" s="66"/>
      <c r="M148" s="66"/>
      <c r="N148" s="66"/>
      <c r="O148" s="66"/>
      <c r="P148" s="66"/>
      <c r="Q148" s="23"/>
      <c r="AB148" s="23"/>
      <c r="AC148" s="23"/>
      <c r="AD148" s="23"/>
      <c r="AE148" s="7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71"/>
      <c r="AV148" s="10"/>
      <c r="AW148" s="23"/>
      <c r="BB148" s="66"/>
      <c r="BC148" s="66"/>
      <c r="BD148" s="66"/>
      <c r="BE148" s="66"/>
      <c r="BF148" s="66"/>
      <c r="BG148" s="66"/>
      <c r="BH148" s="66"/>
      <c r="BI148" s="66"/>
      <c r="BJ148" s="66"/>
      <c r="BK148" s="66"/>
      <c r="BL148" s="66"/>
      <c r="BM148" s="66"/>
      <c r="BN148" s="66"/>
      <c r="BO148" s="66"/>
      <c r="BP148" s="66"/>
      <c r="BQ148" s="66"/>
      <c r="BR148" s="66"/>
      <c r="BS148" s="66"/>
      <c r="BT148" s="66"/>
      <c r="BU148" s="66"/>
      <c r="BV148" s="66"/>
      <c r="BW148" s="66"/>
    </row>
    <row r="149" spans="1:75" ht="15.75" customHeight="1">
      <c r="A149" s="65"/>
      <c r="B149" s="66"/>
      <c r="C149" s="66"/>
      <c r="D149" s="66"/>
      <c r="E149" s="66"/>
      <c r="F149" s="65"/>
      <c r="G149" s="65"/>
      <c r="H149" s="66"/>
      <c r="I149" s="66"/>
      <c r="J149" s="66"/>
      <c r="K149" s="66"/>
      <c r="L149" s="66"/>
      <c r="M149" s="66"/>
      <c r="N149" s="66"/>
      <c r="O149" s="66"/>
      <c r="P149" s="66"/>
      <c r="Q149" s="23"/>
      <c r="AB149" s="23"/>
      <c r="AC149" s="23"/>
      <c r="AD149" s="23"/>
      <c r="AE149" s="7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71"/>
      <c r="AV149" s="10"/>
      <c r="AW149" s="23"/>
      <c r="BB149" s="66"/>
      <c r="BC149" s="66"/>
      <c r="BD149" s="66"/>
      <c r="BE149" s="66"/>
      <c r="BF149" s="66"/>
      <c r="BG149" s="66"/>
      <c r="BH149" s="66"/>
      <c r="BI149" s="66"/>
      <c r="BJ149" s="66"/>
      <c r="BK149" s="66"/>
      <c r="BL149" s="66"/>
      <c r="BM149" s="66"/>
      <c r="BN149" s="66"/>
      <c r="BO149" s="66"/>
      <c r="BP149" s="66"/>
      <c r="BQ149" s="66"/>
      <c r="BR149" s="66"/>
      <c r="BS149" s="66"/>
      <c r="BT149" s="66"/>
      <c r="BU149" s="66"/>
      <c r="BV149" s="66"/>
      <c r="BW149" s="66"/>
    </row>
    <row r="150" spans="1:75" ht="15.75" customHeight="1">
      <c r="A150" s="65"/>
      <c r="B150" s="66"/>
      <c r="C150" s="66"/>
      <c r="D150" s="66"/>
      <c r="E150" s="66"/>
      <c r="F150" s="65"/>
      <c r="G150" s="65"/>
      <c r="H150" s="66"/>
      <c r="I150" s="66"/>
      <c r="J150" s="66"/>
      <c r="K150" s="66"/>
      <c r="L150" s="66"/>
      <c r="M150" s="66"/>
      <c r="N150" s="66"/>
      <c r="O150" s="66"/>
      <c r="P150" s="66"/>
      <c r="Q150" s="23"/>
      <c r="AB150" s="23"/>
      <c r="AC150" s="23"/>
      <c r="AD150" s="23"/>
      <c r="AE150" s="7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71"/>
      <c r="AV150" s="10"/>
      <c r="AW150" s="23"/>
      <c r="BB150" s="66"/>
      <c r="BC150" s="66"/>
      <c r="BD150" s="66"/>
      <c r="BE150" s="66"/>
      <c r="BF150" s="66"/>
      <c r="BG150" s="66"/>
      <c r="BH150" s="66"/>
      <c r="BI150" s="66"/>
      <c r="BJ150" s="66"/>
      <c r="BK150" s="66"/>
      <c r="BL150" s="66"/>
      <c r="BM150" s="66"/>
      <c r="BN150" s="66"/>
      <c r="BO150" s="66"/>
      <c r="BP150" s="66"/>
      <c r="BQ150" s="66"/>
      <c r="BR150" s="66"/>
      <c r="BS150" s="66"/>
      <c r="BT150" s="66"/>
      <c r="BU150" s="66"/>
      <c r="BV150" s="66"/>
      <c r="BW150" s="66"/>
    </row>
    <row r="151" spans="1:75" ht="15.75" customHeight="1">
      <c r="A151" s="65"/>
      <c r="B151" s="66"/>
      <c r="C151" s="66"/>
      <c r="D151" s="66"/>
      <c r="E151" s="66"/>
      <c r="F151" s="65"/>
      <c r="G151" s="65"/>
      <c r="H151" s="66"/>
      <c r="I151" s="66"/>
      <c r="J151" s="66"/>
      <c r="K151" s="66"/>
      <c r="L151" s="66"/>
      <c r="M151" s="66"/>
      <c r="N151" s="66"/>
      <c r="O151" s="66"/>
      <c r="P151" s="66"/>
      <c r="Q151" s="23"/>
      <c r="AB151" s="23"/>
      <c r="AC151" s="23"/>
      <c r="AD151" s="23"/>
      <c r="AE151" s="7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71"/>
      <c r="AV151" s="10"/>
      <c r="AW151" s="23"/>
      <c r="BB151" s="66"/>
      <c r="BC151" s="66"/>
      <c r="BD151" s="66"/>
      <c r="BE151" s="66"/>
      <c r="BF151" s="66"/>
      <c r="BG151" s="66"/>
      <c r="BH151" s="66"/>
      <c r="BI151" s="66"/>
      <c r="BJ151" s="66"/>
      <c r="BK151" s="66"/>
      <c r="BL151" s="66"/>
      <c r="BM151" s="66"/>
      <c r="BN151" s="66"/>
      <c r="BO151" s="66"/>
      <c r="BP151" s="66"/>
      <c r="BQ151" s="66"/>
      <c r="BR151" s="66"/>
      <c r="BS151" s="66"/>
      <c r="BT151" s="66"/>
      <c r="BU151" s="66"/>
      <c r="BV151" s="66"/>
      <c r="BW151" s="66"/>
    </row>
    <row r="152" spans="1:75" ht="15.75" customHeight="1">
      <c r="A152" s="65"/>
      <c r="B152" s="66"/>
      <c r="C152" s="66"/>
      <c r="D152" s="66"/>
      <c r="E152" s="66"/>
      <c r="F152" s="65"/>
      <c r="G152" s="65"/>
      <c r="H152" s="66"/>
      <c r="I152" s="66"/>
      <c r="J152" s="66"/>
      <c r="K152" s="66"/>
      <c r="L152" s="66"/>
      <c r="M152" s="66"/>
      <c r="N152" s="66"/>
      <c r="O152" s="66"/>
      <c r="P152" s="66"/>
      <c r="Q152" s="23"/>
      <c r="AB152" s="23"/>
      <c r="AC152" s="23"/>
      <c r="AD152" s="23"/>
      <c r="AE152" s="7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71"/>
      <c r="AV152" s="10"/>
      <c r="AW152" s="23"/>
      <c r="BB152" s="66"/>
      <c r="BC152" s="66"/>
      <c r="BD152" s="66"/>
      <c r="BE152" s="66"/>
      <c r="BF152" s="66"/>
      <c r="BG152" s="66"/>
      <c r="BH152" s="66"/>
      <c r="BI152" s="66"/>
      <c r="BJ152" s="66"/>
      <c r="BK152" s="66"/>
      <c r="BL152" s="66"/>
      <c r="BM152" s="66"/>
      <c r="BN152" s="66"/>
      <c r="BO152" s="66"/>
      <c r="BP152" s="66"/>
      <c r="BQ152" s="66"/>
      <c r="BR152" s="66"/>
      <c r="BS152" s="66"/>
      <c r="BT152" s="66"/>
      <c r="BU152" s="66"/>
      <c r="BV152" s="66"/>
      <c r="BW152" s="66"/>
    </row>
    <row r="153" spans="1:75" ht="15.75" customHeight="1">
      <c r="A153" s="65"/>
      <c r="B153" s="66"/>
      <c r="C153" s="66"/>
      <c r="D153" s="66"/>
      <c r="E153" s="66"/>
      <c r="F153" s="65"/>
      <c r="G153" s="65"/>
      <c r="H153" s="66"/>
      <c r="I153" s="66"/>
      <c r="J153" s="66"/>
      <c r="K153" s="66"/>
      <c r="L153" s="66"/>
      <c r="M153" s="66"/>
      <c r="N153" s="66"/>
      <c r="O153" s="66"/>
      <c r="P153" s="66"/>
      <c r="Q153" s="23"/>
      <c r="AB153" s="23"/>
      <c r="AC153" s="23"/>
      <c r="AD153" s="23"/>
      <c r="AE153" s="7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71"/>
      <c r="AV153" s="10"/>
      <c r="AW153" s="23"/>
      <c r="BB153" s="66"/>
      <c r="BC153" s="66"/>
      <c r="BD153" s="66"/>
      <c r="BE153" s="66"/>
      <c r="BF153" s="66"/>
      <c r="BG153" s="66"/>
      <c r="BH153" s="66"/>
      <c r="BI153" s="66"/>
      <c r="BJ153" s="66"/>
      <c r="BK153" s="66"/>
      <c r="BL153" s="66"/>
      <c r="BM153" s="66"/>
      <c r="BN153" s="66"/>
      <c r="BO153" s="66"/>
      <c r="BP153" s="66"/>
      <c r="BQ153" s="66"/>
      <c r="BR153" s="66"/>
      <c r="BS153" s="66"/>
      <c r="BT153" s="66"/>
      <c r="BU153" s="66"/>
      <c r="BV153" s="66"/>
      <c r="BW153" s="66"/>
    </row>
    <row r="154" spans="1:75" ht="15.75" customHeight="1">
      <c r="A154" s="65"/>
      <c r="B154" s="66"/>
      <c r="C154" s="66"/>
      <c r="D154" s="66"/>
      <c r="E154" s="66"/>
      <c r="F154" s="65"/>
      <c r="G154" s="65"/>
      <c r="H154" s="66"/>
      <c r="I154" s="66"/>
      <c r="J154" s="66"/>
      <c r="K154" s="66"/>
      <c r="L154" s="66"/>
      <c r="M154" s="66"/>
      <c r="N154" s="66"/>
      <c r="O154" s="66"/>
      <c r="P154" s="66"/>
      <c r="Q154" s="23"/>
      <c r="AB154" s="23"/>
      <c r="AC154" s="23"/>
      <c r="AD154" s="23"/>
      <c r="AE154" s="7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71"/>
      <c r="AV154" s="10"/>
      <c r="AW154" s="23"/>
      <c r="BB154" s="66"/>
      <c r="BC154" s="66"/>
      <c r="BD154" s="66"/>
      <c r="BE154" s="66"/>
      <c r="BF154" s="66"/>
      <c r="BG154" s="66"/>
      <c r="BH154" s="66"/>
      <c r="BI154" s="66"/>
      <c r="BJ154" s="66"/>
      <c r="BK154" s="66"/>
      <c r="BL154" s="66"/>
      <c r="BM154" s="66"/>
      <c r="BN154" s="66"/>
      <c r="BO154" s="66"/>
      <c r="BP154" s="66"/>
      <c r="BQ154" s="66"/>
      <c r="BR154" s="66"/>
      <c r="BS154" s="66"/>
      <c r="BT154" s="66"/>
      <c r="BU154" s="66"/>
      <c r="BV154" s="66"/>
      <c r="BW154" s="66"/>
    </row>
    <row r="155" spans="1:75" ht="15.75" customHeight="1">
      <c r="A155" s="65"/>
      <c r="B155" s="66"/>
      <c r="C155" s="66"/>
      <c r="D155" s="66"/>
      <c r="E155" s="66"/>
      <c r="F155" s="65"/>
      <c r="G155" s="65"/>
      <c r="H155" s="66"/>
      <c r="I155" s="66"/>
      <c r="J155" s="66"/>
      <c r="K155" s="66"/>
      <c r="L155" s="66"/>
      <c r="M155" s="66"/>
      <c r="N155" s="66"/>
      <c r="O155" s="66"/>
      <c r="P155" s="66"/>
      <c r="Q155" s="23"/>
      <c r="AB155" s="23"/>
      <c r="AC155" s="23"/>
      <c r="AD155" s="23"/>
      <c r="AE155" s="7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71"/>
      <c r="AV155" s="10"/>
      <c r="AW155" s="23"/>
      <c r="BB155" s="66"/>
      <c r="BC155" s="66"/>
      <c r="BD155" s="66"/>
      <c r="BE155" s="66"/>
      <c r="BF155" s="66"/>
      <c r="BG155" s="66"/>
      <c r="BH155" s="66"/>
      <c r="BI155" s="66"/>
      <c r="BJ155" s="66"/>
      <c r="BK155" s="66"/>
      <c r="BL155" s="66"/>
      <c r="BM155" s="66"/>
      <c r="BN155" s="66"/>
      <c r="BO155" s="66"/>
      <c r="BP155" s="66"/>
      <c r="BQ155" s="66"/>
      <c r="BR155" s="66"/>
      <c r="BS155" s="66"/>
      <c r="BT155" s="66"/>
      <c r="BU155" s="66"/>
      <c r="BV155" s="66"/>
      <c r="BW155" s="66"/>
    </row>
    <row r="156" spans="1:75" ht="15.75" customHeight="1">
      <c r="A156" s="65"/>
      <c r="B156" s="66"/>
      <c r="C156" s="66"/>
      <c r="D156" s="66"/>
      <c r="E156" s="66"/>
      <c r="F156" s="65"/>
      <c r="G156" s="65"/>
      <c r="H156" s="66"/>
      <c r="I156" s="66"/>
      <c r="J156" s="66"/>
      <c r="K156" s="66"/>
      <c r="L156" s="66"/>
      <c r="M156" s="66"/>
      <c r="N156" s="66"/>
      <c r="O156" s="66"/>
      <c r="P156" s="66"/>
      <c r="Q156" s="23"/>
      <c r="AB156" s="23"/>
      <c r="AC156" s="23"/>
      <c r="AD156" s="23"/>
      <c r="AE156" s="7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71"/>
      <c r="AV156" s="10"/>
      <c r="AW156" s="23"/>
      <c r="BB156" s="66"/>
      <c r="BC156" s="66"/>
      <c r="BD156" s="66"/>
      <c r="BE156" s="66"/>
      <c r="BF156" s="66"/>
      <c r="BG156" s="66"/>
      <c r="BH156" s="66"/>
      <c r="BI156" s="66"/>
      <c r="BJ156" s="66"/>
      <c r="BK156" s="66"/>
      <c r="BL156" s="66"/>
      <c r="BM156" s="66"/>
      <c r="BN156" s="66"/>
      <c r="BO156" s="66"/>
      <c r="BP156" s="66"/>
      <c r="BQ156" s="66"/>
      <c r="BR156" s="66"/>
      <c r="BS156" s="66"/>
      <c r="BT156" s="66"/>
      <c r="BU156" s="66"/>
      <c r="BV156" s="66"/>
      <c r="BW156" s="66"/>
    </row>
    <row r="157" spans="1:75" ht="15.75" customHeight="1">
      <c r="A157" s="65"/>
      <c r="B157" s="66"/>
      <c r="C157" s="66"/>
      <c r="D157" s="66"/>
      <c r="E157" s="66"/>
      <c r="F157" s="65"/>
      <c r="G157" s="65"/>
      <c r="H157" s="66"/>
      <c r="I157" s="66"/>
      <c r="J157" s="66"/>
      <c r="K157" s="66"/>
      <c r="L157" s="66"/>
      <c r="M157" s="66"/>
      <c r="N157" s="66"/>
      <c r="O157" s="66"/>
      <c r="P157" s="66"/>
      <c r="Q157" s="23"/>
      <c r="AB157" s="23"/>
      <c r="AC157" s="23"/>
      <c r="AD157" s="23"/>
      <c r="AE157" s="7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71"/>
      <c r="AV157" s="10"/>
      <c r="AW157" s="23"/>
      <c r="BB157" s="66"/>
      <c r="BC157" s="66"/>
      <c r="BD157" s="66"/>
      <c r="BE157" s="66"/>
      <c r="BF157" s="66"/>
      <c r="BG157" s="66"/>
      <c r="BH157" s="66"/>
      <c r="BI157" s="66"/>
      <c r="BJ157" s="66"/>
      <c r="BK157" s="66"/>
      <c r="BL157" s="66"/>
      <c r="BM157" s="66"/>
      <c r="BN157" s="66"/>
      <c r="BO157" s="66"/>
      <c r="BP157" s="66"/>
      <c r="BQ157" s="66"/>
      <c r="BR157" s="66"/>
      <c r="BS157" s="66"/>
      <c r="BT157" s="66"/>
      <c r="BU157" s="66"/>
      <c r="BV157" s="66"/>
      <c r="BW157" s="66"/>
    </row>
    <row r="158" spans="1:75" ht="15.75" customHeight="1">
      <c r="A158" s="65"/>
      <c r="B158" s="66"/>
      <c r="C158" s="66"/>
      <c r="D158" s="66"/>
      <c r="E158" s="66"/>
      <c r="F158" s="65"/>
      <c r="G158" s="65"/>
      <c r="H158" s="66"/>
      <c r="I158" s="66"/>
      <c r="J158" s="66"/>
      <c r="K158" s="66"/>
      <c r="L158" s="66"/>
      <c r="M158" s="66"/>
      <c r="N158" s="66"/>
      <c r="O158" s="66"/>
      <c r="P158" s="66"/>
      <c r="Q158" s="23"/>
      <c r="AB158" s="23"/>
      <c r="AC158" s="23"/>
      <c r="AD158" s="23"/>
      <c r="AE158" s="7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71"/>
      <c r="AV158" s="10"/>
      <c r="AW158" s="23"/>
      <c r="BB158" s="66"/>
      <c r="BC158" s="66"/>
      <c r="BD158" s="66"/>
      <c r="BE158" s="66"/>
      <c r="BF158" s="66"/>
      <c r="BG158" s="66"/>
      <c r="BH158" s="66"/>
      <c r="BI158" s="66"/>
      <c r="BJ158" s="66"/>
      <c r="BK158" s="66"/>
      <c r="BL158" s="66"/>
      <c r="BM158" s="66"/>
      <c r="BN158" s="66"/>
      <c r="BO158" s="66"/>
      <c r="BP158" s="66"/>
      <c r="BQ158" s="66"/>
      <c r="BR158" s="66"/>
      <c r="BS158" s="66"/>
      <c r="BT158" s="66"/>
      <c r="BU158" s="66"/>
      <c r="BV158" s="66"/>
      <c r="BW158" s="66"/>
    </row>
    <row r="159" spans="1:75" ht="15.75" customHeight="1">
      <c r="A159" s="65"/>
      <c r="B159" s="66"/>
      <c r="C159" s="66"/>
      <c r="D159" s="66"/>
      <c r="E159" s="66"/>
      <c r="F159" s="65"/>
      <c r="G159" s="65"/>
      <c r="H159" s="66"/>
      <c r="I159" s="66"/>
      <c r="J159" s="66"/>
      <c r="K159" s="66"/>
      <c r="L159" s="66"/>
      <c r="M159" s="66"/>
      <c r="N159" s="66"/>
      <c r="O159" s="66"/>
      <c r="P159" s="66"/>
      <c r="Q159" s="23"/>
      <c r="AB159" s="23"/>
      <c r="AC159" s="23"/>
      <c r="AD159" s="23"/>
      <c r="AE159" s="7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71"/>
      <c r="AV159" s="10"/>
      <c r="AW159" s="23"/>
      <c r="BB159" s="66"/>
      <c r="BC159" s="66"/>
      <c r="BD159" s="66"/>
      <c r="BE159" s="66"/>
      <c r="BF159" s="66"/>
      <c r="BG159" s="66"/>
      <c r="BH159" s="66"/>
      <c r="BI159" s="66"/>
      <c r="BJ159" s="66"/>
      <c r="BK159" s="66"/>
      <c r="BL159" s="66"/>
      <c r="BM159" s="66"/>
      <c r="BN159" s="66"/>
      <c r="BO159" s="66"/>
      <c r="BP159" s="66"/>
      <c r="BQ159" s="66"/>
      <c r="BR159" s="66"/>
      <c r="BS159" s="66"/>
      <c r="BT159" s="66"/>
      <c r="BU159" s="66"/>
      <c r="BV159" s="66"/>
      <c r="BW159" s="66"/>
    </row>
    <row r="160" spans="1:75" ht="15.75" customHeight="1">
      <c r="A160" s="65"/>
      <c r="B160" s="66"/>
      <c r="C160" s="66"/>
      <c r="D160" s="66"/>
      <c r="E160" s="66"/>
      <c r="F160" s="65"/>
      <c r="G160" s="65"/>
      <c r="H160" s="66"/>
      <c r="I160" s="66"/>
      <c r="J160" s="66"/>
      <c r="K160" s="66"/>
      <c r="L160" s="66"/>
      <c r="M160" s="66"/>
      <c r="N160" s="66"/>
      <c r="O160" s="66"/>
      <c r="P160" s="66"/>
      <c r="Q160" s="23"/>
      <c r="AB160" s="23"/>
      <c r="AC160" s="23"/>
      <c r="AD160" s="23"/>
      <c r="AE160" s="7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71"/>
      <c r="AV160" s="10"/>
      <c r="AW160" s="23"/>
      <c r="BB160" s="66"/>
      <c r="BC160" s="66"/>
      <c r="BD160" s="66"/>
      <c r="BE160" s="66"/>
      <c r="BF160" s="66"/>
      <c r="BG160" s="66"/>
      <c r="BH160" s="66"/>
      <c r="BI160" s="66"/>
      <c r="BJ160" s="66"/>
      <c r="BK160" s="66"/>
      <c r="BL160" s="66"/>
      <c r="BM160" s="66"/>
      <c r="BN160" s="66"/>
      <c r="BO160" s="66"/>
      <c r="BP160" s="66"/>
      <c r="BQ160" s="66"/>
      <c r="BR160" s="66"/>
      <c r="BS160" s="66"/>
      <c r="BT160" s="66"/>
      <c r="BU160" s="66"/>
      <c r="BV160" s="66"/>
      <c r="BW160" s="66"/>
    </row>
    <row r="161" spans="1:75" ht="15.75" customHeight="1">
      <c r="A161" s="65"/>
      <c r="B161" s="66"/>
      <c r="C161" s="66"/>
      <c r="D161" s="66"/>
      <c r="E161" s="66"/>
      <c r="F161" s="65"/>
      <c r="G161" s="65"/>
      <c r="H161" s="66"/>
      <c r="I161" s="66"/>
      <c r="J161" s="66"/>
      <c r="K161" s="66"/>
      <c r="L161" s="66"/>
      <c r="M161" s="66"/>
      <c r="N161" s="66"/>
      <c r="O161" s="66"/>
      <c r="P161" s="66"/>
      <c r="Q161" s="23"/>
      <c r="AB161" s="23"/>
      <c r="AC161" s="23"/>
      <c r="AD161" s="23"/>
      <c r="AE161" s="7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71"/>
      <c r="AV161" s="10"/>
      <c r="AW161" s="23"/>
      <c r="BB161" s="66"/>
      <c r="BC161" s="66"/>
      <c r="BD161" s="66"/>
      <c r="BE161" s="66"/>
      <c r="BF161" s="66"/>
      <c r="BG161" s="66"/>
      <c r="BH161" s="66"/>
      <c r="BI161" s="66"/>
      <c r="BJ161" s="66"/>
      <c r="BK161" s="66"/>
      <c r="BL161" s="66"/>
      <c r="BM161" s="66"/>
      <c r="BN161" s="66"/>
      <c r="BO161" s="66"/>
      <c r="BP161" s="66"/>
      <c r="BQ161" s="66"/>
      <c r="BR161" s="66"/>
      <c r="BS161" s="66"/>
      <c r="BT161" s="66"/>
      <c r="BU161" s="66"/>
      <c r="BV161" s="66"/>
      <c r="BW161" s="66"/>
    </row>
    <row r="162" spans="1:75" ht="15.75" customHeight="1">
      <c r="A162" s="65"/>
      <c r="B162" s="66"/>
      <c r="C162" s="66"/>
      <c r="D162" s="66"/>
      <c r="E162" s="66"/>
      <c r="F162" s="65"/>
      <c r="G162" s="65"/>
      <c r="H162" s="66"/>
      <c r="I162" s="66"/>
      <c r="J162" s="66"/>
      <c r="K162" s="66"/>
      <c r="L162" s="66"/>
      <c r="M162" s="66"/>
      <c r="N162" s="66"/>
      <c r="O162" s="66"/>
      <c r="P162" s="66"/>
      <c r="Q162" s="23"/>
      <c r="AB162" s="23"/>
      <c r="AC162" s="23"/>
      <c r="AD162" s="23"/>
      <c r="AE162" s="7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71"/>
      <c r="AV162" s="10"/>
      <c r="AW162" s="23"/>
      <c r="BB162" s="66"/>
      <c r="BC162" s="66"/>
      <c r="BD162" s="66"/>
      <c r="BE162" s="66"/>
      <c r="BF162" s="66"/>
      <c r="BG162" s="66"/>
      <c r="BH162" s="66"/>
      <c r="BI162" s="66"/>
      <c r="BJ162" s="66"/>
      <c r="BK162" s="66"/>
      <c r="BL162" s="66"/>
      <c r="BM162" s="66"/>
      <c r="BN162" s="66"/>
      <c r="BO162" s="66"/>
      <c r="BP162" s="66"/>
      <c r="BQ162" s="66"/>
      <c r="BR162" s="66"/>
      <c r="BS162" s="66"/>
      <c r="BT162" s="66"/>
      <c r="BU162" s="66"/>
      <c r="BV162" s="66"/>
      <c r="BW162" s="66"/>
    </row>
    <row r="163" spans="1:75" ht="15.75" customHeight="1">
      <c r="A163" s="65"/>
      <c r="B163" s="66"/>
      <c r="C163" s="66"/>
      <c r="D163" s="66"/>
      <c r="E163" s="66"/>
      <c r="F163" s="65"/>
      <c r="G163" s="65"/>
      <c r="H163" s="66"/>
      <c r="I163" s="66"/>
      <c r="J163" s="66"/>
      <c r="K163" s="66"/>
      <c r="L163" s="66"/>
      <c r="M163" s="66"/>
      <c r="N163" s="66"/>
      <c r="O163" s="66"/>
      <c r="P163" s="66"/>
      <c r="Q163" s="23"/>
      <c r="AB163" s="23"/>
      <c r="AC163" s="23"/>
      <c r="AD163" s="23"/>
      <c r="AE163" s="7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71"/>
      <c r="AV163" s="10"/>
      <c r="AW163" s="23"/>
      <c r="BB163" s="66"/>
      <c r="BC163" s="66"/>
      <c r="BD163" s="66"/>
      <c r="BE163" s="66"/>
      <c r="BF163" s="66"/>
      <c r="BG163" s="66"/>
      <c r="BH163" s="66"/>
      <c r="BI163" s="66"/>
      <c r="BJ163" s="66"/>
      <c r="BK163" s="66"/>
      <c r="BL163" s="66"/>
      <c r="BM163" s="66"/>
      <c r="BN163" s="66"/>
      <c r="BO163" s="66"/>
      <c r="BP163" s="66"/>
      <c r="BQ163" s="66"/>
      <c r="BR163" s="66"/>
      <c r="BS163" s="66"/>
      <c r="BT163" s="66"/>
      <c r="BU163" s="66"/>
      <c r="BV163" s="66"/>
      <c r="BW163" s="66"/>
    </row>
    <row r="164" spans="1:75" ht="15.75" customHeight="1">
      <c r="A164" s="65"/>
      <c r="B164" s="66"/>
      <c r="C164" s="66"/>
      <c r="D164" s="66"/>
      <c r="E164" s="66"/>
      <c r="F164" s="65"/>
      <c r="G164" s="65"/>
      <c r="H164" s="66"/>
      <c r="I164" s="66"/>
      <c r="J164" s="66"/>
      <c r="K164" s="66"/>
      <c r="L164" s="66"/>
      <c r="M164" s="66"/>
      <c r="N164" s="66"/>
      <c r="O164" s="66"/>
      <c r="P164" s="66"/>
      <c r="Q164" s="23"/>
      <c r="AB164" s="23"/>
      <c r="AC164" s="23"/>
      <c r="AD164" s="23"/>
      <c r="AE164" s="7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71"/>
      <c r="AV164" s="10"/>
      <c r="AW164" s="23"/>
      <c r="BB164" s="66"/>
      <c r="BC164" s="66"/>
      <c r="BD164" s="66"/>
      <c r="BE164" s="66"/>
      <c r="BF164" s="66"/>
      <c r="BG164" s="66"/>
      <c r="BH164" s="66"/>
      <c r="BI164" s="66"/>
      <c r="BJ164" s="66"/>
      <c r="BK164" s="66"/>
      <c r="BL164" s="66"/>
      <c r="BM164" s="66"/>
      <c r="BN164" s="66"/>
      <c r="BO164" s="66"/>
      <c r="BP164" s="66"/>
      <c r="BQ164" s="66"/>
      <c r="BR164" s="66"/>
      <c r="BS164" s="66"/>
      <c r="BT164" s="66"/>
      <c r="BU164" s="66"/>
      <c r="BV164" s="66"/>
      <c r="BW164" s="66"/>
    </row>
    <row r="165" spans="1:75" ht="15.75" customHeight="1">
      <c r="A165" s="65"/>
      <c r="B165" s="66"/>
      <c r="C165" s="66"/>
      <c r="D165" s="66"/>
      <c r="E165" s="66"/>
      <c r="F165" s="65"/>
      <c r="G165" s="65"/>
      <c r="H165" s="66"/>
      <c r="I165" s="66"/>
      <c r="J165" s="66"/>
      <c r="K165" s="66"/>
      <c r="L165" s="66"/>
      <c r="M165" s="66"/>
      <c r="N165" s="66"/>
      <c r="O165" s="66"/>
      <c r="P165" s="66"/>
      <c r="Q165" s="23"/>
      <c r="AB165" s="23"/>
      <c r="AC165" s="23"/>
      <c r="AD165" s="23"/>
      <c r="AE165" s="7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71"/>
      <c r="AV165" s="10"/>
      <c r="AW165" s="23"/>
      <c r="BB165" s="66"/>
      <c r="BC165" s="66"/>
      <c r="BD165" s="66"/>
      <c r="BE165" s="66"/>
      <c r="BF165" s="66"/>
      <c r="BG165" s="66"/>
      <c r="BH165" s="66"/>
      <c r="BI165" s="66"/>
      <c r="BJ165" s="66"/>
      <c r="BK165" s="66"/>
      <c r="BL165" s="66"/>
      <c r="BM165" s="66"/>
      <c r="BN165" s="66"/>
      <c r="BO165" s="66"/>
      <c r="BP165" s="66"/>
      <c r="BQ165" s="66"/>
      <c r="BR165" s="66"/>
      <c r="BS165" s="66"/>
      <c r="BT165" s="66"/>
      <c r="BU165" s="66"/>
      <c r="BV165" s="66"/>
      <c r="BW165" s="66"/>
    </row>
    <row r="166" spans="1:75" ht="15.75" customHeight="1">
      <c r="A166" s="65"/>
      <c r="B166" s="66"/>
      <c r="C166" s="66"/>
      <c r="D166" s="66"/>
      <c r="E166" s="66"/>
      <c r="F166" s="65"/>
      <c r="G166" s="65"/>
      <c r="H166" s="66"/>
      <c r="I166" s="66"/>
      <c r="J166" s="66"/>
      <c r="K166" s="66"/>
      <c r="L166" s="66"/>
      <c r="M166" s="66"/>
      <c r="N166" s="66"/>
      <c r="O166" s="66"/>
      <c r="P166" s="66"/>
      <c r="Q166" s="23"/>
      <c r="AB166" s="23"/>
      <c r="AC166" s="23"/>
      <c r="AD166" s="23"/>
      <c r="AE166" s="7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71"/>
      <c r="AV166" s="10"/>
      <c r="AW166" s="23"/>
      <c r="BB166" s="66"/>
      <c r="BC166" s="66"/>
      <c r="BD166" s="66"/>
      <c r="BE166" s="66"/>
      <c r="BF166" s="66"/>
      <c r="BG166" s="66"/>
      <c r="BH166" s="66"/>
      <c r="BI166" s="66"/>
      <c r="BJ166" s="66"/>
      <c r="BK166" s="66"/>
      <c r="BL166" s="66"/>
      <c r="BM166" s="66"/>
      <c r="BN166" s="66"/>
      <c r="BO166" s="66"/>
      <c r="BP166" s="66"/>
      <c r="BQ166" s="66"/>
      <c r="BR166" s="66"/>
      <c r="BS166" s="66"/>
      <c r="BT166" s="66"/>
      <c r="BU166" s="66"/>
      <c r="BV166" s="66"/>
      <c r="BW166" s="66"/>
    </row>
    <row r="167" spans="1:75" ht="15.75" customHeight="1">
      <c r="A167" s="65"/>
      <c r="B167" s="66"/>
      <c r="C167" s="66"/>
      <c r="D167" s="66"/>
      <c r="E167" s="66"/>
      <c r="F167" s="65"/>
      <c r="G167" s="65"/>
      <c r="H167" s="66"/>
      <c r="I167" s="66"/>
      <c r="J167" s="66"/>
      <c r="K167" s="66"/>
      <c r="L167" s="66"/>
      <c r="M167" s="66"/>
      <c r="N167" s="66"/>
      <c r="O167" s="66"/>
      <c r="P167" s="66"/>
      <c r="Q167" s="23"/>
      <c r="AB167" s="23"/>
      <c r="AC167" s="23"/>
      <c r="AD167" s="23"/>
      <c r="AE167" s="7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71"/>
      <c r="AV167" s="10"/>
      <c r="AW167" s="23"/>
      <c r="BB167" s="66"/>
      <c r="BC167" s="66"/>
      <c r="BD167" s="66"/>
      <c r="BE167" s="66"/>
      <c r="BF167" s="66"/>
      <c r="BG167" s="66"/>
      <c r="BH167" s="66"/>
      <c r="BI167" s="66"/>
      <c r="BJ167" s="66"/>
      <c r="BK167" s="66"/>
      <c r="BL167" s="66"/>
      <c r="BM167" s="66"/>
      <c r="BN167" s="66"/>
      <c r="BO167" s="66"/>
      <c r="BP167" s="66"/>
      <c r="BQ167" s="66"/>
      <c r="BR167" s="66"/>
      <c r="BS167" s="66"/>
      <c r="BT167" s="66"/>
      <c r="BU167" s="66"/>
      <c r="BV167" s="66"/>
      <c r="BW167" s="66"/>
    </row>
    <row r="168" spans="1:75" ht="15.75" customHeight="1">
      <c r="A168" s="65"/>
      <c r="B168" s="66"/>
      <c r="C168" s="66"/>
      <c r="D168" s="66"/>
      <c r="E168" s="66"/>
      <c r="F168" s="65"/>
      <c r="G168" s="65"/>
      <c r="H168" s="66"/>
      <c r="I168" s="66"/>
      <c r="J168" s="66"/>
      <c r="K168" s="66"/>
      <c r="L168" s="66"/>
      <c r="M168" s="66"/>
      <c r="N168" s="66"/>
      <c r="O168" s="66"/>
      <c r="P168" s="66"/>
      <c r="Q168" s="23"/>
      <c r="AB168" s="23"/>
      <c r="AC168" s="23"/>
      <c r="AD168" s="23"/>
      <c r="AE168" s="7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71"/>
      <c r="AV168" s="10"/>
      <c r="AW168" s="23"/>
      <c r="BB168" s="66"/>
      <c r="BC168" s="66"/>
      <c r="BD168" s="66"/>
      <c r="BE168" s="66"/>
      <c r="BF168" s="66"/>
      <c r="BG168" s="66"/>
      <c r="BH168" s="66"/>
      <c r="BI168" s="66"/>
      <c r="BJ168" s="66"/>
      <c r="BK168" s="66"/>
      <c r="BL168" s="66"/>
      <c r="BM168" s="66"/>
      <c r="BN168" s="66"/>
      <c r="BO168" s="66"/>
      <c r="BP168" s="66"/>
      <c r="BQ168" s="66"/>
      <c r="BR168" s="66"/>
      <c r="BS168" s="66"/>
      <c r="BT168" s="66"/>
      <c r="BU168" s="66"/>
      <c r="BV168" s="66"/>
      <c r="BW168" s="66"/>
    </row>
    <row r="169" spans="1:75" ht="15.75" customHeight="1">
      <c r="A169" s="65"/>
      <c r="B169" s="66"/>
      <c r="C169" s="66"/>
      <c r="D169" s="66"/>
      <c r="E169" s="66"/>
      <c r="F169" s="65"/>
      <c r="G169" s="65"/>
      <c r="H169" s="66"/>
      <c r="I169" s="66"/>
      <c r="J169" s="66"/>
      <c r="K169" s="66"/>
      <c r="L169" s="66"/>
      <c r="M169" s="66"/>
      <c r="N169" s="66"/>
      <c r="O169" s="66"/>
      <c r="P169" s="66"/>
      <c r="Q169" s="23"/>
      <c r="AB169" s="23"/>
      <c r="AC169" s="23"/>
      <c r="AD169" s="23"/>
      <c r="AE169" s="7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71"/>
      <c r="AV169" s="10"/>
      <c r="AW169" s="23"/>
      <c r="BB169" s="66"/>
      <c r="BC169" s="66"/>
      <c r="BD169" s="66"/>
      <c r="BE169" s="66"/>
      <c r="BF169" s="66"/>
      <c r="BG169" s="66"/>
      <c r="BH169" s="66"/>
      <c r="BI169" s="66"/>
      <c r="BJ169" s="66"/>
      <c r="BK169" s="66"/>
      <c r="BL169" s="66"/>
      <c r="BM169" s="66"/>
      <c r="BN169" s="66"/>
      <c r="BO169" s="66"/>
      <c r="BP169" s="66"/>
      <c r="BQ169" s="66"/>
      <c r="BR169" s="66"/>
      <c r="BS169" s="66"/>
      <c r="BT169" s="66"/>
      <c r="BU169" s="66"/>
      <c r="BV169" s="66"/>
      <c r="BW169" s="66"/>
    </row>
    <row r="170" spans="1:75" ht="15.75" customHeight="1">
      <c r="A170" s="65"/>
      <c r="B170" s="66"/>
      <c r="C170" s="66"/>
      <c r="D170" s="66"/>
      <c r="E170" s="66"/>
      <c r="F170" s="65"/>
      <c r="G170" s="65"/>
      <c r="H170" s="66"/>
      <c r="I170" s="66"/>
      <c r="J170" s="66"/>
      <c r="K170" s="66"/>
      <c r="L170" s="66"/>
      <c r="M170" s="66"/>
      <c r="N170" s="66"/>
      <c r="O170" s="66"/>
      <c r="P170" s="66"/>
      <c r="Q170" s="23"/>
      <c r="AB170" s="23"/>
      <c r="AC170" s="23"/>
      <c r="AD170" s="23"/>
      <c r="AE170" s="7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71"/>
      <c r="AV170" s="10"/>
      <c r="AW170" s="23"/>
      <c r="BB170" s="66"/>
      <c r="BC170" s="66"/>
      <c r="BD170" s="66"/>
      <c r="BE170" s="66"/>
      <c r="BF170" s="66"/>
      <c r="BG170" s="66"/>
      <c r="BH170" s="66"/>
      <c r="BI170" s="66"/>
      <c r="BJ170" s="66"/>
      <c r="BK170" s="66"/>
      <c r="BL170" s="66"/>
      <c r="BM170" s="66"/>
      <c r="BN170" s="66"/>
      <c r="BO170" s="66"/>
      <c r="BP170" s="66"/>
      <c r="BQ170" s="66"/>
      <c r="BR170" s="66"/>
      <c r="BS170" s="66"/>
      <c r="BT170" s="66"/>
      <c r="BU170" s="66"/>
      <c r="BV170" s="66"/>
      <c r="BW170" s="66"/>
    </row>
    <row r="171" spans="1:75" ht="15.75" customHeight="1">
      <c r="A171" s="65"/>
      <c r="B171" s="66"/>
      <c r="C171" s="66"/>
      <c r="D171" s="66"/>
      <c r="E171" s="66"/>
      <c r="F171" s="65"/>
      <c r="G171" s="65"/>
      <c r="H171" s="66"/>
      <c r="I171" s="66"/>
      <c r="J171" s="66"/>
      <c r="K171" s="66"/>
      <c r="L171" s="66"/>
      <c r="M171" s="66"/>
      <c r="N171" s="66"/>
      <c r="O171" s="66"/>
      <c r="P171" s="66"/>
      <c r="Q171" s="23"/>
      <c r="AB171" s="23"/>
      <c r="AC171" s="23"/>
      <c r="AD171" s="23"/>
      <c r="AE171" s="7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71"/>
      <c r="AV171" s="10"/>
      <c r="AW171" s="23"/>
      <c r="BB171" s="66"/>
      <c r="BC171" s="66"/>
      <c r="BD171" s="66"/>
      <c r="BE171" s="66"/>
      <c r="BF171" s="66"/>
      <c r="BG171" s="66"/>
      <c r="BH171" s="66"/>
      <c r="BI171" s="66"/>
      <c r="BJ171" s="66"/>
      <c r="BK171" s="66"/>
      <c r="BL171" s="66"/>
      <c r="BM171" s="66"/>
      <c r="BN171" s="66"/>
      <c r="BO171" s="66"/>
      <c r="BP171" s="66"/>
      <c r="BQ171" s="66"/>
      <c r="BR171" s="66"/>
      <c r="BS171" s="66"/>
      <c r="BT171" s="66"/>
      <c r="BU171" s="66"/>
      <c r="BV171" s="66"/>
      <c r="BW171" s="66"/>
    </row>
    <row r="172" spans="1:75" ht="15.75" customHeight="1">
      <c r="A172" s="65"/>
      <c r="B172" s="66"/>
      <c r="C172" s="66"/>
      <c r="D172" s="66"/>
      <c r="E172" s="66"/>
      <c r="F172" s="65"/>
      <c r="G172" s="65"/>
      <c r="H172" s="66"/>
      <c r="I172" s="66"/>
      <c r="J172" s="66"/>
      <c r="K172" s="66"/>
      <c r="L172" s="66"/>
      <c r="M172" s="66"/>
      <c r="N172" s="66"/>
      <c r="O172" s="66"/>
      <c r="P172" s="66"/>
      <c r="Q172" s="23"/>
      <c r="AB172" s="23"/>
      <c r="AC172" s="23"/>
      <c r="AD172" s="23"/>
      <c r="AE172" s="7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71"/>
      <c r="AV172" s="10"/>
      <c r="AW172" s="23"/>
      <c r="BB172" s="66"/>
      <c r="BC172" s="66"/>
      <c r="BD172" s="66"/>
      <c r="BE172" s="66"/>
      <c r="BF172" s="66"/>
      <c r="BG172" s="66"/>
      <c r="BH172" s="66"/>
      <c r="BI172" s="66"/>
      <c r="BJ172" s="66"/>
      <c r="BK172" s="66"/>
      <c r="BL172" s="66"/>
      <c r="BM172" s="66"/>
      <c r="BN172" s="66"/>
      <c r="BO172" s="66"/>
      <c r="BP172" s="66"/>
      <c r="BQ172" s="66"/>
      <c r="BR172" s="66"/>
      <c r="BS172" s="66"/>
      <c r="BT172" s="66"/>
      <c r="BU172" s="66"/>
      <c r="BV172" s="66"/>
      <c r="BW172" s="66"/>
    </row>
    <row r="173" spans="1:75" ht="15.75" customHeight="1">
      <c r="A173" s="65"/>
      <c r="B173" s="66"/>
      <c r="C173" s="66"/>
      <c r="D173" s="66"/>
      <c r="E173" s="66"/>
      <c r="F173" s="65"/>
      <c r="G173" s="65"/>
      <c r="H173" s="66"/>
      <c r="I173" s="66"/>
      <c r="J173" s="66"/>
      <c r="K173" s="66"/>
      <c r="L173" s="66"/>
      <c r="M173" s="66"/>
      <c r="N173" s="66"/>
      <c r="O173" s="66"/>
      <c r="P173" s="66"/>
      <c r="Q173" s="23"/>
      <c r="AB173" s="23"/>
      <c r="AC173" s="23"/>
      <c r="AD173" s="23"/>
      <c r="AE173" s="7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71"/>
      <c r="AV173" s="10"/>
      <c r="AW173" s="23"/>
      <c r="BB173" s="66"/>
      <c r="BC173" s="66"/>
      <c r="BD173" s="66"/>
      <c r="BE173" s="66"/>
      <c r="BF173" s="66"/>
      <c r="BG173" s="66"/>
      <c r="BH173" s="66"/>
      <c r="BI173" s="66"/>
      <c r="BJ173" s="66"/>
      <c r="BK173" s="66"/>
      <c r="BL173" s="66"/>
      <c r="BM173" s="66"/>
      <c r="BN173" s="66"/>
      <c r="BO173" s="66"/>
      <c r="BP173" s="66"/>
      <c r="BQ173" s="66"/>
      <c r="BR173" s="66"/>
      <c r="BS173" s="66"/>
      <c r="BT173" s="66"/>
      <c r="BU173" s="66"/>
      <c r="BV173" s="66"/>
      <c r="BW173" s="66"/>
    </row>
    <row r="174" spans="1:75" ht="15.75" customHeight="1">
      <c r="A174" s="65"/>
      <c r="B174" s="66"/>
      <c r="C174" s="66"/>
      <c r="D174" s="66"/>
      <c r="E174" s="66"/>
      <c r="F174" s="65"/>
      <c r="G174" s="65"/>
      <c r="H174" s="66"/>
      <c r="I174" s="66"/>
      <c r="J174" s="66"/>
      <c r="K174" s="66"/>
      <c r="L174" s="66"/>
      <c r="M174" s="66"/>
      <c r="N174" s="66"/>
      <c r="O174" s="66"/>
      <c r="P174" s="66"/>
      <c r="Q174" s="23"/>
      <c r="AB174" s="23"/>
      <c r="AC174" s="23"/>
      <c r="AD174" s="23"/>
      <c r="AE174" s="7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71"/>
      <c r="AV174" s="10"/>
      <c r="AW174" s="23"/>
      <c r="BB174" s="66"/>
      <c r="BC174" s="66"/>
      <c r="BD174" s="66"/>
      <c r="BE174" s="66"/>
      <c r="BF174" s="66"/>
      <c r="BG174" s="66"/>
      <c r="BH174" s="66"/>
      <c r="BI174" s="66"/>
      <c r="BJ174" s="66"/>
      <c r="BK174" s="66"/>
      <c r="BL174" s="66"/>
      <c r="BM174" s="66"/>
      <c r="BN174" s="66"/>
      <c r="BO174" s="66"/>
      <c r="BP174" s="66"/>
      <c r="BQ174" s="66"/>
      <c r="BR174" s="66"/>
      <c r="BS174" s="66"/>
      <c r="BT174" s="66"/>
      <c r="BU174" s="66"/>
      <c r="BV174" s="66"/>
      <c r="BW174" s="66"/>
    </row>
    <row r="175" spans="1:75" ht="15.75" customHeight="1">
      <c r="A175" s="65"/>
      <c r="B175" s="66"/>
      <c r="C175" s="66"/>
      <c r="D175" s="66"/>
      <c r="E175" s="66"/>
      <c r="F175" s="65"/>
      <c r="G175" s="65"/>
      <c r="H175" s="66"/>
      <c r="I175" s="66"/>
      <c r="J175" s="66"/>
      <c r="K175" s="66"/>
      <c r="L175" s="66"/>
      <c r="M175" s="66"/>
      <c r="N175" s="66"/>
      <c r="O175" s="66"/>
      <c r="P175" s="66"/>
      <c r="Q175" s="23"/>
      <c r="AB175" s="23"/>
      <c r="AC175" s="23"/>
      <c r="AD175" s="23"/>
      <c r="AE175" s="7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71"/>
      <c r="AV175" s="10"/>
      <c r="AW175" s="23"/>
      <c r="BB175" s="66"/>
      <c r="BC175" s="66"/>
      <c r="BD175" s="66"/>
      <c r="BE175" s="66"/>
      <c r="BF175" s="66"/>
      <c r="BG175" s="66"/>
      <c r="BH175" s="66"/>
      <c r="BI175" s="66"/>
      <c r="BJ175" s="66"/>
      <c r="BK175" s="66"/>
      <c r="BL175" s="66"/>
      <c r="BM175" s="66"/>
      <c r="BN175" s="66"/>
      <c r="BO175" s="66"/>
      <c r="BP175" s="66"/>
      <c r="BQ175" s="66"/>
      <c r="BR175" s="66"/>
      <c r="BS175" s="66"/>
      <c r="BT175" s="66"/>
      <c r="BU175" s="66"/>
      <c r="BV175" s="66"/>
      <c r="BW175" s="66"/>
    </row>
    <row r="176" spans="1:75" ht="15.75" customHeight="1">
      <c r="A176" s="65"/>
      <c r="B176" s="66"/>
      <c r="C176" s="66"/>
      <c r="D176" s="66"/>
      <c r="E176" s="66"/>
      <c r="F176" s="65"/>
      <c r="G176" s="65"/>
      <c r="H176" s="66"/>
      <c r="I176" s="66"/>
      <c r="J176" s="66"/>
      <c r="K176" s="66"/>
      <c r="L176" s="66"/>
      <c r="M176" s="66"/>
      <c r="N176" s="66"/>
      <c r="O176" s="66"/>
      <c r="P176" s="66"/>
      <c r="Q176" s="23"/>
      <c r="AB176" s="23"/>
      <c r="AC176" s="23"/>
      <c r="AD176" s="23"/>
      <c r="AE176" s="7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71"/>
      <c r="AV176" s="10"/>
      <c r="AW176" s="23"/>
      <c r="BB176" s="66"/>
      <c r="BC176" s="66"/>
      <c r="BD176" s="66"/>
      <c r="BE176" s="66"/>
      <c r="BF176" s="66"/>
      <c r="BG176" s="66"/>
      <c r="BH176" s="66"/>
      <c r="BI176" s="66"/>
      <c r="BJ176" s="66"/>
      <c r="BK176" s="66"/>
      <c r="BL176" s="66"/>
      <c r="BM176" s="66"/>
      <c r="BN176" s="66"/>
      <c r="BO176" s="66"/>
      <c r="BP176" s="66"/>
      <c r="BQ176" s="66"/>
      <c r="BR176" s="66"/>
      <c r="BS176" s="66"/>
      <c r="BT176" s="66"/>
      <c r="BU176" s="66"/>
      <c r="BV176" s="66"/>
      <c r="BW176" s="66"/>
    </row>
    <row r="177" spans="1:75" ht="15.75" customHeight="1">
      <c r="A177" s="65"/>
      <c r="B177" s="66"/>
      <c r="C177" s="66"/>
      <c r="D177" s="66"/>
      <c r="E177" s="66"/>
      <c r="F177" s="65"/>
      <c r="G177" s="65"/>
      <c r="H177" s="66"/>
      <c r="I177" s="66"/>
      <c r="J177" s="66"/>
      <c r="K177" s="66"/>
      <c r="L177" s="66"/>
      <c r="M177" s="66"/>
      <c r="N177" s="66"/>
      <c r="O177" s="66"/>
      <c r="P177" s="66"/>
      <c r="Q177" s="23"/>
      <c r="AB177" s="23"/>
      <c r="AC177" s="23"/>
      <c r="AD177" s="23"/>
      <c r="AE177" s="7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71"/>
      <c r="AV177" s="10"/>
      <c r="AW177" s="23"/>
      <c r="BB177" s="66"/>
      <c r="BC177" s="66"/>
      <c r="BD177" s="66"/>
      <c r="BE177" s="66"/>
      <c r="BF177" s="66"/>
      <c r="BG177" s="66"/>
      <c r="BH177" s="66"/>
      <c r="BI177" s="66"/>
      <c r="BJ177" s="66"/>
      <c r="BK177" s="66"/>
      <c r="BL177" s="66"/>
      <c r="BM177" s="66"/>
      <c r="BN177" s="66"/>
      <c r="BO177" s="66"/>
      <c r="BP177" s="66"/>
      <c r="BQ177" s="66"/>
      <c r="BR177" s="66"/>
      <c r="BS177" s="66"/>
      <c r="BT177" s="66"/>
      <c r="BU177" s="66"/>
      <c r="BV177" s="66"/>
      <c r="BW177" s="66"/>
    </row>
    <row r="178" spans="1:75" ht="15.75" customHeight="1">
      <c r="A178" s="65"/>
      <c r="B178" s="66"/>
      <c r="C178" s="66"/>
      <c r="D178" s="66"/>
      <c r="E178" s="66"/>
      <c r="F178" s="65"/>
      <c r="G178" s="65"/>
      <c r="H178" s="66"/>
      <c r="I178" s="66"/>
      <c r="J178" s="66"/>
      <c r="K178" s="66"/>
      <c r="L178" s="66"/>
      <c r="M178" s="66"/>
      <c r="N178" s="66"/>
      <c r="O178" s="66"/>
      <c r="P178" s="66"/>
      <c r="Q178" s="23"/>
      <c r="AB178" s="23"/>
      <c r="AC178" s="23"/>
      <c r="AD178" s="23"/>
      <c r="AE178" s="7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71"/>
      <c r="AV178" s="10"/>
      <c r="AW178" s="23"/>
      <c r="BB178" s="66"/>
      <c r="BC178" s="66"/>
      <c r="BD178" s="66"/>
      <c r="BE178" s="66"/>
      <c r="BF178" s="66"/>
      <c r="BG178" s="66"/>
      <c r="BH178" s="66"/>
      <c r="BI178" s="66"/>
      <c r="BJ178" s="66"/>
      <c r="BK178" s="66"/>
      <c r="BL178" s="66"/>
      <c r="BM178" s="66"/>
      <c r="BN178" s="66"/>
      <c r="BO178" s="66"/>
      <c r="BP178" s="66"/>
      <c r="BQ178" s="66"/>
      <c r="BR178" s="66"/>
      <c r="BS178" s="66"/>
      <c r="BT178" s="66"/>
      <c r="BU178" s="66"/>
      <c r="BV178" s="66"/>
      <c r="BW178" s="66"/>
    </row>
    <row r="179" spans="1:75" ht="15.75" customHeight="1">
      <c r="A179" s="65"/>
      <c r="B179" s="66"/>
      <c r="C179" s="66"/>
      <c r="D179" s="66"/>
      <c r="E179" s="66"/>
      <c r="F179" s="65"/>
      <c r="G179" s="65"/>
      <c r="H179" s="66"/>
      <c r="I179" s="66"/>
      <c r="J179" s="66"/>
      <c r="K179" s="66"/>
      <c r="L179" s="66"/>
      <c r="M179" s="66"/>
      <c r="N179" s="66"/>
      <c r="O179" s="66"/>
      <c r="P179" s="66"/>
      <c r="Q179" s="23"/>
      <c r="AB179" s="23"/>
      <c r="AC179" s="23"/>
      <c r="AD179" s="23"/>
      <c r="AE179" s="7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71"/>
      <c r="AV179" s="10"/>
      <c r="AW179" s="23"/>
      <c r="BB179" s="66"/>
      <c r="BC179" s="66"/>
      <c r="BD179" s="66"/>
      <c r="BE179" s="66"/>
      <c r="BF179" s="66"/>
      <c r="BG179" s="66"/>
      <c r="BH179" s="66"/>
      <c r="BI179" s="66"/>
      <c r="BJ179" s="66"/>
      <c r="BK179" s="66"/>
      <c r="BL179" s="66"/>
      <c r="BM179" s="66"/>
      <c r="BN179" s="66"/>
      <c r="BO179" s="66"/>
      <c r="BP179" s="66"/>
      <c r="BQ179" s="66"/>
      <c r="BR179" s="66"/>
      <c r="BS179" s="66"/>
      <c r="BT179" s="66"/>
      <c r="BU179" s="66"/>
      <c r="BV179" s="66"/>
      <c r="BW179" s="66"/>
    </row>
    <row r="180" spans="1:75" ht="15.75" customHeight="1">
      <c r="A180" s="65"/>
      <c r="B180" s="66"/>
      <c r="C180" s="66"/>
      <c r="D180" s="66"/>
      <c r="E180" s="66"/>
      <c r="F180" s="65"/>
      <c r="G180" s="65"/>
      <c r="H180" s="66"/>
      <c r="I180" s="66"/>
      <c r="J180" s="66"/>
      <c r="K180" s="66"/>
      <c r="L180" s="66"/>
      <c r="M180" s="66"/>
      <c r="N180" s="66"/>
      <c r="O180" s="66"/>
      <c r="P180" s="66"/>
      <c r="Q180" s="23"/>
      <c r="AB180" s="23"/>
      <c r="AC180" s="23"/>
      <c r="AD180" s="23"/>
      <c r="AE180" s="7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71"/>
      <c r="AV180" s="10"/>
      <c r="AW180" s="23"/>
      <c r="BB180" s="66"/>
      <c r="BC180" s="66"/>
      <c r="BD180" s="66"/>
      <c r="BE180" s="66"/>
      <c r="BF180" s="66"/>
      <c r="BG180" s="66"/>
      <c r="BH180" s="66"/>
      <c r="BI180" s="66"/>
      <c r="BJ180" s="66"/>
      <c r="BK180" s="66"/>
      <c r="BL180" s="66"/>
      <c r="BM180" s="66"/>
      <c r="BN180" s="66"/>
      <c r="BO180" s="66"/>
      <c r="BP180" s="66"/>
      <c r="BQ180" s="66"/>
      <c r="BR180" s="66"/>
      <c r="BS180" s="66"/>
      <c r="BT180" s="66"/>
      <c r="BU180" s="66"/>
      <c r="BV180" s="66"/>
      <c r="BW180" s="66"/>
    </row>
    <row r="181" spans="1:75" ht="15.75" customHeight="1">
      <c r="A181" s="65"/>
      <c r="B181" s="66"/>
      <c r="C181" s="66"/>
      <c r="D181" s="66"/>
      <c r="E181" s="66"/>
      <c r="F181" s="65"/>
      <c r="G181" s="65"/>
      <c r="H181" s="66"/>
      <c r="I181" s="66"/>
      <c r="J181" s="66"/>
      <c r="K181" s="66"/>
      <c r="L181" s="66"/>
      <c r="M181" s="66"/>
      <c r="N181" s="66"/>
      <c r="O181" s="66"/>
      <c r="P181" s="66"/>
      <c r="Q181" s="23"/>
      <c r="AB181" s="23"/>
      <c r="AC181" s="23"/>
      <c r="AD181" s="23"/>
      <c r="AE181" s="7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71"/>
      <c r="AV181" s="10"/>
      <c r="AW181" s="23"/>
      <c r="BB181" s="66"/>
      <c r="BC181" s="66"/>
      <c r="BD181" s="66"/>
      <c r="BE181" s="66"/>
      <c r="BF181" s="66"/>
      <c r="BG181" s="66"/>
      <c r="BH181" s="66"/>
      <c r="BI181" s="66"/>
      <c r="BJ181" s="66"/>
      <c r="BK181" s="66"/>
      <c r="BL181" s="66"/>
      <c r="BM181" s="66"/>
      <c r="BN181" s="66"/>
      <c r="BO181" s="66"/>
      <c r="BP181" s="66"/>
      <c r="BQ181" s="66"/>
      <c r="BR181" s="66"/>
      <c r="BS181" s="66"/>
      <c r="BT181" s="66"/>
      <c r="BU181" s="66"/>
      <c r="BV181" s="66"/>
      <c r="BW181" s="66"/>
    </row>
    <row r="182" spans="1:75" ht="15.75" customHeight="1">
      <c r="A182" s="65"/>
      <c r="B182" s="66"/>
      <c r="C182" s="66"/>
      <c r="D182" s="66"/>
      <c r="E182" s="66"/>
      <c r="F182" s="65"/>
      <c r="G182" s="65"/>
      <c r="H182" s="66"/>
      <c r="I182" s="66"/>
      <c r="J182" s="66"/>
      <c r="K182" s="66"/>
      <c r="L182" s="66"/>
      <c r="M182" s="66"/>
      <c r="N182" s="66"/>
      <c r="O182" s="66"/>
      <c r="P182" s="66"/>
      <c r="Q182" s="23"/>
      <c r="AB182" s="23"/>
      <c r="AC182" s="23"/>
      <c r="AD182" s="23"/>
      <c r="AE182" s="7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71"/>
      <c r="AV182" s="10"/>
      <c r="AW182" s="23"/>
      <c r="BB182" s="66"/>
      <c r="BC182" s="66"/>
      <c r="BD182" s="66"/>
      <c r="BE182" s="66"/>
      <c r="BF182" s="66"/>
      <c r="BG182" s="66"/>
      <c r="BH182" s="66"/>
      <c r="BI182" s="66"/>
      <c r="BJ182" s="66"/>
      <c r="BK182" s="66"/>
      <c r="BL182" s="66"/>
      <c r="BM182" s="66"/>
      <c r="BN182" s="66"/>
      <c r="BO182" s="66"/>
      <c r="BP182" s="66"/>
      <c r="BQ182" s="66"/>
      <c r="BR182" s="66"/>
      <c r="BS182" s="66"/>
      <c r="BT182" s="66"/>
      <c r="BU182" s="66"/>
      <c r="BV182" s="66"/>
      <c r="BW182" s="66"/>
    </row>
    <row r="183" spans="1:75" ht="15.75" customHeight="1">
      <c r="A183" s="65"/>
      <c r="B183" s="66"/>
      <c r="C183" s="66"/>
      <c r="D183" s="66"/>
      <c r="E183" s="66"/>
      <c r="F183" s="65"/>
      <c r="G183" s="65"/>
      <c r="H183" s="66"/>
      <c r="I183" s="66"/>
      <c r="J183" s="66"/>
      <c r="K183" s="66"/>
      <c r="L183" s="66"/>
      <c r="M183" s="66"/>
      <c r="N183" s="66"/>
      <c r="O183" s="66"/>
      <c r="P183" s="66"/>
      <c r="Q183" s="23"/>
      <c r="AB183" s="23"/>
      <c r="AC183" s="23"/>
      <c r="AD183" s="23"/>
      <c r="AE183" s="7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71"/>
      <c r="AV183" s="10"/>
      <c r="AW183" s="23"/>
      <c r="BB183" s="66"/>
      <c r="BC183" s="66"/>
      <c r="BD183" s="66"/>
      <c r="BE183" s="66"/>
      <c r="BF183" s="66"/>
      <c r="BG183" s="66"/>
      <c r="BH183" s="66"/>
      <c r="BI183" s="66"/>
      <c r="BJ183" s="66"/>
      <c r="BK183" s="66"/>
      <c r="BL183" s="66"/>
      <c r="BM183" s="66"/>
      <c r="BN183" s="66"/>
      <c r="BO183" s="66"/>
      <c r="BP183" s="66"/>
      <c r="BQ183" s="66"/>
      <c r="BR183" s="66"/>
      <c r="BS183" s="66"/>
      <c r="BT183" s="66"/>
      <c r="BU183" s="66"/>
      <c r="BV183" s="66"/>
      <c r="BW183" s="66"/>
    </row>
    <row r="184" spans="1:75" ht="15.75" customHeight="1">
      <c r="A184" s="65"/>
      <c r="B184" s="66"/>
      <c r="C184" s="66"/>
      <c r="D184" s="66"/>
      <c r="E184" s="66"/>
      <c r="F184" s="65"/>
      <c r="G184" s="65"/>
      <c r="H184" s="66"/>
      <c r="I184" s="66"/>
      <c r="J184" s="66"/>
      <c r="K184" s="66"/>
      <c r="L184" s="66"/>
      <c r="M184" s="66"/>
      <c r="N184" s="66"/>
      <c r="O184" s="66"/>
      <c r="P184" s="66"/>
      <c r="Q184" s="23"/>
      <c r="AB184" s="23"/>
      <c r="AC184" s="23"/>
      <c r="AD184" s="23"/>
      <c r="AE184" s="7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71"/>
      <c r="AV184" s="10"/>
      <c r="AW184" s="23"/>
      <c r="BB184" s="66"/>
      <c r="BC184" s="66"/>
      <c r="BD184" s="66"/>
      <c r="BE184" s="66"/>
      <c r="BF184" s="66"/>
      <c r="BG184" s="66"/>
      <c r="BH184" s="66"/>
      <c r="BI184" s="66"/>
      <c r="BJ184" s="66"/>
      <c r="BK184" s="66"/>
      <c r="BL184" s="66"/>
      <c r="BM184" s="66"/>
      <c r="BN184" s="66"/>
      <c r="BO184" s="66"/>
      <c r="BP184" s="66"/>
      <c r="BQ184" s="66"/>
      <c r="BR184" s="66"/>
      <c r="BS184" s="66"/>
      <c r="BT184" s="66"/>
      <c r="BU184" s="66"/>
      <c r="BV184" s="66"/>
      <c r="BW184" s="66"/>
    </row>
    <row r="185" spans="1:75" ht="15.75" customHeight="1">
      <c r="A185" s="65"/>
      <c r="B185" s="66"/>
      <c r="C185" s="66"/>
      <c r="D185" s="66"/>
      <c r="E185" s="66"/>
      <c r="F185" s="65"/>
      <c r="G185" s="65"/>
      <c r="H185" s="66"/>
      <c r="I185" s="66"/>
      <c r="J185" s="66"/>
      <c r="K185" s="66"/>
      <c r="L185" s="66"/>
      <c r="M185" s="66"/>
      <c r="N185" s="66"/>
      <c r="O185" s="66"/>
      <c r="P185" s="66"/>
      <c r="Q185" s="23"/>
      <c r="AB185" s="23"/>
      <c r="AC185" s="23"/>
      <c r="AD185" s="23"/>
      <c r="AE185" s="7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71"/>
      <c r="AV185" s="10"/>
      <c r="AW185" s="23"/>
      <c r="BB185" s="66"/>
      <c r="BC185" s="66"/>
      <c r="BD185" s="66"/>
      <c r="BE185" s="66"/>
      <c r="BF185" s="66"/>
      <c r="BG185" s="66"/>
      <c r="BH185" s="66"/>
      <c r="BI185" s="66"/>
      <c r="BJ185" s="66"/>
      <c r="BK185" s="66"/>
      <c r="BL185" s="66"/>
      <c r="BM185" s="66"/>
      <c r="BN185" s="66"/>
      <c r="BO185" s="66"/>
      <c r="BP185" s="66"/>
      <c r="BQ185" s="66"/>
      <c r="BR185" s="66"/>
      <c r="BS185" s="66"/>
      <c r="BT185" s="66"/>
      <c r="BU185" s="66"/>
      <c r="BV185" s="66"/>
      <c r="BW185" s="66"/>
    </row>
    <row r="186" spans="1:75" ht="15.75" customHeight="1">
      <c r="A186" s="65"/>
      <c r="B186" s="66"/>
      <c r="C186" s="66"/>
      <c r="D186" s="66"/>
      <c r="E186" s="66"/>
      <c r="F186" s="65"/>
      <c r="G186" s="65"/>
      <c r="H186" s="66"/>
      <c r="I186" s="66"/>
      <c r="J186" s="66"/>
      <c r="K186" s="66"/>
      <c r="L186" s="66"/>
      <c r="M186" s="66"/>
      <c r="N186" s="66"/>
      <c r="O186" s="66"/>
      <c r="P186" s="66"/>
      <c r="Q186" s="23"/>
      <c r="AB186" s="23"/>
      <c r="AC186" s="23"/>
      <c r="AD186" s="23"/>
      <c r="AE186" s="7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71"/>
      <c r="AV186" s="10"/>
      <c r="AW186" s="23"/>
      <c r="BB186" s="66"/>
      <c r="BC186" s="66"/>
      <c r="BD186" s="66"/>
      <c r="BE186" s="66"/>
      <c r="BF186" s="66"/>
      <c r="BG186" s="66"/>
      <c r="BH186" s="66"/>
      <c r="BI186" s="66"/>
      <c r="BJ186" s="66"/>
      <c r="BK186" s="66"/>
      <c r="BL186" s="66"/>
      <c r="BM186" s="66"/>
      <c r="BN186" s="66"/>
      <c r="BO186" s="66"/>
      <c r="BP186" s="66"/>
      <c r="BQ186" s="66"/>
      <c r="BR186" s="66"/>
      <c r="BS186" s="66"/>
      <c r="BT186" s="66"/>
      <c r="BU186" s="66"/>
      <c r="BV186" s="66"/>
      <c r="BW186" s="66"/>
    </row>
    <row r="187" spans="1:75" ht="15.75" customHeight="1">
      <c r="A187" s="65"/>
      <c r="B187" s="66"/>
      <c r="C187" s="66"/>
      <c r="D187" s="66"/>
      <c r="E187" s="66"/>
      <c r="F187" s="65"/>
      <c r="G187" s="65"/>
      <c r="H187" s="66"/>
      <c r="I187" s="66"/>
      <c r="J187" s="66"/>
      <c r="K187" s="66"/>
      <c r="L187" s="66"/>
      <c r="M187" s="66"/>
      <c r="N187" s="66"/>
      <c r="O187" s="66"/>
      <c r="P187" s="66"/>
      <c r="Q187" s="23"/>
      <c r="AB187" s="23"/>
      <c r="AC187" s="23"/>
      <c r="AD187" s="23"/>
      <c r="AE187" s="7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71"/>
      <c r="AV187" s="10"/>
      <c r="AW187" s="23"/>
      <c r="BB187" s="66"/>
      <c r="BC187" s="66"/>
      <c r="BD187" s="66"/>
      <c r="BE187" s="66"/>
      <c r="BF187" s="66"/>
      <c r="BG187" s="66"/>
      <c r="BH187" s="66"/>
      <c r="BI187" s="66"/>
      <c r="BJ187" s="66"/>
      <c r="BK187" s="66"/>
      <c r="BL187" s="66"/>
      <c r="BM187" s="66"/>
      <c r="BN187" s="66"/>
      <c r="BO187" s="66"/>
      <c r="BP187" s="66"/>
      <c r="BQ187" s="66"/>
      <c r="BR187" s="66"/>
      <c r="BS187" s="66"/>
      <c r="BT187" s="66"/>
      <c r="BU187" s="66"/>
      <c r="BV187" s="66"/>
      <c r="BW187" s="66"/>
    </row>
    <row r="188" spans="1:75" ht="15.75" customHeight="1">
      <c r="A188" s="65"/>
      <c r="B188" s="66"/>
      <c r="C188" s="66"/>
      <c r="D188" s="66"/>
      <c r="E188" s="66"/>
      <c r="F188" s="65"/>
      <c r="G188" s="65"/>
      <c r="H188" s="66"/>
      <c r="I188" s="66"/>
      <c r="J188" s="66"/>
      <c r="K188" s="66"/>
      <c r="L188" s="66"/>
      <c r="M188" s="66"/>
      <c r="N188" s="66"/>
      <c r="O188" s="66"/>
      <c r="P188" s="66"/>
      <c r="Q188" s="23"/>
      <c r="AB188" s="23"/>
      <c r="AC188" s="23"/>
      <c r="AD188" s="23"/>
      <c r="AE188" s="7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71"/>
      <c r="AV188" s="10"/>
      <c r="AW188" s="23"/>
      <c r="BB188" s="66"/>
      <c r="BC188" s="66"/>
      <c r="BD188" s="66"/>
      <c r="BE188" s="66"/>
      <c r="BF188" s="66"/>
      <c r="BG188" s="66"/>
      <c r="BH188" s="66"/>
      <c r="BI188" s="66"/>
      <c r="BJ188" s="66"/>
      <c r="BK188" s="66"/>
      <c r="BL188" s="66"/>
      <c r="BM188" s="66"/>
      <c r="BN188" s="66"/>
      <c r="BO188" s="66"/>
      <c r="BP188" s="66"/>
      <c r="BQ188" s="66"/>
      <c r="BR188" s="66"/>
      <c r="BS188" s="66"/>
      <c r="BT188" s="66"/>
      <c r="BU188" s="66"/>
      <c r="BV188" s="66"/>
      <c r="BW188" s="66"/>
    </row>
    <row r="189" spans="1:75" ht="15.75" customHeight="1">
      <c r="A189" s="65"/>
      <c r="B189" s="66"/>
      <c r="C189" s="66"/>
      <c r="D189" s="66"/>
      <c r="E189" s="66"/>
      <c r="F189" s="65"/>
      <c r="G189" s="65"/>
      <c r="H189" s="66"/>
      <c r="I189" s="66"/>
      <c r="J189" s="66"/>
      <c r="K189" s="66"/>
      <c r="L189" s="66"/>
      <c r="M189" s="66"/>
      <c r="N189" s="66"/>
      <c r="O189" s="66"/>
      <c r="P189" s="66"/>
      <c r="Q189" s="23"/>
      <c r="AB189" s="23"/>
      <c r="AC189" s="23"/>
      <c r="AD189" s="23"/>
      <c r="AE189" s="7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71"/>
      <c r="AV189" s="10"/>
      <c r="AW189" s="23"/>
      <c r="BB189" s="66"/>
      <c r="BC189" s="66"/>
      <c r="BD189" s="66"/>
      <c r="BE189" s="66"/>
      <c r="BF189" s="66"/>
      <c r="BG189" s="66"/>
      <c r="BH189" s="66"/>
      <c r="BI189" s="66"/>
      <c r="BJ189" s="66"/>
      <c r="BK189" s="66"/>
      <c r="BL189" s="66"/>
      <c r="BM189" s="66"/>
      <c r="BN189" s="66"/>
      <c r="BO189" s="66"/>
      <c r="BP189" s="66"/>
      <c r="BQ189" s="66"/>
      <c r="BR189" s="66"/>
      <c r="BS189" s="66"/>
      <c r="BT189" s="66"/>
      <c r="BU189" s="66"/>
      <c r="BV189" s="66"/>
      <c r="BW189" s="66"/>
    </row>
    <row r="190" spans="1:75" ht="15.75" customHeight="1">
      <c r="A190" s="65"/>
      <c r="B190" s="66"/>
      <c r="C190" s="66"/>
      <c r="D190" s="66"/>
      <c r="E190" s="66"/>
      <c r="F190" s="65"/>
      <c r="G190" s="65"/>
      <c r="H190" s="66"/>
      <c r="I190" s="66"/>
      <c r="J190" s="66"/>
      <c r="K190" s="66"/>
      <c r="L190" s="66"/>
      <c r="M190" s="66"/>
      <c r="N190" s="66"/>
      <c r="O190" s="66"/>
      <c r="P190" s="66"/>
      <c r="Q190" s="23"/>
      <c r="AB190" s="23"/>
      <c r="AC190" s="23"/>
      <c r="AD190" s="23"/>
      <c r="AE190" s="7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71"/>
      <c r="AV190" s="10"/>
      <c r="AW190" s="23"/>
      <c r="BB190" s="66"/>
      <c r="BC190" s="66"/>
      <c r="BD190" s="66"/>
      <c r="BE190" s="66"/>
      <c r="BF190" s="66"/>
      <c r="BG190" s="66"/>
      <c r="BH190" s="66"/>
      <c r="BI190" s="66"/>
      <c r="BJ190" s="66"/>
      <c r="BK190" s="66"/>
      <c r="BL190" s="66"/>
      <c r="BM190" s="66"/>
      <c r="BN190" s="66"/>
      <c r="BO190" s="66"/>
      <c r="BP190" s="66"/>
      <c r="BQ190" s="66"/>
      <c r="BR190" s="66"/>
      <c r="BS190" s="66"/>
      <c r="BT190" s="66"/>
      <c r="BU190" s="66"/>
      <c r="BV190" s="66"/>
      <c r="BW190" s="66"/>
    </row>
    <row r="191" spans="1:75" ht="15.75" customHeight="1">
      <c r="A191" s="65"/>
      <c r="B191" s="66"/>
      <c r="C191" s="66"/>
      <c r="D191" s="66"/>
      <c r="E191" s="66"/>
      <c r="F191" s="65"/>
      <c r="G191" s="65"/>
      <c r="H191" s="66"/>
      <c r="I191" s="66"/>
      <c r="J191" s="66"/>
      <c r="K191" s="66"/>
      <c r="L191" s="66"/>
      <c r="M191" s="66"/>
      <c r="N191" s="66"/>
      <c r="O191" s="66"/>
      <c r="P191" s="66"/>
      <c r="Q191" s="23"/>
      <c r="AB191" s="23"/>
      <c r="AC191" s="23"/>
      <c r="AD191" s="23"/>
      <c r="AE191" s="7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71"/>
      <c r="AV191" s="10"/>
      <c r="AW191" s="23"/>
      <c r="BB191" s="66"/>
      <c r="BC191" s="66"/>
      <c r="BD191" s="66"/>
      <c r="BE191" s="66"/>
      <c r="BF191" s="66"/>
      <c r="BG191" s="66"/>
      <c r="BH191" s="66"/>
      <c r="BI191" s="66"/>
      <c r="BJ191" s="66"/>
      <c r="BK191" s="66"/>
      <c r="BL191" s="66"/>
      <c r="BM191" s="66"/>
      <c r="BN191" s="66"/>
      <c r="BO191" s="66"/>
      <c r="BP191" s="66"/>
      <c r="BQ191" s="66"/>
      <c r="BR191" s="66"/>
      <c r="BS191" s="66"/>
      <c r="BT191" s="66"/>
      <c r="BU191" s="66"/>
      <c r="BV191" s="66"/>
      <c r="BW191" s="66"/>
    </row>
    <row r="192" spans="1:75" ht="15.75" customHeight="1">
      <c r="A192" s="65"/>
      <c r="B192" s="66"/>
      <c r="C192" s="66"/>
      <c r="D192" s="66"/>
      <c r="E192" s="66"/>
      <c r="F192" s="65"/>
      <c r="G192" s="65"/>
      <c r="H192" s="66"/>
      <c r="I192" s="66"/>
      <c r="J192" s="66"/>
      <c r="K192" s="66"/>
      <c r="L192" s="66"/>
      <c r="M192" s="66"/>
      <c r="N192" s="66"/>
      <c r="O192" s="66"/>
      <c r="P192" s="66"/>
      <c r="Q192" s="23"/>
      <c r="AB192" s="23"/>
      <c r="AC192" s="23"/>
      <c r="AD192" s="23"/>
      <c r="AE192" s="7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71"/>
      <c r="AV192" s="10"/>
      <c r="AW192" s="23"/>
      <c r="BB192" s="66"/>
      <c r="BC192" s="66"/>
      <c r="BD192" s="66"/>
      <c r="BE192" s="66"/>
      <c r="BF192" s="66"/>
      <c r="BG192" s="66"/>
      <c r="BH192" s="66"/>
      <c r="BI192" s="66"/>
      <c r="BJ192" s="66"/>
      <c r="BK192" s="66"/>
      <c r="BL192" s="66"/>
      <c r="BM192" s="66"/>
      <c r="BN192" s="66"/>
      <c r="BO192" s="66"/>
      <c r="BP192" s="66"/>
      <c r="BQ192" s="66"/>
      <c r="BR192" s="66"/>
      <c r="BS192" s="66"/>
      <c r="BT192" s="66"/>
      <c r="BU192" s="66"/>
      <c r="BV192" s="66"/>
      <c r="BW192" s="66"/>
    </row>
    <row r="193" spans="1:75" ht="15.75" customHeight="1">
      <c r="A193" s="65"/>
      <c r="B193" s="66"/>
      <c r="C193" s="66"/>
      <c r="D193" s="66"/>
      <c r="E193" s="66"/>
      <c r="F193" s="65"/>
      <c r="G193" s="65"/>
      <c r="H193" s="66"/>
      <c r="I193" s="66"/>
      <c r="J193" s="66"/>
      <c r="K193" s="66"/>
      <c r="L193" s="66"/>
      <c r="M193" s="66"/>
      <c r="N193" s="66"/>
      <c r="O193" s="66"/>
      <c r="P193" s="66"/>
      <c r="Q193" s="23"/>
      <c r="AB193" s="23"/>
      <c r="AC193" s="23"/>
      <c r="AD193" s="23"/>
      <c r="AE193" s="7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71"/>
      <c r="AV193" s="10"/>
      <c r="AW193" s="23"/>
      <c r="BB193" s="66"/>
      <c r="BC193" s="66"/>
      <c r="BD193" s="66"/>
      <c r="BE193" s="66"/>
      <c r="BF193" s="66"/>
      <c r="BG193" s="66"/>
      <c r="BH193" s="66"/>
      <c r="BI193" s="66"/>
      <c r="BJ193" s="66"/>
      <c r="BK193" s="66"/>
      <c r="BL193" s="66"/>
      <c r="BM193" s="66"/>
      <c r="BN193" s="66"/>
      <c r="BO193" s="66"/>
      <c r="BP193" s="66"/>
      <c r="BQ193" s="66"/>
      <c r="BR193" s="66"/>
      <c r="BS193" s="66"/>
      <c r="BT193" s="66"/>
      <c r="BU193" s="66"/>
      <c r="BV193" s="66"/>
      <c r="BW193" s="66"/>
    </row>
    <row r="194" spans="1:75" ht="15.75" customHeight="1">
      <c r="A194" s="65"/>
      <c r="B194" s="66"/>
      <c r="C194" s="66"/>
      <c r="D194" s="66"/>
      <c r="E194" s="66"/>
      <c r="F194" s="65"/>
      <c r="G194" s="65"/>
      <c r="H194" s="66"/>
      <c r="I194" s="66"/>
      <c r="J194" s="66"/>
      <c r="K194" s="66"/>
      <c r="L194" s="66"/>
      <c r="M194" s="66"/>
      <c r="N194" s="66"/>
      <c r="O194" s="66"/>
      <c r="P194" s="66"/>
      <c r="Q194" s="23"/>
      <c r="AB194" s="23"/>
      <c r="AC194" s="23"/>
      <c r="AD194" s="23"/>
      <c r="AE194" s="7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71"/>
      <c r="AV194" s="10"/>
      <c r="AW194" s="23"/>
      <c r="BB194" s="66"/>
      <c r="BC194" s="66"/>
      <c r="BD194" s="66"/>
      <c r="BE194" s="66"/>
      <c r="BF194" s="66"/>
      <c r="BG194" s="66"/>
      <c r="BH194" s="66"/>
      <c r="BI194" s="66"/>
      <c r="BJ194" s="66"/>
      <c r="BK194" s="66"/>
      <c r="BL194" s="66"/>
      <c r="BM194" s="66"/>
      <c r="BN194" s="66"/>
      <c r="BO194" s="66"/>
      <c r="BP194" s="66"/>
      <c r="BQ194" s="66"/>
      <c r="BR194" s="66"/>
      <c r="BS194" s="66"/>
      <c r="BT194" s="66"/>
      <c r="BU194" s="66"/>
      <c r="BV194" s="66"/>
      <c r="BW194" s="66"/>
    </row>
    <row r="195" spans="1:75" ht="15.75" customHeight="1">
      <c r="A195" s="65"/>
      <c r="B195" s="66"/>
      <c r="C195" s="66"/>
      <c r="D195" s="66"/>
      <c r="E195" s="66"/>
      <c r="F195" s="65"/>
      <c r="G195" s="65"/>
      <c r="H195" s="66"/>
      <c r="I195" s="66"/>
      <c r="J195" s="66"/>
      <c r="K195" s="66"/>
      <c r="L195" s="66"/>
      <c r="M195" s="66"/>
      <c r="N195" s="66"/>
      <c r="O195" s="66"/>
      <c r="P195" s="66"/>
      <c r="Q195" s="23"/>
      <c r="AB195" s="23"/>
      <c r="AC195" s="23"/>
      <c r="AD195" s="23"/>
      <c r="AE195" s="7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71"/>
      <c r="AV195" s="10"/>
      <c r="AW195" s="23"/>
      <c r="BB195" s="66"/>
      <c r="BC195" s="66"/>
      <c r="BD195" s="66"/>
      <c r="BE195" s="66"/>
      <c r="BF195" s="66"/>
      <c r="BG195" s="66"/>
      <c r="BH195" s="66"/>
      <c r="BI195" s="66"/>
      <c r="BJ195" s="66"/>
      <c r="BK195" s="66"/>
      <c r="BL195" s="66"/>
      <c r="BM195" s="66"/>
      <c r="BN195" s="66"/>
      <c r="BO195" s="66"/>
      <c r="BP195" s="66"/>
      <c r="BQ195" s="66"/>
      <c r="BR195" s="66"/>
      <c r="BS195" s="66"/>
      <c r="BT195" s="66"/>
      <c r="BU195" s="66"/>
      <c r="BV195" s="66"/>
      <c r="BW195" s="66"/>
    </row>
    <row r="196" spans="1:75" ht="15.75" customHeight="1">
      <c r="A196" s="65"/>
      <c r="B196" s="66"/>
      <c r="C196" s="66"/>
      <c r="D196" s="66"/>
      <c r="E196" s="66"/>
      <c r="F196" s="65"/>
      <c r="G196" s="65"/>
      <c r="H196" s="66"/>
      <c r="I196" s="66"/>
      <c r="J196" s="66"/>
      <c r="K196" s="66"/>
      <c r="L196" s="66"/>
      <c r="M196" s="66"/>
      <c r="N196" s="66"/>
      <c r="O196" s="66"/>
      <c r="P196" s="66"/>
      <c r="Q196" s="23"/>
      <c r="AB196" s="23"/>
      <c r="AC196" s="23"/>
      <c r="AD196" s="23"/>
      <c r="AE196" s="7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71"/>
      <c r="AV196" s="10"/>
      <c r="AW196" s="23"/>
      <c r="BB196" s="66"/>
      <c r="BC196" s="66"/>
      <c r="BD196" s="66"/>
      <c r="BE196" s="66"/>
      <c r="BF196" s="66"/>
      <c r="BG196" s="66"/>
      <c r="BH196" s="66"/>
      <c r="BI196" s="66"/>
      <c r="BJ196" s="66"/>
      <c r="BK196" s="66"/>
      <c r="BL196" s="66"/>
      <c r="BM196" s="66"/>
      <c r="BN196" s="66"/>
      <c r="BO196" s="66"/>
      <c r="BP196" s="66"/>
      <c r="BQ196" s="66"/>
      <c r="BR196" s="66"/>
      <c r="BS196" s="66"/>
      <c r="BT196" s="66"/>
      <c r="BU196" s="66"/>
      <c r="BV196" s="66"/>
      <c r="BW196" s="66"/>
    </row>
    <row r="197" spans="1:75" ht="15.75" customHeight="1">
      <c r="A197" s="65"/>
      <c r="B197" s="66"/>
      <c r="C197" s="66"/>
      <c r="D197" s="66"/>
      <c r="E197" s="66"/>
      <c r="F197" s="65"/>
      <c r="G197" s="65"/>
      <c r="H197" s="66"/>
      <c r="I197" s="66"/>
      <c r="J197" s="66"/>
      <c r="K197" s="66"/>
      <c r="L197" s="66"/>
      <c r="M197" s="66"/>
      <c r="N197" s="66"/>
      <c r="O197" s="66"/>
      <c r="P197" s="66"/>
      <c r="Q197" s="23"/>
      <c r="AB197" s="23"/>
      <c r="AC197" s="23"/>
      <c r="AD197" s="23"/>
      <c r="AE197" s="7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71"/>
      <c r="AV197" s="10"/>
      <c r="AW197" s="23"/>
      <c r="BB197" s="66"/>
      <c r="BC197" s="66"/>
      <c r="BD197" s="66"/>
      <c r="BE197" s="66"/>
      <c r="BF197" s="66"/>
      <c r="BG197" s="66"/>
      <c r="BH197" s="66"/>
      <c r="BI197" s="66"/>
      <c r="BJ197" s="66"/>
      <c r="BK197" s="66"/>
      <c r="BL197" s="66"/>
      <c r="BM197" s="66"/>
      <c r="BN197" s="66"/>
      <c r="BO197" s="66"/>
      <c r="BP197" s="66"/>
      <c r="BQ197" s="66"/>
      <c r="BR197" s="66"/>
      <c r="BS197" s="66"/>
      <c r="BT197" s="66"/>
      <c r="BU197" s="66"/>
      <c r="BV197" s="66"/>
      <c r="BW197" s="66"/>
    </row>
    <row r="198" spans="1:75" ht="15.75" customHeight="1">
      <c r="A198" s="65"/>
      <c r="B198" s="66"/>
      <c r="C198" s="66"/>
      <c r="D198" s="66"/>
      <c r="E198" s="66"/>
      <c r="F198" s="65"/>
      <c r="G198" s="65"/>
      <c r="H198" s="66"/>
      <c r="I198" s="66"/>
      <c r="J198" s="66"/>
      <c r="K198" s="66"/>
      <c r="L198" s="66"/>
      <c r="M198" s="66"/>
      <c r="N198" s="66"/>
      <c r="O198" s="66"/>
      <c r="P198" s="66"/>
      <c r="Q198" s="23"/>
      <c r="AB198" s="23"/>
      <c r="AC198" s="23"/>
      <c r="AD198" s="23"/>
      <c r="AE198" s="7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71"/>
      <c r="AV198" s="10"/>
      <c r="AW198" s="23"/>
      <c r="BB198" s="66"/>
      <c r="BC198" s="66"/>
      <c r="BD198" s="66"/>
      <c r="BE198" s="66"/>
      <c r="BF198" s="66"/>
      <c r="BG198" s="66"/>
      <c r="BH198" s="66"/>
      <c r="BI198" s="66"/>
      <c r="BJ198" s="66"/>
      <c r="BK198" s="66"/>
      <c r="BL198" s="66"/>
      <c r="BM198" s="66"/>
      <c r="BN198" s="66"/>
      <c r="BO198" s="66"/>
      <c r="BP198" s="66"/>
      <c r="BQ198" s="66"/>
      <c r="BR198" s="66"/>
      <c r="BS198" s="66"/>
      <c r="BT198" s="66"/>
      <c r="BU198" s="66"/>
      <c r="BV198" s="66"/>
      <c r="BW198" s="66"/>
    </row>
    <row r="199" spans="1:75" ht="15.75" customHeight="1">
      <c r="A199" s="65"/>
      <c r="B199" s="66"/>
      <c r="C199" s="66"/>
      <c r="D199" s="66"/>
      <c r="E199" s="66"/>
      <c r="F199" s="65"/>
      <c r="G199" s="65"/>
      <c r="H199" s="66"/>
      <c r="I199" s="66"/>
      <c r="J199" s="66"/>
      <c r="K199" s="66"/>
      <c r="L199" s="66"/>
      <c r="M199" s="66"/>
      <c r="N199" s="66"/>
      <c r="O199" s="66"/>
      <c r="P199" s="66"/>
      <c r="Q199" s="23"/>
      <c r="AB199" s="23"/>
      <c r="AC199" s="23"/>
      <c r="AD199" s="23"/>
      <c r="AE199" s="7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71"/>
      <c r="AV199" s="10"/>
      <c r="AW199" s="23"/>
      <c r="BB199" s="66"/>
      <c r="BC199" s="66"/>
      <c r="BD199" s="66"/>
      <c r="BE199" s="66"/>
      <c r="BF199" s="66"/>
      <c r="BG199" s="66"/>
      <c r="BH199" s="66"/>
      <c r="BI199" s="66"/>
      <c r="BJ199" s="66"/>
      <c r="BK199" s="66"/>
      <c r="BL199" s="66"/>
      <c r="BM199" s="66"/>
      <c r="BN199" s="66"/>
      <c r="BO199" s="66"/>
      <c r="BP199" s="66"/>
      <c r="BQ199" s="66"/>
      <c r="BR199" s="66"/>
      <c r="BS199" s="66"/>
      <c r="BT199" s="66"/>
      <c r="BU199" s="66"/>
      <c r="BV199" s="66"/>
      <c r="BW199" s="66"/>
    </row>
    <row r="200" spans="1:75" ht="15.75" customHeight="1">
      <c r="A200" s="65"/>
      <c r="B200" s="66"/>
      <c r="C200" s="66"/>
      <c r="D200" s="66"/>
      <c r="E200" s="66"/>
      <c r="F200" s="65"/>
      <c r="G200" s="65"/>
      <c r="H200" s="66"/>
      <c r="I200" s="66"/>
      <c r="J200" s="66"/>
      <c r="K200" s="66"/>
      <c r="L200" s="66"/>
      <c r="M200" s="66"/>
      <c r="N200" s="66"/>
      <c r="O200" s="66"/>
      <c r="P200" s="66"/>
      <c r="Q200" s="23"/>
      <c r="AB200" s="23"/>
      <c r="AC200" s="23"/>
      <c r="AD200" s="23"/>
      <c r="AE200" s="7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71"/>
      <c r="AV200" s="10"/>
      <c r="AW200" s="23"/>
      <c r="BB200" s="66"/>
      <c r="BC200" s="66"/>
      <c r="BD200" s="66"/>
      <c r="BE200" s="66"/>
      <c r="BF200" s="66"/>
      <c r="BG200" s="66"/>
      <c r="BH200" s="66"/>
      <c r="BI200" s="66"/>
      <c r="BJ200" s="66"/>
      <c r="BK200" s="66"/>
      <c r="BL200" s="66"/>
      <c r="BM200" s="66"/>
      <c r="BN200" s="66"/>
      <c r="BO200" s="66"/>
      <c r="BP200" s="66"/>
      <c r="BQ200" s="66"/>
      <c r="BR200" s="66"/>
      <c r="BS200" s="66"/>
      <c r="BT200" s="66"/>
      <c r="BU200" s="66"/>
      <c r="BV200" s="66"/>
      <c r="BW200" s="66"/>
    </row>
    <row r="201" spans="1:75" ht="15.75" customHeight="1">
      <c r="A201" s="65"/>
      <c r="B201" s="66"/>
      <c r="C201" s="66"/>
      <c r="D201" s="66"/>
      <c r="E201" s="66"/>
      <c r="F201" s="65"/>
      <c r="G201" s="65"/>
      <c r="H201" s="66"/>
      <c r="I201" s="66"/>
      <c r="J201" s="66"/>
      <c r="K201" s="66"/>
      <c r="L201" s="66"/>
      <c r="M201" s="66"/>
      <c r="N201" s="66"/>
      <c r="O201" s="66"/>
      <c r="P201" s="66"/>
      <c r="Q201" s="23"/>
      <c r="AB201" s="23"/>
      <c r="AC201" s="23"/>
      <c r="AD201" s="23"/>
      <c r="AE201" s="7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71"/>
      <c r="AV201" s="10"/>
      <c r="AW201" s="23"/>
      <c r="BB201" s="66"/>
      <c r="BC201" s="66"/>
      <c r="BD201" s="66"/>
      <c r="BE201" s="66"/>
      <c r="BF201" s="66"/>
      <c r="BG201" s="66"/>
      <c r="BH201" s="66"/>
      <c r="BI201" s="66"/>
      <c r="BJ201" s="66"/>
      <c r="BK201" s="66"/>
      <c r="BL201" s="66"/>
      <c r="BM201" s="66"/>
      <c r="BN201" s="66"/>
      <c r="BO201" s="66"/>
      <c r="BP201" s="66"/>
      <c r="BQ201" s="66"/>
      <c r="BR201" s="66"/>
      <c r="BS201" s="66"/>
      <c r="BT201" s="66"/>
      <c r="BU201" s="66"/>
      <c r="BV201" s="66"/>
      <c r="BW201" s="66"/>
    </row>
    <row r="202" spans="1:75" ht="15.75" customHeight="1">
      <c r="A202" s="65"/>
      <c r="B202" s="66"/>
      <c r="C202" s="66"/>
      <c r="D202" s="66"/>
      <c r="E202" s="66"/>
      <c r="F202" s="65"/>
      <c r="G202" s="65"/>
      <c r="H202" s="66"/>
      <c r="I202" s="66"/>
      <c r="J202" s="66"/>
      <c r="K202" s="66"/>
      <c r="L202" s="66"/>
      <c r="M202" s="66"/>
      <c r="N202" s="66"/>
      <c r="O202" s="66"/>
      <c r="P202" s="66"/>
      <c r="Q202" s="23"/>
      <c r="AB202" s="23"/>
      <c r="AC202" s="23"/>
      <c r="AD202" s="23"/>
      <c r="AE202" s="7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71"/>
      <c r="AV202" s="10"/>
      <c r="AW202" s="23"/>
      <c r="BB202" s="66"/>
      <c r="BC202" s="66"/>
      <c r="BD202" s="66"/>
      <c r="BE202" s="66"/>
      <c r="BF202" s="66"/>
      <c r="BG202" s="66"/>
      <c r="BH202" s="66"/>
      <c r="BI202" s="66"/>
      <c r="BJ202" s="66"/>
      <c r="BK202" s="66"/>
      <c r="BL202" s="66"/>
      <c r="BM202" s="66"/>
      <c r="BN202" s="66"/>
      <c r="BO202" s="66"/>
      <c r="BP202" s="66"/>
      <c r="BQ202" s="66"/>
      <c r="BR202" s="66"/>
      <c r="BS202" s="66"/>
      <c r="BT202" s="66"/>
      <c r="BU202" s="66"/>
      <c r="BV202" s="66"/>
      <c r="BW202" s="66"/>
    </row>
    <row r="203" spans="1:75" ht="15.75" customHeight="1">
      <c r="A203" s="65"/>
      <c r="B203" s="66"/>
      <c r="C203" s="66"/>
      <c r="D203" s="66"/>
      <c r="E203" s="66"/>
      <c r="F203" s="65"/>
      <c r="G203" s="65"/>
      <c r="H203" s="66"/>
      <c r="I203" s="66"/>
      <c r="J203" s="66"/>
      <c r="K203" s="66"/>
      <c r="L203" s="66"/>
      <c r="M203" s="66"/>
      <c r="N203" s="66"/>
      <c r="O203" s="66"/>
      <c r="P203" s="66"/>
      <c r="Q203" s="23"/>
      <c r="AB203" s="23"/>
      <c r="AC203" s="23"/>
      <c r="AD203" s="23"/>
      <c r="AE203" s="7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71"/>
      <c r="AV203" s="10"/>
      <c r="AW203" s="23"/>
      <c r="BB203" s="66"/>
      <c r="BC203" s="66"/>
      <c r="BD203" s="66"/>
      <c r="BE203" s="66"/>
      <c r="BF203" s="66"/>
      <c r="BG203" s="66"/>
      <c r="BH203" s="66"/>
      <c r="BI203" s="66"/>
      <c r="BJ203" s="66"/>
      <c r="BK203" s="66"/>
      <c r="BL203" s="66"/>
      <c r="BM203" s="66"/>
      <c r="BN203" s="66"/>
      <c r="BO203" s="66"/>
      <c r="BP203" s="66"/>
      <c r="BQ203" s="66"/>
      <c r="BR203" s="66"/>
      <c r="BS203" s="66"/>
      <c r="BT203" s="66"/>
      <c r="BU203" s="66"/>
      <c r="BV203" s="66"/>
      <c r="BW203" s="66"/>
    </row>
    <row r="204" spans="1:75" ht="15.75" customHeight="1">
      <c r="A204" s="65"/>
      <c r="B204" s="66"/>
      <c r="C204" s="66"/>
      <c r="D204" s="66"/>
      <c r="E204" s="66"/>
      <c r="F204" s="65"/>
      <c r="G204" s="65"/>
      <c r="H204" s="66"/>
      <c r="I204" s="66"/>
      <c r="J204" s="66"/>
      <c r="K204" s="66"/>
      <c r="L204" s="66"/>
      <c r="M204" s="66"/>
      <c r="N204" s="66"/>
      <c r="O204" s="66"/>
      <c r="P204" s="66"/>
      <c r="Q204" s="23"/>
      <c r="AB204" s="23"/>
      <c r="AC204" s="23"/>
      <c r="AD204" s="23"/>
      <c r="AE204" s="7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71"/>
      <c r="AV204" s="10"/>
      <c r="AW204" s="23"/>
      <c r="BB204" s="66"/>
      <c r="BC204" s="66"/>
      <c r="BD204" s="66"/>
      <c r="BE204" s="66"/>
      <c r="BF204" s="66"/>
      <c r="BG204" s="66"/>
      <c r="BH204" s="66"/>
      <c r="BI204" s="66"/>
      <c r="BJ204" s="66"/>
      <c r="BK204" s="66"/>
      <c r="BL204" s="66"/>
      <c r="BM204" s="66"/>
      <c r="BN204" s="66"/>
      <c r="BO204" s="66"/>
      <c r="BP204" s="66"/>
      <c r="BQ204" s="66"/>
      <c r="BR204" s="66"/>
      <c r="BS204" s="66"/>
      <c r="BT204" s="66"/>
      <c r="BU204" s="66"/>
      <c r="BV204" s="66"/>
      <c r="BW204" s="66"/>
    </row>
    <row r="205" spans="1:75" ht="15.75" customHeight="1">
      <c r="A205" s="65"/>
      <c r="B205" s="66"/>
      <c r="C205" s="66"/>
      <c r="D205" s="66"/>
      <c r="E205" s="66"/>
      <c r="F205" s="65"/>
      <c r="G205" s="65"/>
      <c r="H205" s="66"/>
      <c r="I205" s="66"/>
      <c r="J205" s="66"/>
      <c r="K205" s="66"/>
      <c r="L205" s="66"/>
      <c r="M205" s="66"/>
      <c r="N205" s="66"/>
      <c r="O205" s="66"/>
      <c r="P205" s="66"/>
      <c r="Q205" s="23"/>
      <c r="AB205" s="23"/>
      <c r="AC205" s="23"/>
      <c r="AD205" s="23"/>
      <c r="AE205" s="7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71"/>
      <c r="AV205" s="10"/>
      <c r="AW205" s="23"/>
      <c r="BB205" s="66"/>
      <c r="BC205" s="66"/>
      <c r="BD205" s="66"/>
      <c r="BE205" s="66"/>
      <c r="BF205" s="66"/>
      <c r="BG205" s="66"/>
      <c r="BH205" s="66"/>
      <c r="BI205" s="66"/>
      <c r="BJ205" s="66"/>
      <c r="BK205" s="66"/>
      <c r="BL205" s="66"/>
      <c r="BM205" s="66"/>
      <c r="BN205" s="66"/>
      <c r="BO205" s="66"/>
      <c r="BP205" s="66"/>
      <c r="BQ205" s="66"/>
      <c r="BR205" s="66"/>
      <c r="BS205" s="66"/>
      <c r="BT205" s="66"/>
      <c r="BU205" s="66"/>
      <c r="BV205" s="66"/>
      <c r="BW205" s="66"/>
    </row>
    <row r="206" spans="1:75" ht="15.75" customHeight="1">
      <c r="A206" s="65"/>
      <c r="B206" s="66"/>
      <c r="C206" s="66"/>
      <c r="D206" s="66"/>
      <c r="E206" s="66"/>
      <c r="F206" s="65"/>
      <c r="G206" s="65"/>
      <c r="H206" s="66"/>
      <c r="I206" s="66"/>
      <c r="J206" s="66"/>
      <c r="K206" s="66"/>
      <c r="L206" s="66"/>
      <c r="M206" s="66"/>
      <c r="N206" s="66"/>
      <c r="O206" s="66"/>
      <c r="P206" s="66"/>
      <c r="Q206" s="23"/>
      <c r="AB206" s="23"/>
      <c r="AC206" s="23"/>
      <c r="AD206" s="23"/>
      <c r="AE206" s="7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71"/>
      <c r="AV206" s="10"/>
      <c r="AW206" s="23"/>
      <c r="BB206" s="66"/>
      <c r="BC206" s="66"/>
      <c r="BD206" s="66"/>
      <c r="BE206" s="66"/>
      <c r="BF206" s="66"/>
      <c r="BG206" s="66"/>
      <c r="BH206" s="66"/>
      <c r="BI206" s="66"/>
      <c r="BJ206" s="66"/>
      <c r="BK206" s="66"/>
      <c r="BL206" s="66"/>
      <c r="BM206" s="66"/>
      <c r="BN206" s="66"/>
      <c r="BO206" s="66"/>
      <c r="BP206" s="66"/>
      <c r="BQ206" s="66"/>
      <c r="BR206" s="66"/>
      <c r="BS206" s="66"/>
      <c r="BT206" s="66"/>
      <c r="BU206" s="66"/>
      <c r="BV206" s="66"/>
      <c r="BW206" s="66"/>
    </row>
    <row r="207" spans="1:75" ht="15.75" customHeight="1">
      <c r="A207" s="65"/>
      <c r="B207" s="66"/>
      <c r="C207" s="66"/>
      <c r="D207" s="66"/>
      <c r="E207" s="66"/>
      <c r="F207" s="65"/>
      <c r="G207" s="65"/>
      <c r="H207" s="66"/>
      <c r="I207" s="66"/>
      <c r="J207" s="66"/>
      <c r="K207" s="66"/>
      <c r="L207" s="66"/>
      <c r="M207" s="66"/>
      <c r="N207" s="66"/>
      <c r="O207" s="66"/>
      <c r="P207" s="66"/>
      <c r="Q207" s="23"/>
      <c r="AB207" s="23"/>
      <c r="AC207" s="23"/>
      <c r="AD207" s="23"/>
      <c r="AE207" s="7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71"/>
      <c r="AV207" s="10"/>
      <c r="AW207" s="23"/>
      <c r="BB207" s="66"/>
      <c r="BC207" s="66"/>
      <c r="BD207" s="66"/>
      <c r="BE207" s="66"/>
      <c r="BF207" s="66"/>
      <c r="BG207" s="66"/>
      <c r="BH207" s="66"/>
      <c r="BI207" s="66"/>
      <c r="BJ207" s="66"/>
      <c r="BK207" s="66"/>
      <c r="BL207" s="66"/>
      <c r="BM207" s="66"/>
      <c r="BN207" s="66"/>
      <c r="BO207" s="66"/>
      <c r="BP207" s="66"/>
      <c r="BQ207" s="66"/>
      <c r="BR207" s="66"/>
      <c r="BS207" s="66"/>
      <c r="BT207" s="66"/>
      <c r="BU207" s="66"/>
      <c r="BV207" s="66"/>
      <c r="BW207" s="66"/>
    </row>
    <row r="208" spans="1:75" ht="15.75" customHeight="1">
      <c r="A208" s="65"/>
      <c r="B208" s="66"/>
      <c r="C208" s="66"/>
      <c r="D208" s="66"/>
      <c r="E208" s="66"/>
      <c r="F208" s="65"/>
      <c r="G208" s="65"/>
      <c r="H208" s="66"/>
      <c r="I208" s="66"/>
      <c r="J208" s="66"/>
      <c r="K208" s="66"/>
      <c r="L208" s="66"/>
      <c r="M208" s="66"/>
      <c r="N208" s="66"/>
      <c r="O208" s="66"/>
      <c r="P208" s="66"/>
      <c r="Q208" s="23"/>
      <c r="AB208" s="23"/>
      <c r="AC208" s="23"/>
      <c r="AD208" s="23"/>
      <c r="AE208" s="7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71"/>
      <c r="AV208" s="10"/>
      <c r="AW208" s="23"/>
      <c r="BB208" s="66"/>
      <c r="BC208" s="66"/>
      <c r="BD208" s="66"/>
      <c r="BE208" s="66"/>
      <c r="BF208" s="66"/>
      <c r="BG208" s="66"/>
      <c r="BH208" s="66"/>
      <c r="BI208" s="66"/>
      <c r="BJ208" s="66"/>
      <c r="BK208" s="66"/>
      <c r="BL208" s="66"/>
      <c r="BM208" s="66"/>
      <c r="BN208" s="66"/>
      <c r="BO208" s="66"/>
      <c r="BP208" s="66"/>
      <c r="BQ208" s="66"/>
      <c r="BR208" s="66"/>
      <c r="BS208" s="66"/>
      <c r="BT208" s="66"/>
      <c r="BU208" s="66"/>
      <c r="BV208" s="66"/>
      <c r="BW208" s="66"/>
    </row>
    <row r="209" spans="1:75" ht="15.75" customHeight="1">
      <c r="A209" s="65"/>
      <c r="B209" s="66"/>
      <c r="C209" s="66"/>
      <c r="D209" s="66"/>
      <c r="E209" s="66"/>
      <c r="F209" s="65"/>
      <c r="G209" s="65"/>
      <c r="H209" s="66"/>
      <c r="I209" s="66"/>
      <c r="J209" s="66"/>
      <c r="K209" s="66"/>
      <c r="L209" s="66"/>
      <c r="M209" s="66"/>
      <c r="N209" s="66"/>
      <c r="O209" s="66"/>
      <c r="P209" s="66"/>
      <c r="Q209" s="23"/>
      <c r="AB209" s="23"/>
      <c r="AC209" s="23"/>
      <c r="AD209" s="23"/>
      <c r="AE209" s="7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71"/>
      <c r="AV209" s="10"/>
      <c r="AW209" s="23"/>
      <c r="BB209" s="66"/>
      <c r="BC209" s="66"/>
      <c r="BD209" s="66"/>
      <c r="BE209" s="66"/>
      <c r="BF209" s="66"/>
      <c r="BG209" s="66"/>
      <c r="BH209" s="66"/>
      <c r="BI209" s="66"/>
      <c r="BJ209" s="66"/>
      <c r="BK209" s="66"/>
      <c r="BL209" s="66"/>
      <c r="BM209" s="66"/>
      <c r="BN209" s="66"/>
      <c r="BO209" s="66"/>
      <c r="BP209" s="66"/>
      <c r="BQ209" s="66"/>
      <c r="BR209" s="66"/>
      <c r="BS209" s="66"/>
      <c r="BT209" s="66"/>
      <c r="BU209" s="66"/>
      <c r="BV209" s="66"/>
      <c r="BW209" s="66"/>
    </row>
    <row r="210" spans="1:75" ht="15.75" customHeight="1">
      <c r="A210" s="65"/>
      <c r="B210" s="66"/>
      <c r="C210" s="66"/>
      <c r="D210" s="66"/>
      <c r="E210" s="66"/>
      <c r="F210" s="65"/>
      <c r="G210" s="65"/>
      <c r="H210" s="66"/>
      <c r="I210" s="66"/>
      <c r="J210" s="66"/>
      <c r="K210" s="66"/>
      <c r="L210" s="66"/>
      <c r="M210" s="66"/>
      <c r="N210" s="66"/>
      <c r="O210" s="66"/>
      <c r="P210" s="66"/>
      <c r="Q210" s="23"/>
      <c r="AB210" s="23"/>
      <c r="AC210" s="23"/>
      <c r="AD210" s="23"/>
      <c r="AE210" s="7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71"/>
      <c r="AV210" s="10"/>
      <c r="AW210" s="23"/>
      <c r="BB210" s="66"/>
      <c r="BC210" s="66"/>
      <c r="BD210" s="66"/>
      <c r="BE210" s="66"/>
      <c r="BF210" s="66"/>
      <c r="BG210" s="66"/>
      <c r="BH210" s="66"/>
      <c r="BI210" s="66"/>
      <c r="BJ210" s="66"/>
      <c r="BK210" s="66"/>
      <c r="BL210" s="66"/>
      <c r="BM210" s="66"/>
      <c r="BN210" s="66"/>
      <c r="BO210" s="66"/>
      <c r="BP210" s="66"/>
      <c r="BQ210" s="66"/>
      <c r="BR210" s="66"/>
      <c r="BS210" s="66"/>
      <c r="BT210" s="66"/>
      <c r="BU210" s="66"/>
      <c r="BV210" s="66"/>
      <c r="BW210" s="66"/>
    </row>
    <row r="211" spans="1:75" ht="15.75" customHeight="1">
      <c r="A211" s="65"/>
      <c r="B211" s="66"/>
      <c r="C211" s="66"/>
      <c r="D211" s="66"/>
      <c r="E211" s="66"/>
      <c r="F211" s="65"/>
      <c r="G211" s="65"/>
      <c r="H211" s="66"/>
      <c r="I211" s="66"/>
      <c r="J211" s="66"/>
      <c r="K211" s="66"/>
      <c r="L211" s="66"/>
      <c r="M211" s="66"/>
      <c r="N211" s="66"/>
      <c r="O211" s="66"/>
      <c r="P211" s="66"/>
      <c r="Q211" s="23"/>
      <c r="AB211" s="23"/>
      <c r="AC211" s="23"/>
      <c r="AD211" s="23"/>
      <c r="AE211" s="7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71"/>
      <c r="AV211" s="10"/>
      <c r="AW211" s="23"/>
      <c r="BB211" s="66"/>
      <c r="BC211" s="66"/>
      <c r="BD211" s="66"/>
      <c r="BE211" s="66"/>
      <c r="BF211" s="66"/>
      <c r="BG211" s="66"/>
      <c r="BH211" s="66"/>
      <c r="BI211" s="66"/>
      <c r="BJ211" s="66"/>
      <c r="BK211" s="66"/>
      <c r="BL211" s="66"/>
      <c r="BM211" s="66"/>
      <c r="BN211" s="66"/>
      <c r="BO211" s="66"/>
      <c r="BP211" s="66"/>
      <c r="BQ211" s="66"/>
      <c r="BR211" s="66"/>
      <c r="BS211" s="66"/>
      <c r="BT211" s="66"/>
      <c r="BU211" s="66"/>
      <c r="BV211" s="66"/>
      <c r="BW211" s="66"/>
    </row>
    <row r="212" spans="1:75" ht="15.75" customHeight="1">
      <c r="A212" s="65"/>
      <c r="B212" s="66"/>
      <c r="C212" s="66"/>
      <c r="D212" s="66"/>
      <c r="E212" s="66"/>
      <c r="F212" s="65"/>
      <c r="G212" s="65"/>
      <c r="H212" s="66"/>
      <c r="I212" s="66"/>
      <c r="J212" s="66"/>
      <c r="K212" s="66"/>
      <c r="L212" s="66"/>
      <c r="M212" s="66"/>
      <c r="N212" s="66"/>
      <c r="O212" s="66"/>
      <c r="P212" s="66"/>
      <c r="Q212" s="23"/>
      <c r="AB212" s="23"/>
      <c r="AC212" s="23"/>
      <c r="AD212" s="23"/>
      <c r="AE212" s="7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71"/>
      <c r="AV212" s="10"/>
      <c r="AW212" s="23"/>
      <c r="BB212" s="66"/>
      <c r="BC212" s="66"/>
      <c r="BD212" s="66"/>
      <c r="BE212" s="66"/>
      <c r="BF212" s="66"/>
      <c r="BG212" s="66"/>
      <c r="BH212" s="66"/>
      <c r="BI212" s="66"/>
      <c r="BJ212" s="66"/>
      <c r="BK212" s="66"/>
      <c r="BL212" s="66"/>
      <c r="BM212" s="66"/>
      <c r="BN212" s="66"/>
      <c r="BO212" s="66"/>
      <c r="BP212" s="66"/>
      <c r="BQ212" s="66"/>
      <c r="BR212" s="66"/>
      <c r="BS212" s="66"/>
      <c r="BT212" s="66"/>
      <c r="BU212" s="66"/>
      <c r="BV212" s="66"/>
      <c r="BW212" s="66"/>
    </row>
    <row r="213" spans="1:75" ht="15.75" customHeight="1">
      <c r="A213" s="65"/>
      <c r="B213" s="66"/>
      <c r="C213" s="66"/>
      <c r="D213" s="66"/>
      <c r="E213" s="66"/>
      <c r="F213" s="65"/>
      <c r="G213" s="65"/>
      <c r="H213" s="66"/>
      <c r="I213" s="66"/>
      <c r="J213" s="66"/>
      <c r="K213" s="66"/>
      <c r="L213" s="66"/>
      <c r="M213" s="66"/>
      <c r="N213" s="66"/>
      <c r="O213" s="66"/>
      <c r="P213" s="66"/>
      <c r="Q213" s="23"/>
      <c r="AB213" s="23"/>
      <c r="AC213" s="23"/>
      <c r="AD213" s="23"/>
      <c r="AE213" s="7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71"/>
      <c r="AV213" s="10"/>
      <c r="AW213" s="23"/>
      <c r="BB213" s="66"/>
      <c r="BC213" s="66"/>
      <c r="BD213" s="66"/>
      <c r="BE213" s="66"/>
      <c r="BF213" s="66"/>
      <c r="BG213" s="66"/>
      <c r="BH213" s="66"/>
      <c r="BI213" s="66"/>
      <c r="BJ213" s="66"/>
      <c r="BK213" s="66"/>
      <c r="BL213" s="66"/>
      <c r="BM213" s="66"/>
      <c r="BN213" s="66"/>
      <c r="BO213" s="66"/>
      <c r="BP213" s="66"/>
      <c r="BQ213" s="66"/>
      <c r="BR213" s="66"/>
      <c r="BS213" s="66"/>
      <c r="BT213" s="66"/>
      <c r="BU213" s="66"/>
      <c r="BV213" s="66"/>
      <c r="BW213" s="66"/>
    </row>
    <row r="214" spans="1:75" ht="15.75" customHeight="1">
      <c r="A214" s="65"/>
      <c r="B214" s="66"/>
      <c r="C214" s="66"/>
      <c r="D214" s="66"/>
      <c r="E214" s="66"/>
      <c r="F214" s="65"/>
      <c r="G214" s="65"/>
      <c r="H214" s="66"/>
      <c r="I214" s="66"/>
      <c r="J214" s="66"/>
      <c r="K214" s="66"/>
      <c r="L214" s="66"/>
      <c r="M214" s="66"/>
      <c r="N214" s="66"/>
      <c r="O214" s="66"/>
      <c r="P214" s="66"/>
      <c r="Q214" s="23"/>
      <c r="AB214" s="23"/>
      <c r="AC214" s="23"/>
      <c r="AD214" s="23"/>
      <c r="AE214" s="7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71"/>
      <c r="AV214" s="10"/>
      <c r="AW214" s="23"/>
      <c r="BB214" s="66"/>
      <c r="BC214" s="66"/>
      <c r="BD214" s="66"/>
      <c r="BE214" s="66"/>
      <c r="BF214" s="66"/>
      <c r="BG214" s="66"/>
      <c r="BH214" s="66"/>
      <c r="BI214" s="66"/>
      <c r="BJ214" s="66"/>
      <c r="BK214" s="66"/>
      <c r="BL214" s="66"/>
      <c r="BM214" s="66"/>
      <c r="BN214" s="66"/>
      <c r="BO214" s="66"/>
      <c r="BP214" s="66"/>
      <c r="BQ214" s="66"/>
      <c r="BR214" s="66"/>
      <c r="BS214" s="66"/>
      <c r="BT214" s="66"/>
      <c r="BU214" s="66"/>
      <c r="BV214" s="66"/>
      <c r="BW214" s="66"/>
    </row>
    <row r="215" spans="1:75" ht="15.75" customHeight="1">
      <c r="A215" s="65"/>
      <c r="B215" s="66"/>
      <c r="C215" s="66"/>
      <c r="D215" s="66"/>
      <c r="E215" s="66"/>
      <c r="F215" s="65"/>
      <c r="G215" s="65"/>
      <c r="H215" s="66"/>
      <c r="I215" s="66"/>
      <c r="J215" s="66"/>
      <c r="K215" s="66"/>
      <c r="L215" s="66"/>
      <c r="M215" s="66"/>
      <c r="N215" s="66"/>
      <c r="O215" s="66"/>
      <c r="P215" s="66"/>
      <c r="Q215" s="23"/>
      <c r="AB215" s="23"/>
      <c r="AC215" s="23"/>
      <c r="AD215" s="23"/>
      <c r="AE215" s="7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71"/>
      <c r="AV215" s="10"/>
      <c r="AW215" s="23"/>
      <c r="BB215" s="66"/>
      <c r="BC215" s="66"/>
      <c r="BD215" s="66"/>
      <c r="BE215" s="66"/>
      <c r="BF215" s="66"/>
      <c r="BG215" s="66"/>
      <c r="BH215" s="66"/>
      <c r="BI215" s="66"/>
      <c r="BJ215" s="66"/>
      <c r="BK215" s="66"/>
      <c r="BL215" s="66"/>
      <c r="BM215" s="66"/>
      <c r="BN215" s="66"/>
      <c r="BO215" s="66"/>
      <c r="BP215" s="66"/>
      <c r="BQ215" s="66"/>
      <c r="BR215" s="66"/>
      <c r="BS215" s="66"/>
      <c r="BT215" s="66"/>
      <c r="BU215" s="66"/>
      <c r="BV215" s="66"/>
      <c r="BW215" s="66"/>
    </row>
    <row r="216" spans="1:75" ht="15.75" customHeight="1">
      <c r="A216" s="65"/>
      <c r="B216" s="66"/>
      <c r="C216" s="66"/>
      <c r="D216" s="66"/>
      <c r="E216" s="66"/>
      <c r="F216" s="65"/>
      <c r="G216" s="65"/>
      <c r="H216" s="66"/>
      <c r="I216" s="66"/>
      <c r="J216" s="66"/>
      <c r="K216" s="66"/>
      <c r="L216" s="66"/>
      <c r="M216" s="66"/>
      <c r="N216" s="66"/>
      <c r="O216" s="66"/>
      <c r="P216" s="66"/>
      <c r="Q216" s="23"/>
      <c r="AB216" s="23"/>
      <c r="AC216" s="23"/>
      <c r="AD216" s="23"/>
      <c r="AE216" s="7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71"/>
      <c r="AV216" s="10"/>
      <c r="AW216" s="23"/>
      <c r="BB216" s="66"/>
      <c r="BC216" s="66"/>
      <c r="BD216" s="66"/>
      <c r="BE216" s="66"/>
      <c r="BF216" s="66"/>
      <c r="BG216" s="66"/>
      <c r="BH216" s="66"/>
      <c r="BI216" s="66"/>
      <c r="BJ216" s="66"/>
      <c r="BK216" s="66"/>
      <c r="BL216" s="66"/>
      <c r="BM216" s="66"/>
      <c r="BN216" s="66"/>
      <c r="BO216" s="66"/>
      <c r="BP216" s="66"/>
      <c r="BQ216" s="66"/>
      <c r="BR216" s="66"/>
      <c r="BS216" s="66"/>
      <c r="BT216" s="66"/>
      <c r="BU216" s="66"/>
      <c r="BV216" s="66"/>
      <c r="BW216" s="66"/>
    </row>
    <row r="217" spans="1:75" ht="15.75" customHeight="1">
      <c r="A217" s="65"/>
      <c r="B217" s="66"/>
      <c r="C217" s="66"/>
      <c r="D217" s="66"/>
      <c r="E217" s="66"/>
      <c r="F217" s="65"/>
      <c r="G217" s="65"/>
      <c r="H217" s="66"/>
      <c r="I217" s="66"/>
      <c r="J217" s="66"/>
      <c r="K217" s="66"/>
      <c r="L217" s="66"/>
      <c r="M217" s="66"/>
      <c r="N217" s="66"/>
      <c r="O217" s="66"/>
      <c r="P217" s="66"/>
      <c r="Q217" s="23"/>
      <c r="AB217" s="23"/>
      <c r="AC217" s="23"/>
      <c r="AD217" s="23"/>
      <c r="AE217" s="7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71"/>
      <c r="AV217" s="10"/>
      <c r="AW217" s="23"/>
      <c r="BB217" s="66"/>
      <c r="BC217" s="66"/>
      <c r="BD217" s="66"/>
      <c r="BE217" s="66"/>
      <c r="BF217" s="66"/>
      <c r="BG217" s="66"/>
      <c r="BH217" s="66"/>
      <c r="BI217" s="66"/>
      <c r="BJ217" s="66"/>
      <c r="BK217" s="66"/>
      <c r="BL217" s="66"/>
      <c r="BM217" s="66"/>
      <c r="BN217" s="66"/>
      <c r="BO217" s="66"/>
      <c r="BP217" s="66"/>
      <c r="BQ217" s="66"/>
      <c r="BR217" s="66"/>
      <c r="BS217" s="66"/>
      <c r="BT217" s="66"/>
      <c r="BU217" s="66"/>
      <c r="BV217" s="66"/>
      <c r="BW217" s="66"/>
    </row>
    <row r="218" spans="1:75" ht="15.75" customHeight="1">
      <c r="A218" s="65"/>
      <c r="B218" s="66"/>
      <c r="C218" s="66"/>
      <c r="D218" s="66"/>
      <c r="E218" s="66"/>
      <c r="F218" s="65"/>
      <c r="G218" s="65"/>
      <c r="H218" s="66"/>
      <c r="I218" s="66"/>
      <c r="J218" s="66"/>
      <c r="K218" s="66"/>
      <c r="L218" s="66"/>
      <c r="M218" s="66"/>
      <c r="N218" s="66"/>
      <c r="O218" s="66"/>
      <c r="P218" s="66"/>
      <c r="Q218" s="23"/>
      <c r="AB218" s="23"/>
      <c r="AC218" s="23"/>
      <c r="AD218" s="23"/>
      <c r="AE218" s="7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71"/>
      <c r="AV218" s="10"/>
      <c r="AW218" s="23"/>
      <c r="BB218" s="66"/>
      <c r="BC218" s="66"/>
      <c r="BD218" s="66"/>
      <c r="BE218" s="66"/>
      <c r="BF218" s="66"/>
      <c r="BG218" s="66"/>
      <c r="BH218" s="66"/>
      <c r="BI218" s="66"/>
      <c r="BJ218" s="66"/>
      <c r="BK218" s="66"/>
      <c r="BL218" s="66"/>
      <c r="BM218" s="66"/>
      <c r="BN218" s="66"/>
      <c r="BO218" s="66"/>
      <c r="BP218" s="66"/>
      <c r="BQ218" s="66"/>
      <c r="BR218" s="66"/>
      <c r="BS218" s="66"/>
      <c r="BT218" s="66"/>
      <c r="BU218" s="66"/>
      <c r="BV218" s="66"/>
      <c r="BW218" s="66"/>
    </row>
    <row r="219" spans="1:75" ht="15.75" customHeight="1">
      <c r="A219" s="65"/>
      <c r="B219" s="66"/>
      <c r="C219" s="66"/>
      <c r="D219" s="66"/>
      <c r="E219" s="66"/>
      <c r="F219" s="65"/>
      <c r="G219" s="65"/>
      <c r="H219" s="66"/>
      <c r="I219" s="66"/>
      <c r="J219" s="66"/>
      <c r="K219" s="66"/>
      <c r="L219" s="66"/>
      <c r="M219" s="66"/>
      <c r="N219" s="66"/>
      <c r="O219" s="66"/>
      <c r="P219" s="66"/>
      <c r="Q219" s="23"/>
      <c r="AB219" s="23"/>
      <c r="AC219" s="23"/>
      <c r="AD219" s="23"/>
      <c r="AE219" s="7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71"/>
      <c r="AV219" s="10"/>
      <c r="AW219" s="23"/>
      <c r="BB219" s="66"/>
      <c r="BC219" s="66"/>
      <c r="BD219" s="66"/>
      <c r="BE219" s="66"/>
      <c r="BF219" s="66"/>
      <c r="BG219" s="66"/>
      <c r="BH219" s="66"/>
      <c r="BI219" s="66"/>
      <c r="BJ219" s="66"/>
      <c r="BK219" s="66"/>
      <c r="BL219" s="66"/>
      <c r="BM219" s="66"/>
      <c r="BN219" s="66"/>
      <c r="BO219" s="66"/>
      <c r="BP219" s="66"/>
      <c r="BQ219" s="66"/>
      <c r="BR219" s="66"/>
      <c r="BS219" s="66"/>
      <c r="BT219" s="66"/>
      <c r="BU219" s="66"/>
      <c r="BV219" s="66"/>
      <c r="BW219" s="66"/>
    </row>
    <row r="220" spans="1:75" ht="15.75" customHeight="1">
      <c r="A220" s="65"/>
      <c r="B220" s="66"/>
      <c r="C220" s="66"/>
      <c r="D220" s="66"/>
      <c r="E220" s="66"/>
      <c r="F220" s="65"/>
      <c r="G220" s="65"/>
      <c r="H220" s="66"/>
      <c r="I220" s="66"/>
      <c r="J220" s="66"/>
      <c r="K220" s="66"/>
      <c r="L220" s="66"/>
      <c r="M220" s="66"/>
      <c r="N220" s="66"/>
      <c r="O220" s="66"/>
      <c r="P220" s="66"/>
      <c r="Q220" s="23"/>
      <c r="AB220" s="23"/>
      <c r="AC220" s="23"/>
      <c r="AD220" s="23"/>
      <c r="AE220" s="7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71"/>
      <c r="AV220" s="10"/>
      <c r="AW220" s="23"/>
      <c r="BB220" s="66"/>
      <c r="BC220" s="66"/>
      <c r="BD220" s="66"/>
      <c r="BE220" s="66"/>
      <c r="BF220" s="66"/>
      <c r="BG220" s="66"/>
      <c r="BH220" s="66"/>
      <c r="BI220" s="66"/>
      <c r="BJ220" s="66"/>
      <c r="BK220" s="66"/>
      <c r="BL220" s="66"/>
      <c r="BM220" s="66"/>
      <c r="BN220" s="66"/>
      <c r="BO220" s="66"/>
      <c r="BP220" s="66"/>
      <c r="BQ220" s="66"/>
      <c r="BR220" s="66"/>
      <c r="BS220" s="66"/>
      <c r="BT220" s="66"/>
      <c r="BU220" s="66"/>
      <c r="BV220" s="66"/>
      <c r="BW220" s="66"/>
    </row>
    <row r="221" spans="1:75" ht="15.75" customHeight="1">
      <c r="A221" s="65"/>
      <c r="B221" s="66"/>
      <c r="C221" s="66"/>
      <c r="D221" s="66"/>
      <c r="E221" s="66"/>
      <c r="F221" s="65"/>
      <c r="G221" s="65"/>
      <c r="H221" s="66"/>
      <c r="I221" s="66"/>
      <c r="J221" s="66"/>
      <c r="K221" s="66"/>
      <c r="L221" s="66"/>
      <c r="M221" s="66"/>
      <c r="N221" s="66"/>
      <c r="O221" s="66"/>
      <c r="P221" s="66"/>
      <c r="Q221" s="23"/>
      <c r="AB221" s="23"/>
      <c r="AC221" s="23"/>
      <c r="AD221" s="23"/>
      <c r="AE221" s="7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71"/>
      <c r="AV221" s="10"/>
      <c r="AW221" s="23"/>
      <c r="BB221" s="66"/>
      <c r="BC221" s="66"/>
      <c r="BD221" s="66"/>
      <c r="BE221" s="66"/>
      <c r="BF221" s="66"/>
      <c r="BG221" s="66"/>
      <c r="BH221" s="66"/>
      <c r="BI221" s="66"/>
      <c r="BJ221" s="66"/>
      <c r="BK221" s="66"/>
      <c r="BL221" s="66"/>
      <c r="BM221" s="66"/>
      <c r="BN221" s="66"/>
      <c r="BO221" s="66"/>
      <c r="BP221" s="66"/>
      <c r="BQ221" s="66"/>
      <c r="BR221" s="66"/>
      <c r="BS221" s="66"/>
      <c r="BT221" s="66"/>
      <c r="BU221" s="66"/>
      <c r="BV221" s="66"/>
      <c r="BW221" s="66"/>
    </row>
    <row r="222" spans="1:75" ht="15.75" customHeight="1">
      <c r="A222" s="65"/>
      <c r="B222" s="66"/>
      <c r="C222" s="66"/>
      <c r="D222" s="66"/>
      <c r="E222" s="66"/>
      <c r="F222" s="65"/>
      <c r="G222" s="65"/>
      <c r="H222" s="66"/>
      <c r="I222" s="66"/>
      <c r="J222" s="66"/>
      <c r="K222" s="66"/>
      <c r="L222" s="66"/>
      <c r="M222" s="66"/>
      <c r="N222" s="66"/>
      <c r="O222" s="66"/>
      <c r="P222" s="66"/>
      <c r="Q222" s="23"/>
      <c r="AB222" s="23"/>
      <c r="AC222" s="23"/>
      <c r="AD222" s="23"/>
      <c r="AE222" s="7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71"/>
      <c r="AV222" s="10"/>
      <c r="AW222" s="23"/>
      <c r="BB222" s="66"/>
      <c r="BC222" s="66"/>
      <c r="BD222" s="66"/>
      <c r="BE222" s="66"/>
      <c r="BF222" s="66"/>
      <c r="BG222" s="66"/>
      <c r="BH222" s="66"/>
      <c r="BI222" s="66"/>
      <c r="BJ222" s="66"/>
      <c r="BK222" s="66"/>
      <c r="BL222" s="66"/>
      <c r="BM222" s="66"/>
      <c r="BN222" s="66"/>
      <c r="BO222" s="66"/>
      <c r="BP222" s="66"/>
      <c r="BQ222" s="66"/>
      <c r="BR222" s="66"/>
      <c r="BS222" s="66"/>
      <c r="BT222" s="66"/>
      <c r="BU222" s="66"/>
      <c r="BV222" s="66"/>
      <c r="BW222" s="66"/>
    </row>
    <row r="223" spans="1:75" ht="15.75" customHeight="1">
      <c r="A223" s="65"/>
      <c r="B223" s="66"/>
      <c r="C223" s="66"/>
      <c r="D223" s="66"/>
      <c r="E223" s="66"/>
      <c r="F223" s="65"/>
      <c r="G223" s="65"/>
      <c r="H223" s="66"/>
      <c r="I223" s="66"/>
      <c r="J223" s="66"/>
      <c r="K223" s="66"/>
      <c r="L223" s="66"/>
      <c r="M223" s="66"/>
      <c r="N223" s="66"/>
      <c r="O223" s="66"/>
      <c r="P223" s="66"/>
      <c r="Q223" s="23"/>
      <c r="AB223" s="23"/>
      <c r="AC223" s="23"/>
      <c r="AD223" s="23"/>
      <c r="AE223" s="7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71"/>
      <c r="AV223" s="10"/>
      <c r="AW223" s="23"/>
      <c r="BB223" s="66"/>
      <c r="BC223" s="66"/>
      <c r="BD223" s="66"/>
      <c r="BE223" s="66"/>
      <c r="BF223" s="66"/>
      <c r="BG223" s="66"/>
      <c r="BH223" s="66"/>
      <c r="BI223" s="66"/>
      <c r="BJ223" s="66"/>
      <c r="BK223" s="66"/>
      <c r="BL223" s="66"/>
      <c r="BM223" s="66"/>
      <c r="BN223" s="66"/>
      <c r="BO223" s="66"/>
      <c r="BP223" s="66"/>
      <c r="BQ223" s="66"/>
      <c r="BR223" s="66"/>
      <c r="BS223" s="66"/>
      <c r="BT223" s="66"/>
      <c r="BU223" s="66"/>
      <c r="BV223" s="66"/>
      <c r="BW223" s="66"/>
    </row>
    <row r="224" spans="1:75" ht="15.75" customHeight="1">
      <c r="A224" s="65"/>
      <c r="B224" s="66"/>
      <c r="C224" s="66"/>
      <c r="D224" s="66"/>
      <c r="E224" s="66"/>
      <c r="F224" s="65"/>
      <c r="G224" s="65"/>
      <c r="H224" s="66"/>
      <c r="I224" s="66"/>
      <c r="J224" s="66"/>
      <c r="K224" s="66"/>
      <c r="L224" s="66"/>
      <c r="M224" s="66"/>
      <c r="N224" s="66"/>
      <c r="O224" s="66"/>
      <c r="P224" s="66"/>
      <c r="Q224" s="23"/>
      <c r="AB224" s="23"/>
      <c r="AC224" s="23"/>
      <c r="AD224" s="23"/>
      <c r="AE224" s="7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71"/>
      <c r="AV224" s="10"/>
      <c r="AW224" s="23"/>
      <c r="BB224" s="66"/>
      <c r="BC224" s="66"/>
      <c r="BD224" s="66"/>
      <c r="BE224" s="66"/>
      <c r="BF224" s="66"/>
      <c r="BG224" s="66"/>
      <c r="BH224" s="66"/>
      <c r="BI224" s="66"/>
      <c r="BJ224" s="66"/>
      <c r="BK224" s="66"/>
      <c r="BL224" s="66"/>
      <c r="BM224" s="66"/>
      <c r="BN224" s="66"/>
      <c r="BO224" s="66"/>
      <c r="BP224" s="66"/>
      <c r="BQ224" s="66"/>
      <c r="BR224" s="66"/>
      <c r="BS224" s="66"/>
      <c r="BT224" s="66"/>
      <c r="BU224" s="66"/>
      <c r="BV224" s="66"/>
      <c r="BW224" s="66"/>
    </row>
    <row r="225" spans="1:75" ht="15.75" customHeight="1">
      <c r="A225" s="65"/>
      <c r="B225" s="66"/>
      <c r="C225" s="66"/>
      <c r="D225" s="66"/>
      <c r="E225" s="66"/>
      <c r="F225" s="65"/>
      <c r="G225" s="65"/>
      <c r="H225" s="66"/>
      <c r="I225" s="66"/>
      <c r="J225" s="66"/>
      <c r="K225" s="66"/>
      <c r="L225" s="66"/>
      <c r="M225" s="66"/>
      <c r="N225" s="66"/>
      <c r="O225" s="66"/>
      <c r="P225" s="66"/>
      <c r="Q225" s="23"/>
      <c r="AB225" s="23"/>
      <c r="AC225" s="23"/>
      <c r="AD225" s="23"/>
      <c r="AE225" s="7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71"/>
      <c r="AV225" s="10"/>
      <c r="AW225" s="23"/>
      <c r="BB225" s="66"/>
      <c r="BC225" s="66"/>
      <c r="BD225" s="66"/>
      <c r="BE225" s="66"/>
      <c r="BF225" s="66"/>
      <c r="BG225" s="66"/>
      <c r="BH225" s="66"/>
      <c r="BI225" s="66"/>
      <c r="BJ225" s="66"/>
      <c r="BK225" s="66"/>
      <c r="BL225" s="66"/>
      <c r="BM225" s="66"/>
      <c r="BN225" s="66"/>
      <c r="BO225" s="66"/>
      <c r="BP225" s="66"/>
      <c r="BQ225" s="66"/>
      <c r="BR225" s="66"/>
      <c r="BS225" s="66"/>
      <c r="BT225" s="66"/>
      <c r="BU225" s="66"/>
      <c r="BV225" s="66"/>
      <c r="BW225" s="66"/>
    </row>
    <row r="226" spans="1:75" ht="15.75" customHeight="1">
      <c r="A226" s="65"/>
      <c r="B226" s="66"/>
      <c r="C226" s="66"/>
      <c r="D226" s="66"/>
      <c r="E226" s="66"/>
      <c r="F226" s="65"/>
      <c r="G226" s="65"/>
      <c r="H226" s="66"/>
      <c r="I226" s="66"/>
      <c r="J226" s="66"/>
      <c r="K226" s="66"/>
      <c r="L226" s="66"/>
      <c r="M226" s="66"/>
      <c r="N226" s="66"/>
      <c r="O226" s="66"/>
      <c r="P226" s="66"/>
      <c r="Q226" s="23"/>
      <c r="AB226" s="23"/>
      <c r="AC226" s="23"/>
      <c r="AD226" s="23"/>
      <c r="AE226" s="7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71"/>
      <c r="AV226" s="10"/>
      <c r="AW226" s="23"/>
      <c r="BB226" s="66"/>
      <c r="BC226" s="66"/>
      <c r="BD226" s="66"/>
      <c r="BE226" s="66"/>
      <c r="BF226" s="66"/>
      <c r="BG226" s="66"/>
      <c r="BH226" s="66"/>
      <c r="BI226" s="66"/>
      <c r="BJ226" s="66"/>
      <c r="BK226" s="66"/>
      <c r="BL226" s="66"/>
      <c r="BM226" s="66"/>
      <c r="BN226" s="66"/>
      <c r="BO226" s="66"/>
      <c r="BP226" s="66"/>
      <c r="BQ226" s="66"/>
      <c r="BR226" s="66"/>
      <c r="BS226" s="66"/>
      <c r="BT226" s="66"/>
      <c r="BU226" s="66"/>
      <c r="BV226" s="66"/>
      <c r="BW226" s="66"/>
    </row>
    <row r="227" spans="1:75" ht="15.75" customHeight="1">
      <c r="A227" s="65"/>
      <c r="B227" s="66"/>
      <c r="C227" s="66"/>
      <c r="D227" s="66"/>
      <c r="E227" s="66"/>
      <c r="F227" s="65"/>
      <c r="G227" s="65"/>
      <c r="H227" s="66"/>
      <c r="I227" s="66"/>
      <c r="J227" s="66"/>
      <c r="K227" s="66"/>
      <c r="L227" s="66"/>
      <c r="M227" s="66"/>
      <c r="N227" s="66"/>
      <c r="O227" s="66"/>
      <c r="P227" s="66"/>
      <c r="Q227" s="23"/>
      <c r="AB227" s="23"/>
      <c r="AC227" s="23"/>
      <c r="AD227" s="23"/>
      <c r="AE227" s="7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71"/>
      <c r="AV227" s="10"/>
      <c r="AW227" s="23"/>
      <c r="BB227" s="66"/>
      <c r="BC227" s="66"/>
      <c r="BD227" s="66"/>
      <c r="BE227" s="66"/>
      <c r="BF227" s="66"/>
      <c r="BG227" s="66"/>
      <c r="BH227" s="66"/>
      <c r="BI227" s="66"/>
      <c r="BJ227" s="66"/>
      <c r="BK227" s="66"/>
      <c r="BL227" s="66"/>
      <c r="BM227" s="66"/>
      <c r="BN227" s="66"/>
      <c r="BO227" s="66"/>
      <c r="BP227" s="66"/>
      <c r="BQ227" s="66"/>
      <c r="BR227" s="66"/>
      <c r="BS227" s="66"/>
      <c r="BT227" s="66"/>
      <c r="BU227" s="66"/>
      <c r="BV227" s="66"/>
      <c r="BW227" s="66"/>
    </row>
    <row r="228" spans="1:75" ht="15.75" customHeight="1">
      <c r="A228" s="65"/>
      <c r="B228" s="66"/>
      <c r="C228" s="66"/>
      <c r="D228" s="66"/>
      <c r="E228" s="66"/>
      <c r="F228" s="65"/>
      <c r="G228" s="65"/>
      <c r="H228" s="66"/>
      <c r="I228" s="66"/>
      <c r="J228" s="66"/>
      <c r="K228" s="66"/>
      <c r="L228" s="66"/>
      <c r="M228" s="66"/>
      <c r="N228" s="66"/>
      <c r="O228" s="66"/>
      <c r="P228" s="66"/>
      <c r="Q228" s="23"/>
      <c r="AB228" s="23"/>
      <c r="AC228" s="23"/>
      <c r="AD228" s="23"/>
      <c r="AE228" s="7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71"/>
      <c r="AV228" s="10"/>
      <c r="AW228" s="23"/>
      <c r="BB228" s="66"/>
      <c r="BC228" s="66"/>
      <c r="BD228" s="66"/>
      <c r="BE228" s="66"/>
      <c r="BF228" s="66"/>
      <c r="BG228" s="66"/>
      <c r="BH228" s="66"/>
      <c r="BI228" s="66"/>
      <c r="BJ228" s="66"/>
      <c r="BK228" s="66"/>
      <c r="BL228" s="66"/>
      <c r="BM228" s="66"/>
      <c r="BN228" s="66"/>
      <c r="BO228" s="66"/>
      <c r="BP228" s="66"/>
      <c r="BQ228" s="66"/>
      <c r="BR228" s="66"/>
      <c r="BS228" s="66"/>
      <c r="BT228" s="66"/>
      <c r="BU228" s="66"/>
      <c r="BV228" s="66"/>
      <c r="BW228" s="66"/>
    </row>
    <row r="229" spans="1:75" ht="15.75" customHeight="1">
      <c r="A229" s="65"/>
      <c r="B229" s="66"/>
      <c r="C229" s="66"/>
      <c r="D229" s="66"/>
      <c r="E229" s="66"/>
      <c r="F229" s="65"/>
      <c r="G229" s="65"/>
      <c r="H229" s="66"/>
      <c r="I229" s="66"/>
      <c r="J229" s="66"/>
      <c r="K229" s="66"/>
      <c r="L229" s="66"/>
      <c r="M229" s="66"/>
      <c r="N229" s="66"/>
      <c r="O229" s="66"/>
      <c r="P229" s="66"/>
      <c r="Q229" s="23"/>
      <c r="AB229" s="23"/>
      <c r="AC229" s="23"/>
      <c r="AD229" s="23"/>
      <c r="AE229" s="7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71"/>
      <c r="AV229" s="10"/>
      <c r="AW229" s="23"/>
      <c r="BB229" s="66"/>
      <c r="BC229" s="66"/>
      <c r="BD229" s="66"/>
      <c r="BE229" s="66"/>
      <c r="BF229" s="66"/>
      <c r="BG229" s="66"/>
      <c r="BH229" s="66"/>
      <c r="BI229" s="66"/>
      <c r="BJ229" s="66"/>
      <c r="BK229" s="66"/>
      <c r="BL229" s="66"/>
      <c r="BM229" s="66"/>
      <c r="BN229" s="66"/>
      <c r="BO229" s="66"/>
      <c r="BP229" s="66"/>
      <c r="BQ229" s="66"/>
      <c r="BR229" s="66"/>
      <c r="BS229" s="66"/>
      <c r="BT229" s="66"/>
      <c r="BU229" s="66"/>
      <c r="BV229" s="66"/>
      <c r="BW229" s="66"/>
    </row>
    <row r="230" spans="1:75" ht="15.75" customHeight="1">
      <c r="A230" s="65"/>
      <c r="B230" s="66"/>
      <c r="C230" s="66"/>
      <c r="D230" s="66"/>
      <c r="E230" s="66"/>
      <c r="F230" s="65"/>
      <c r="G230" s="65"/>
      <c r="H230" s="66"/>
      <c r="I230" s="66"/>
      <c r="J230" s="66"/>
      <c r="K230" s="66"/>
      <c r="L230" s="66"/>
      <c r="M230" s="66"/>
      <c r="N230" s="66"/>
      <c r="O230" s="66"/>
      <c r="P230" s="66"/>
      <c r="Q230" s="23"/>
      <c r="AB230" s="23"/>
      <c r="AC230" s="23"/>
      <c r="AD230" s="23"/>
      <c r="AE230" s="7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71"/>
      <c r="AV230" s="10"/>
      <c r="AW230" s="23"/>
      <c r="BB230" s="66"/>
      <c r="BC230" s="66"/>
      <c r="BD230" s="66"/>
      <c r="BE230" s="66"/>
      <c r="BF230" s="66"/>
      <c r="BG230" s="66"/>
      <c r="BH230" s="66"/>
      <c r="BI230" s="66"/>
      <c r="BJ230" s="66"/>
      <c r="BK230" s="66"/>
      <c r="BL230" s="66"/>
      <c r="BM230" s="66"/>
      <c r="BN230" s="66"/>
      <c r="BO230" s="66"/>
      <c r="BP230" s="66"/>
      <c r="BQ230" s="66"/>
      <c r="BR230" s="66"/>
      <c r="BS230" s="66"/>
      <c r="BT230" s="66"/>
      <c r="BU230" s="66"/>
      <c r="BV230" s="66"/>
      <c r="BW230" s="66"/>
    </row>
    <row r="231" spans="1:75" ht="15.75" customHeight="1">
      <c r="A231" s="65"/>
      <c r="B231" s="66"/>
      <c r="C231" s="66"/>
      <c r="D231" s="66"/>
      <c r="E231" s="66"/>
      <c r="F231" s="65"/>
      <c r="G231" s="65"/>
      <c r="H231" s="66"/>
      <c r="I231" s="66"/>
      <c r="J231" s="66"/>
      <c r="K231" s="66"/>
      <c r="L231" s="66"/>
      <c r="M231" s="66"/>
      <c r="N231" s="66"/>
      <c r="O231" s="66"/>
      <c r="P231" s="66"/>
      <c r="Q231" s="23"/>
      <c r="AB231" s="23"/>
      <c r="AC231" s="23"/>
      <c r="AD231" s="23"/>
      <c r="AE231" s="7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71"/>
      <c r="AV231" s="10"/>
      <c r="AW231" s="23"/>
      <c r="BB231" s="66"/>
      <c r="BC231" s="66"/>
      <c r="BD231" s="66"/>
      <c r="BE231" s="66"/>
      <c r="BF231" s="66"/>
      <c r="BG231" s="66"/>
      <c r="BH231" s="66"/>
      <c r="BI231" s="66"/>
      <c r="BJ231" s="66"/>
      <c r="BK231" s="66"/>
      <c r="BL231" s="66"/>
      <c r="BM231" s="66"/>
      <c r="BN231" s="66"/>
      <c r="BO231" s="66"/>
      <c r="BP231" s="66"/>
      <c r="BQ231" s="66"/>
      <c r="BR231" s="66"/>
      <c r="BS231" s="66"/>
      <c r="BT231" s="66"/>
      <c r="BU231" s="66"/>
      <c r="BV231" s="66"/>
      <c r="BW231" s="66"/>
    </row>
    <row r="232" spans="1:75" ht="15.75" customHeight="1">
      <c r="A232" s="65"/>
      <c r="B232" s="66"/>
      <c r="C232" s="66"/>
      <c r="D232" s="66"/>
      <c r="E232" s="66"/>
      <c r="F232" s="65"/>
      <c r="G232" s="65"/>
      <c r="H232" s="66"/>
      <c r="I232" s="66"/>
      <c r="J232" s="66"/>
      <c r="K232" s="66"/>
      <c r="L232" s="66"/>
      <c r="M232" s="66"/>
      <c r="N232" s="66"/>
      <c r="O232" s="66"/>
      <c r="P232" s="66"/>
      <c r="Q232" s="23"/>
      <c r="AB232" s="23"/>
      <c r="AC232" s="23"/>
      <c r="AD232" s="23"/>
      <c r="AE232" s="7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71"/>
      <c r="AV232" s="10"/>
      <c r="AW232" s="23"/>
      <c r="BB232" s="66"/>
      <c r="BC232" s="66"/>
      <c r="BD232" s="66"/>
      <c r="BE232" s="66"/>
      <c r="BF232" s="66"/>
      <c r="BG232" s="66"/>
      <c r="BH232" s="66"/>
      <c r="BI232" s="66"/>
      <c r="BJ232" s="66"/>
      <c r="BK232" s="66"/>
      <c r="BL232" s="66"/>
      <c r="BM232" s="66"/>
      <c r="BN232" s="66"/>
      <c r="BO232" s="66"/>
      <c r="BP232" s="66"/>
      <c r="BQ232" s="66"/>
      <c r="BR232" s="66"/>
      <c r="BS232" s="66"/>
      <c r="BT232" s="66"/>
      <c r="BU232" s="66"/>
      <c r="BV232" s="66"/>
      <c r="BW232" s="66"/>
    </row>
    <row r="233" spans="1:75" ht="15.75" customHeight="1">
      <c r="A233" s="65"/>
      <c r="B233" s="66"/>
      <c r="C233" s="66"/>
      <c r="D233" s="66"/>
      <c r="E233" s="66"/>
      <c r="F233" s="65"/>
      <c r="G233" s="65"/>
      <c r="H233" s="66"/>
      <c r="I233" s="66"/>
      <c r="J233" s="66"/>
      <c r="K233" s="66"/>
      <c r="L233" s="66"/>
      <c r="M233" s="66"/>
      <c r="N233" s="66"/>
      <c r="O233" s="66"/>
      <c r="P233" s="66"/>
      <c r="Q233" s="23"/>
      <c r="AB233" s="23"/>
      <c r="AC233" s="23"/>
      <c r="AD233" s="23"/>
      <c r="AE233" s="7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71"/>
      <c r="AV233" s="10"/>
      <c r="AW233" s="23"/>
      <c r="BB233" s="66"/>
      <c r="BC233" s="66"/>
      <c r="BD233" s="66"/>
      <c r="BE233" s="66"/>
      <c r="BF233" s="66"/>
      <c r="BG233" s="66"/>
      <c r="BH233" s="66"/>
      <c r="BI233" s="66"/>
      <c r="BJ233" s="66"/>
      <c r="BK233" s="66"/>
      <c r="BL233" s="66"/>
      <c r="BM233" s="66"/>
      <c r="BN233" s="66"/>
      <c r="BO233" s="66"/>
      <c r="BP233" s="66"/>
      <c r="BQ233" s="66"/>
      <c r="BR233" s="66"/>
      <c r="BS233" s="66"/>
      <c r="BT233" s="66"/>
      <c r="BU233" s="66"/>
      <c r="BV233" s="66"/>
      <c r="BW233" s="66"/>
    </row>
    <row r="234" spans="1:75" ht="15.75" customHeight="1">
      <c r="A234" s="65"/>
      <c r="B234" s="66"/>
      <c r="C234" s="66"/>
      <c r="D234" s="66"/>
      <c r="E234" s="66"/>
      <c r="F234" s="65"/>
      <c r="G234" s="65"/>
      <c r="H234" s="66"/>
      <c r="I234" s="66"/>
      <c r="J234" s="66"/>
      <c r="K234" s="66"/>
      <c r="L234" s="66"/>
      <c r="M234" s="66"/>
      <c r="N234" s="66"/>
      <c r="O234" s="66"/>
      <c r="P234" s="66"/>
      <c r="Q234" s="23"/>
      <c r="AB234" s="23"/>
      <c r="AC234" s="23"/>
      <c r="AD234" s="23"/>
      <c r="AE234" s="7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71"/>
      <c r="AV234" s="10"/>
      <c r="AW234" s="23"/>
      <c r="BB234" s="66"/>
      <c r="BC234" s="66"/>
      <c r="BD234" s="66"/>
      <c r="BE234" s="66"/>
      <c r="BF234" s="66"/>
      <c r="BG234" s="66"/>
      <c r="BH234" s="66"/>
      <c r="BI234" s="66"/>
      <c r="BJ234" s="66"/>
      <c r="BK234" s="66"/>
      <c r="BL234" s="66"/>
      <c r="BM234" s="66"/>
      <c r="BN234" s="66"/>
      <c r="BO234" s="66"/>
      <c r="BP234" s="66"/>
      <c r="BQ234" s="66"/>
      <c r="BR234" s="66"/>
      <c r="BS234" s="66"/>
      <c r="BT234" s="66"/>
      <c r="BU234" s="66"/>
      <c r="BV234" s="66"/>
      <c r="BW234" s="66"/>
    </row>
    <row r="235" spans="1:75" ht="15.75" customHeight="1">
      <c r="A235" s="65"/>
      <c r="B235" s="66"/>
      <c r="C235" s="66"/>
      <c r="D235" s="66"/>
      <c r="E235" s="66"/>
      <c r="F235" s="65"/>
      <c r="G235" s="65"/>
      <c r="H235" s="66"/>
      <c r="I235" s="66"/>
      <c r="J235" s="66"/>
      <c r="K235" s="66"/>
      <c r="L235" s="66"/>
      <c r="M235" s="66"/>
      <c r="N235" s="66"/>
      <c r="O235" s="66"/>
      <c r="P235" s="66"/>
      <c r="Q235" s="23"/>
      <c r="AB235" s="23"/>
      <c r="AC235" s="23"/>
      <c r="AD235" s="23"/>
      <c r="AE235" s="7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71"/>
      <c r="AV235" s="10"/>
      <c r="AW235" s="23"/>
      <c r="BB235" s="66"/>
      <c r="BC235" s="66"/>
      <c r="BD235" s="66"/>
      <c r="BE235" s="66"/>
      <c r="BF235" s="66"/>
      <c r="BG235" s="66"/>
      <c r="BH235" s="66"/>
      <c r="BI235" s="66"/>
      <c r="BJ235" s="66"/>
      <c r="BK235" s="66"/>
      <c r="BL235" s="66"/>
      <c r="BM235" s="66"/>
      <c r="BN235" s="66"/>
      <c r="BO235" s="66"/>
      <c r="BP235" s="66"/>
      <c r="BQ235" s="66"/>
      <c r="BR235" s="66"/>
      <c r="BS235" s="66"/>
      <c r="BT235" s="66"/>
      <c r="BU235" s="66"/>
      <c r="BV235" s="66"/>
      <c r="BW235" s="66"/>
    </row>
    <row r="236" spans="1:75" ht="15.75" customHeight="1">
      <c r="A236" s="65"/>
      <c r="B236" s="66"/>
      <c r="C236" s="66"/>
      <c r="D236" s="66"/>
      <c r="E236" s="66"/>
      <c r="F236" s="65"/>
      <c r="G236" s="65"/>
      <c r="H236" s="66"/>
      <c r="I236" s="66"/>
      <c r="J236" s="66"/>
      <c r="K236" s="66"/>
      <c r="L236" s="66"/>
      <c r="M236" s="66"/>
      <c r="N236" s="66"/>
      <c r="O236" s="66"/>
      <c r="P236" s="66"/>
      <c r="Q236" s="23"/>
      <c r="AB236" s="23"/>
      <c r="AC236" s="23"/>
      <c r="AD236" s="23"/>
      <c r="AE236" s="7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71"/>
      <c r="AV236" s="10"/>
      <c r="AW236" s="23"/>
      <c r="BB236" s="66"/>
      <c r="BC236" s="66"/>
      <c r="BD236" s="66"/>
      <c r="BE236" s="66"/>
      <c r="BF236" s="66"/>
      <c r="BG236" s="66"/>
      <c r="BH236" s="66"/>
      <c r="BI236" s="66"/>
      <c r="BJ236" s="66"/>
      <c r="BK236" s="66"/>
      <c r="BL236" s="66"/>
      <c r="BM236" s="66"/>
      <c r="BN236" s="66"/>
      <c r="BO236" s="66"/>
      <c r="BP236" s="66"/>
      <c r="BQ236" s="66"/>
      <c r="BR236" s="66"/>
      <c r="BS236" s="66"/>
      <c r="BT236" s="66"/>
      <c r="BU236" s="66"/>
      <c r="BV236" s="66"/>
      <c r="BW236" s="66"/>
    </row>
    <row r="237" spans="1:75" ht="15.75" customHeight="1">
      <c r="A237" s="65"/>
      <c r="B237" s="66"/>
      <c r="C237" s="66"/>
      <c r="D237" s="66"/>
      <c r="E237" s="66"/>
      <c r="F237" s="65"/>
      <c r="G237" s="65"/>
      <c r="H237" s="66"/>
      <c r="I237" s="66"/>
      <c r="J237" s="66"/>
      <c r="K237" s="66"/>
      <c r="L237" s="66"/>
      <c r="M237" s="66"/>
      <c r="N237" s="66"/>
      <c r="O237" s="66"/>
      <c r="P237" s="66"/>
      <c r="Q237" s="23"/>
      <c r="AB237" s="23"/>
      <c r="AC237" s="23"/>
      <c r="AD237" s="23"/>
      <c r="AE237" s="7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71"/>
      <c r="AV237" s="10"/>
      <c r="AW237" s="23"/>
      <c r="BB237" s="66"/>
      <c r="BC237" s="66"/>
      <c r="BD237" s="66"/>
      <c r="BE237" s="66"/>
      <c r="BF237" s="66"/>
      <c r="BG237" s="66"/>
      <c r="BH237" s="66"/>
      <c r="BI237" s="66"/>
      <c r="BJ237" s="66"/>
      <c r="BK237" s="66"/>
      <c r="BL237" s="66"/>
      <c r="BM237" s="66"/>
      <c r="BN237" s="66"/>
      <c r="BO237" s="66"/>
      <c r="BP237" s="66"/>
      <c r="BQ237" s="66"/>
      <c r="BR237" s="66"/>
      <c r="BS237" s="66"/>
      <c r="BT237" s="66"/>
      <c r="BU237" s="66"/>
      <c r="BV237" s="66"/>
      <c r="BW237" s="66"/>
    </row>
    <row r="238" spans="1:75" ht="15.75" customHeight="1">
      <c r="A238" s="65"/>
      <c r="B238" s="66"/>
      <c r="C238" s="66"/>
      <c r="D238" s="66"/>
      <c r="E238" s="66"/>
      <c r="F238" s="65"/>
      <c r="G238" s="65"/>
      <c r="H238" s="66"/>
      <c r="I238" s="66"/>
      <c r="J238" s="66"/>
      <c r="K238" s="66"/>
      <c r="L238" s="66"/>
      <c r="M238" s="66"/>
      <c r="N238" s="66"/>
      <c r="O238" s="66"/>
      <c r="P238" s="66"/>
      <c r="Q238" s="23"/>
      <c r="AB238" s="23"/>
      <c r="AC238" s="23"/>
      <c r="AD238" s="23"/>
      <c r="AE238" s="7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71"/>
      <c r="AV238" s="10"/>
      <c r="AW238" s="23"/>
      <c r="BB238" s="66"/>
      <c r="BC238" s="66"/>
      <c r="BD238" s="66"/>
      <c r="BE238" s="66"/>
      <c r="BF238" s="66"/>
      <c r="BG238" s="66"/>
      <c r="BH238" s="66"/>
      <c r="BI238" s="66"/>
      <c r="BJ238" s="66"/>
      <c r="BK238" s="66"/>
      <c r="BL238" s="66"/>
      <c r="BM238" s="66"/>
      <c r="BN238" s="66"/>
      <c r="BO238" s="66"/>
      <c r="BP238" s="66"/>
      <c r="BQ238" s="66"/>
      <c r="BR238" s="66"/>
      <c r="BS238" s="66"/>
      <c r="BT238" s="66"/>
      <c r="BU238" s="66"/>
      <c r="BV238" s="66"/>
      <c r="BW238" s="66"/>
    </row>
    <row r="239" spans="1:75" ht="15.75" customHeight="1">
      <c r="A239" s="65"/>
      <c r="B239" s="66"/>
      <c r="C239" s="66"/>
      <c r="D239" s="66"/>
      <c r="E239" s="66"/>
      <c r="F239" s="65"/>
      <c r="G239" s="65"/>
      <c r="H239" s="66"/>
      <c r="I239" s="66"/>
      <c r="J239" s="66"/>
      <c r="K239" s="66"/>
      <c r="L239" s="66"/>
      <c r="M239" s="66"/>
      <c r="N239" s="66"/>
      <c r="O239" s="66"/>
      <c r="P239" s="66"/>
      <c r="Q239" s="23"/>
      <c r="AB239" s="23"/>
      <c r="AC239" s="23"/>
      <c r="AD239" s="23"/>
      <c r="AE239" s="7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71"/>
      <c r="AV239" s="10"/>
      <c r="AW239" s="23"/>
      <c r="BB239" s="66"/>
      <c r="BC239" s="66"/>
      <c r="BD239" s="66"/>
      <c r="BE239" s="66"/>
      <c r="BF239" s="66"/>
      <c r="BG239" s="66"/>
      <c r="BH239" s="66"/>
      <c r="BI239" s="66"/>
      <c r="BJ239" s="66"/>
      <c r="BK239" s="66"/>
      <c r="BL239" s="66"/>
      <c r="BM239" s="66"/>
      <c r="BN239" s="66"/>
      <c r="BO239" s="66"/>
      <c r="BP239" s="66"/>
      <c r="BQ239" s="66"/>
      <c r="BR239" s="66"/>
      <c r="BS239" s="66"/>
      <c r="BT239" s="66"/>
      <c r="BU239" s="66"/>
      <c r="BV239" s="66"/>
      <c r="BW239" s="66"/>
    </row>
    <row r="240" spans="1:75" ht="15.75" customHeight="1">
      <c r="A240" s="65"/>
      <c r="B240" s="66"/>
      <c r="C240" s="66"/>
      <c r="D240" s="66"/>
      <c r="E240" s="66"/>
      <c r="F240" s="65"/>
      <c r="G240" s="65"/>
      <c r="H240" s="66"/>
      <c r="I240" s="66"/>
      <c r="J240" s="66"/>
      <c r="K240" s="66"/>
      <c r="L240" s="66"/>
      <c r="M240" s="66"/>
      <c r="N240" s="66"/>
      <c r="O240" s="66"/>
      <c r="P240" s="66"/>
      <c r="Q240" s="23"/>
      <c r="AB240" s="23"/>
      <c r="AC240" s="23"/>
      <c r="AD240" s="23"/>
      <c r="AE240" s="7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71"/>
      <c r="AV240" s="10"/>
      <c r="AW240" s="23"/>
      <c r="BB240" s="66"/>
      <c r="BC240" s="66"/>
      <c r="BD240" s="66"/>
      <c r="BE240" s="66"/>
      <c r="BF240" s="66"/>
      <c r="BG240" s="66"/>
      <c r="BH240" s="66"/>
      <c r="BI240" s="66"/>
      <c r="BJ240" s="66"/>
      <c r="BK240" s="66"/>
      <c r="BL240" s="66"/>
      <c r="BM240" s="66"/>
      <c r="BN240" s="66"/>
      <c r="BO240" s="66"/>
      <c r="BP240" s="66"/>
      <c r="BQ240" s="66"/>
      <c r="BR240" s="66"/>
      <c r="BS240" s="66"/>
      <c r="BT240" s="66"/>
      <c r="BU240" s="66"/>
      <c r="BV240" s="66"/>
      <c r="BW240" s="66"/>
    </row>
    <row r="241" spans="1:75" ht="15.75" customHeight="1">
      <c r="A241" s="65"/>
      <c r="B241" s="66"/>
      <c r="C241" s="66"/>
      <c r="D241" s="66"/>
      <c r="E241" s="66"/>
      <c r="F241" s="65"/>
      <c r="G241" s="65"/>
      <c r="H241" s="66"/>
      <c r="I241" s="66"/>
      <c r="J241" s="66"/>
      <c r="K241" s="66"/>
      <c r="L241" s="66"/>
      <c r="M241" s="66"/>
      <c r="N241" s="66"/>
      <c r="O241" s="66"/>
      <c r="P241" s="66"/>
      <c r="Q241" s="23"/>
      <c r="AB241" s="23"/>
      <c r="AC241" s="23"/>
      <c r="AD241" s="23"/>
      <c r="AE241" s="7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71"/>
      <c r="AV241" s="10"/>
      <c r="AW241" s="23"/>
      <c r="BB241" s="66"/>
      <c r="BC241" s="66"/>
      <c r="BD241" s="66"/>
      <c r="BE241" s="66"/>
      <c r="BF241" s="66"/>
      <c r="BG241" s="66"/>
      <c r="BH241" s="66"/>
      <c r="BI241" s="66"/>
      <c r="BJ241" s="66"/>
      <c r="BK241" s="66"/>
      <c r="BL241" s="66"/>
      <c r="BM241" s="66"/>
      <c r="BN241" s="66"/>
      <c r="BO241" s="66"/>
      <c r="BP241" s="66"/>
      <c r="BQ241" s="66"/>
      <c r="BR241" s="66"/>
      <c r="BS241" s="66"/>
      <c r="BT241" s="66"/>
      <c r="BU241" s="66"/>
      <c r="BV241" s="66"/>
      <c r="BW241" s="66"/>
    </row>
    <row r="242" spans="1:75" ht="15.75" customHeight="1">
      <c r="A242" s="65"/>
      <c r="B242" s="66"/>
      <c r="C242" s="66"/>
      <c r="D242" s="66"/>
      <c r="E242" s="66"/>
      <c r="F242" s="65"/>
      <c r="G242" s="65"/>
      <c r="H242" s="66"/>
      <c r="I242" s="66"/>
      <c r="J242" s="66"/>
      <c r="K242" s="66"/>
      <c r="L242" s="66"/>
      <c r="M242" s="66"/>
      <c r="N242" s="66"/>
      <c r="O242" s="66"/>
      <c r="P242" s="66"/>
      <c r="Q242" s="23"/>
      <c r="AB242" s="23"/>
      <c r="AC242" s="23"/>
      <c r="AD242" s="23"/>
      <c r="AE242" s="7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71"/>
      <c r="AV242" s="10"/>
      <c r="AW242" s="23"/>
      <c r="BB242" s="66"/>
      <c r="BC242" s="66"/>
      <c r="BD242" s="66"/>
      <c r="BE242" s="66"/>
      <c r="BF242" s="66"/>
      <c r="BG242" s="66"/>
      <c r="BH242" s="66"/>
      <c r="BI242" s="66"/>
      <c r="BJ242" s="66"/>
      <c r="BK242" s="66"/>
      <c r="BL242" s="66"/>
      <c r="BM242" s="66"/>
      <c r="BN242" s="66"/>
      <c r="BO242" s="66"/>
      <c r="BP242" s="66"/>
      <c r="BQ242" s="66"/>
      <c r="BR242" s="66"/>
      <c r="BS242" s="66"/>
      <c r="BT242" s="66"/>
      <c r="BU242" s="66"/>
      <c r="BV242" s="66"/>
      <c r="BW242" s="66"/>
    </row>
    <row r="243" spans="1:75" ht="15.75" customHeight="1">
      <c r="A243" s="65"/>
      <c r="B243" s="66"/>
      <c r="C243" s="66"/>
      <c r="D243" s="66"/>
      <c r="E243" s="66"/>
      <c r="F243" s="65"/>
      <c r="G243" s="65"/>
      <c r="H243" s="66"/>
      <c r="I243" s="66"/>
      <c r="J243" s="66"/>
      <c r="K243" s="66"/>
      <c r="L243" s="66"/>
      <c r="M243" s="66"/>
      <c r="N243" s="66"/>
      <c r="O243" s="66"/>
      <c r="P243" s="66"/>
      <c r="Q243" s="23"/>
      <c r="AB243" s="23"/>
      <c r="AC243" s="23"/>
      <c r="AD243" s="23"/>
      <c r="AE243" s="7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71"/>
      <c r="AV243" s="10"/>
      <c r="AW243" s="23"/>
      <c r="BB243" s="66"/>
      <c r="BC243" s="66"/>
      <c r="BD243" s="66"/>
      <c r="BE243" s="66"/>
      <c r="BF243" s="66"/>
      <c r="BG243" s="66"/>
      <c r="BH243" s="66"/>
      <c r="BI243" s="66"/>
      <c r="BJ243" s="66"/>
      <c r="BK243" s="66"/>
      <c r="BL243" s="66"/>
      <c r="BM243" s="66"/>
      <c r="BN243" s="66"/>
      <c r="BO243" s="66"/>
      <c r="BP243" s="66"/>
      <c r="BQ243" s="66"/>
      <c r="BR243" s="66"/>
      <c r="BS243" s="66"/>
      <c r="BT243" s="66"/>
      <c r="BU243" s="66"/>
      <c r="BV243" s="66"/>
      <c r="BW243" s="66"/>
    </row>
    <row r="244" spans="1:75" ht="15.75" customHeight="1">
      <c r="A244" s="65"/>
      <c r="B244" s="66"/>
      <c r="C244" s="66"/>
      <c r="D244" s="66"/>
      <c r="E244" s="66"/>
      <c r="F244" s="65"/>
      <c r="G244" s="65"/>
      <c r="H244" s="66"/>
      <c r="I244" s="66"/>
      <c r="J244" s="66"/>
      <c r="K244" s="66"/>
      <c r="L244" s="66"/>
      <c r="M244" s="66"/>
      <c r="N244" s="66"/>
      <c r="O244" s="66"/>
      <c r="P244" s="66"/>
      <c r="Q244" s="23"/>
      <c r="AB244" s="23"/>
      <c r="AC244" s="23"/>
      <c r="AD244" s="23"/>
      <c r="AE244" s="7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71"/>
      <c r="AV244" s="10"/>
      <c r="AW244" s="23"/>
      <c r="BB244" s="66"/>
      <c r="BC244" s="66"/>
      <c r="BD244" s="66"/>
      <c r="BE244" s="66"/>
      <c r="BF244" s="66"/>
      <c r="BG244" s="66"/>
      <c r="BH244" s="66"/>
      <c r="BI244" s="66"/>
      <c r="BJ244" s="66"/>
      <c r="BK244" s="66"/>
      <c r="BL244" s="66"/>
      <c r="BM244" s="66"/>
      <c r="BN244" s="66"/>
      <c r="BO244" s="66"/>
      <c r="BP244" s="66"/>
      <c r="BQ244" s="66"/>
      <c r="BR244" s="66"/>
      <c r="BS244" s="66"/>
      <c r="BT244" s="66"/>
      <c r="BU244" s="66"/>
      <c r="BV244" s="66"/>
      <c r="BW244" s="66"/>
    </row>
    <row r="245" spans="1:75" ht="15.75" customHeight="1">
      <c r="A245" s="65"/>
      <c r="B245" s="66"/>
      <c r="C245" s="66"/>
      <c r="D245" s="66"/>
      <c r="E245" s="66"/>
      <c r="F245" s="65"/>
      <c r="G245" s="65"/>
      <c r="H245" s="66"/>
      <c r="I245" s="66"/>
      <c r="J245" s="66"/>
      <c r="K245" s="66"/>
      <c r="L245" s="66"/>
      <c r="M245" s="66"/>
      <c r="N245" s="66"/>
      <c r="O245" s="66"/>
      <c r="P245" s="66"/>
      <c r="Q245" s="23"/>
      <c r="AB245" s="23"/>
      <c r="AC245" s="23"/>
      <c r="AD245" s="23"/>
      <c r="AE245" s="7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71"/>
      <c r="AV245" s="10"/>
      <c r="AW245" s="23"/>
      <c r="BB245" s="66"/>
      <c r="BC245" s="66"/>
      <c r="BD245" s="66"/>
      <c r="BE245" s="66"/>
      <c r="BF245" s="66"/>
      <c r="BG245" s="66"/>
      <c r="BH245" s="66"/>
      <c r="BI245" s="66"/>
      <c r="BJ245" s="66"/>
      <c r="BK245" s="66"/>
      <c r="BL245" s="66"/>
      <c r="BM245" s="66"/>
      <c r="BN245" s="66"/>
      <c r="BO245" s="66"/>
      <c r="BP245" s="66"/>
      <c r="BQ245" s="66"/>
      <c r="BR245" s="66"/>
      <c r="BS245" s="66"/>
      <c r="BT245" s="66"/>
      <c r="BU245" s="66"/>
      <c r="BV245" s="66"/>
      <c r="BW245" s="66"/>
    </row>
    <row r="246" spans="1:75" ht="15.75" customHeight="1">
      <c r="A246" s="65"/>
      <c r="B246" s="66"/>
      <c r="C246" s="66"/>
      <c r="D246" s="66"/>
      <c r="E246" s="66"/>
      <c r="F246" s="65"/>
      <c r="G246" s="65"/>
      <c r="H246" s="66"/>
      <c r="I246" s="66"/>
      <c r="J246" s="66"/>
      <c r="K246" s="66"/>
      <c r="L246" s="66"/>
      <c r="M246" s="66"/>
      <c r="N246" s="66"/>
      <c r="O246" s="66"/>
      <c r="P246" s="66"/>
      <c r="Q246" s="23"/>
      <c r="AB246" s="23"/>
      <c r="AC246" s="23"/>
      <c r="AD246" s="23"/>
      <c r="AE246" s="7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71"/>
      <c r="AV246" s="10"/>
      <c r="AW246" s="23"/>
      <c r="BB246" s="66"/>
      <c r="BC246" s="66"/>
      <c r="BD246" s="66"/>
      <c r="BE246" s="66"/>
      <c r="BF246" s="66"/>
      <c r="BG246" s="66"/>
      <c r="BH246" s="66"/>
      <c r="BI246" s="66"/>
      <c r="BJ246" s="66"/>
      <c r="BK246" s="66"/>
      <c r="BL246" s="66"/>
      <c r="BM246" s="66"/>
      <c r="BN246" s="66"/>
      <c r="BO246" s="66"/>
      <c r="BP246" s="66"/>
      <c r="BQ246" s="66"/>
      <c r="BR246" s="66"/>
      <c r="BS246" s="66"/>
      <c r="BT246" s="66"/>
      <c r="BU246" s="66"/>
      <c r="BV246" s="66"/>
      <c r="BW246" s="66"/>
    </row>
    <row r="247" spans="1:75" ht="15.75" customHeight="1">
      <c r="A247" s="65"/>
      <c r="B247" s="66"/>
      <c r="C247" s="66"/>
      <c r="D247" s="66"/>
      <c r="E247" s="66"/>
      <c r="F247" s="65"/>
      <c r="G247" s="65"/>
      <c r="H247" s="66"/>
      <c r="I247" s="66"/>
      <c r="J247" s="66"/>
      <c r="K247" s="66"/>
      <c r="L247" s="66"/>
      <c r="M247" s="66"/>
      <c r="N247" s="66"/>
      <c r="O247" s="66"/>
      <c r="P247" s="66"/>
      <c r="Q247" s="23"/>
      <c r="AB247" s="23"/>
      <c r="AC247" s="23"/>
      <c r="AD247" s="23"/>
      <c r="AE247" s="7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71"/>
      <c r="AV247" s="10"/>
      <c r="AW247" s="23"/>
      <c r="BB247" s="66"/>
      <c r="BC247" s="66"/>
      <c r="BD247" s="66"/>
      <c r="BE247" s="66"/>
      <c r="BF247" s="66"/>
      <c r="BG247" s="66"/>
      <c r="BH247" s="66"/>
      <c r="BI247" s="66"/>
      <c r="BJ247" s="66"/>
      <c r="BK247" s="66"/>
      <c r="BL247" s="66"/>
      <c r="BM247" s="66"/>
      <c r="BN247" s="66"/>
      <c r="BO247" s="66"/>
      <c r="BP247" s="66"/>
      <c r="BQ247" s="66"/>
      <c r="BR247" s="66"/>
      <c r="BS247" s="66"/>
      <c r="BT247" s="66"/>
      <c r="BU247" s="66"/>
      <c r="BV247" s="66"/>
      <c r="BW247" s="66"/>
    </row>
    <row r="248" spans="1:75" ht="15.75" customHeight="1">
      <c r="A248" s="65"/>
      <c r="B248" s="66"/>
      <c r="C248" s="66"/>
      <c r="D248" s="66"/>
      <c r="E248" s="66"/>
      <c r="F248" s="65"/>
      <c r="G248" s="65"/>
      <c r="H248" s="66"/>
      <c r="I248" s="66"/>
      <c r="J248" s="66"/>
      <c r="K248" s="66"/>
      <c r="L248" s="66"/>
      <c r="M248" s="66"/>
      <c r="N248" s="66"/>
      <c r="O248" s="66"/>
      <c r="P248" s="66"/>
      <c r="Q248" s="23"/>
      <c r="AB248" s="23"/>
      <c r="AC248" s="23"/>
      <c r="AD248" s="23"/>
      <c r="AE248" s="7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71"/>
      <c r="AV248" s="10"/>
      <c r="AW248" s="23"/>
      <c r="BB248" s="66"/>
      <c r="BC248" s="66"/>
      <c r="BD248" s="66"/>
      <c r="BE248" s="66"/>
      <c r="BF248" s="66"/>
      <c r="BG248" s="66"/>
      <c r="BH248" s="66"/>
      <c r="BI248" s="66"/>
      <c r="BJ248" s="66"/>
      <c r="BK248" s="66"/>
      <c r="BL248" s="66"/>
      <c r="BM248" s="66"/>
      <c r="BN248" s="66"/>
      <c r="BO248" s="66"/>
      <c r="BP248" s="66"/>
      <c r="BQ248" s="66"/>
      <c r="BR248" s="66"/>
      <c r="BS248" s="66"/>
      <c r="BT248" s="66"/>
      <c r="BU248" s="66"/>
      <c r="BV248" s="66"/>
      <c r="BW248" s="66"/>
    </row>
    <row r="249" spans="1:75" ht="15.75" customHeight="1">
      <c r="A249" s="65"/>
      <c r="B249" s="66"/>
      <c r="C249" s="66"/>
      <c r="D249" s="66"/>
      <c r="E249" s="66"/>
      <c r="F249" s="65"/>
      <c r="G249" s="65"/>
      <c r="H249" s="66"/>
      <c r="I249" s="66"/>
      <c r="J249" s="66"/>
      <c r="K249" s="66"/>
      <c r="L249" s="66"/>
      <c r="M249" s="66"/>
      <c r="N249" s="66"/>
      <c r="O249" s="66"/>
      <c r="P249" s="66"/>
      <c r="Q249" s="23"/>
      <c r="AB249" s="23"/>
      <c r="AC249" s="23"/>
      <c r="AD249" s="23"/>
      <c r="AE249" s="7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71"/>
      <c r="AV249" s="10"/>
      <c r="AW249" s="23"/>
      <c r="BB249" s="66"/>
      <c r="BC249" s="66"/>
      <c r="BD249" s="66"/>
      <c r="BE249" s="66"/>
      <c r="BF249" s="66"/>
      <c r="BG249" s="66"/>
      <c r="BH249" s="66"/>
      <c r="BI249" s="66"/>
      <c r="BJ249" s="66"/>
      <c r="BK249" s="66"/>
      <c r="BL249" s="66"/>
      <c r="BM249" s="66"/>
      <c r="BN249" s="66"/>
      <c r="BO249" s="66"/>
      <c r="BP249" s="66"/>
      <c r="BQ249" s="66"/>
      <c r="BR249" s="66"/>
      <c r="BS249" s="66"/>
      <c r="BT249" s="66"/>
      <c r="BU249" s="66"/>
      <c r="BV249" s="66"/>
      <c r="BW249" s="66"/>
    </row>
    <row r="250" spans="1:75" ht="15.75" customHeight="1">
      <c r="A250" s="65"/>
      <c r="B250" s="66"/>
      <c r="C250" s="66"/>
      <c r="D250" s="66"/>
      <c r="E250" s="66"/>
      <c r="F250" s="65"/>
      <c r="G250" s="65"/>
      <c r="H250" s="66"/>
      <c r="I250" s="66"/>
      <c r="J250" s="66"/>
      <c r="K250" s="66"/>
      <c r="L250" s="66"/>
      <c r="M250" s="66"/>
      <c r="N250" s="66"/>
      <c r="O250" s="66"/>
      <c r="P250" s="66"/>
      <c r="Q250" s="23"/>
      <c r="AB250" s="23"/>
      <c r="AC250" s="23"/>
      <c r="AD250" s="23"/>
      <c r="AE250" s="7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71"/>
      <c r="AV250" s="10"/>
      <c r="AW250" s="23"/>
      <c r="BB250" s="66"/>
      <c r="BC250" s="66"/>
      <c r="BD250" s="66"/>
      <c r="BE250" s="66"/>
      <c r="BF250" s="66"/>
      <c r="BG250" s="66"/>
      <c r="BH250" s="66"/>
      <c r="BI250" s="66"/>
      <c r="BJ250" s="66"/>
      <c r="BK250" s="66"/>
      <c r="BL250" s="66"/>
      <c r="BM250" s="66"/>
      <c r="BN250" s="66"/>
      <c r="BO250" s="66"/>
      <c r="BP250" s="66"/>
      <c r="BQ250" s="66"/>
      <c r="BR250" s="66"/>
      <c r="BS250" s="66"/>
      <c r="BT250" s="66"/>
      <c r="BU250" s="66"/>
      <c r="BV250" s="66"/>
      <c r="BW250" s="66"/>
    </row>
    <row r="251" spans="1:75" ht="15.75" customHeight="1">
      <c r="A251" s="65"/>
      <c r="B251" s="66"/>
      <c r="C251" s="66"/>
      <c r="D251" s="66"/>
      <c r="E251" s="66"/>
      <c r="F251" s="65"/>
      <c r="G251" s="65"/>
      <c r="H251" s="66"/>
      <c r="I251" s="66"/>
      <c r="J251" s="66"/>
      <c r="K251" s="66"/>
      <c r="L251" s="66"/>
      <c r="M251" s="66"/>
      <c r="N251" s="66"/>
      <c r="O251" s="66"/>
      <c r="P251" s="66"/>
      <c r="Q251" s="23"/>
      <c r="AB251" s="23"/>
      <c r="AC251" s="23"/>
      <c r="AD251" s="23"/>
      <c r="AE251" s="7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71"/>
      <c r="AV251" s="10"/>
      <c r="AW251" s="23"/>
      <c r="BB251" s="66"/>
      <c r="BC251" s="66"/>
      <c r="BD251" s="66"/>
      <c r="BE251" s="66"/>
      <c r="BF251" s="66"/>
      <c r="BG251" s="66"/>
      <c r="BH251" s="66"/>
      <c r="BI251" s="66"/>
      <c r="BJ251" s="66"/>
      <c r="BK251" s="66"/>
      <c r="BL251" s="66"/>
      <c r="BM251" s="66"/>
      <c r="BN251" s="66"/>
      <c r="BO251" s="66"/>
      <c r="BP251" s="66"/>
      <c r="BQ251" s="66"/>
      <c r="BR251" s="66"/>
      <c r="BS251" s="66"/>
      <c r="BT251" s="66"/>
      <c r="BU251" s="66"/>
      <c r="BV251" s="66"/>
      <c r="BW251" s="66"/>
    </row>
    <row r="252" spans="1:75" ht="15.75" customHeight="1">
      <c r="A252" s="65"/>
      <c r="B252" s="66"/>
      <c r="C252" s="66"/>
      <c r="D252" s="66"/>
      <c r="E252" s="66"/>
      <c r="F252" s="65"/>
      <c r="G252" s="65"/>
      <c r="H252" s="66"/>
      <c r="I252" s="66"/>
      <c r="J252" s="66"/>
      <c r="K252" s="66"/>
      <c r="L252" s="66"/>
      <c r="M252" s="66"/>
      <c r="N252" s="66"/>
      <c r="O252" s="66"/>
      <c r="P252" s="66"/>
      <c r="Q252" s="23"/>
      <c r="AB252" s="23"/>
      <c r="AC252" s="23"/>
      <c r="AD252" s="23"/>
      <c r="AE252" s="7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71"/>
      <c r="AV252" s="10"/>
      <c r="AW252" s="23"/>
      <c r="BB252" s="66"/>
      <c r="BC252" s="66"/>
      <c r="BD252" s="66"/>
      <c r="BE252" s="66"/>
      <c r="BF252" s="66"/>
      <c r="BG252" s="66"/>
      <c r="BH252" s="66"/>
      <c r="BI252" s="66"/>
      <c r="BJ252" s="66"/>
      <c r="BK252" s="66"/>
      <c r="BL252" s="66"/>
      <c r="BM252" s="66"/>
      <c r="BN252" s="66"/>
      <c r="BO252" s="66"/>
      <c r="BP252" s="66"/>
      <c r="BQ252" s="66"/>
      <c r="BR252" s="66"/>
      <c r="BS252" s="66"/>
      <c r="BT252" s="66"/>
      <c r="BU252" s="66"/>
      <c r="BV252" s="66"/>
      <c r="BW252" s="66"/>
    </row>
    <row r="253" spans="1:75" ht="15.75" customHeight="1">
      <c r="A253" s="65"/>
      <c r="B253" s="66"/>
      <c r="C253" s="66"/>
      <c r="D253" s="66"/>
      <c r="E253" s="66"/>
      <c r="F253" s="65"/>
      <c r="G253" s="65"/>
      <c r="H253" s="66"/>
      <c r="I253" s="66"/>
      <c r="J253" s="66"/>
      <c r="K253" s="66"/>
      <c r="L253" s="66"/>
      <c r="M253" s="66"/>
      <c r="N253" s="66"/>
      <c r="O253" s="66"/>
      <c r="P253" s="66"/>
      <c r="Q253" s="23"/>
      <c r="AB253" s="23"/>
      <c r="AC253" s="23"/>
      <c r="AD253" s="23"/>
      <c r="AE253" s="7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71"/>
      <c r="AV253" s="10"/>
      <c r="AW253" s="23"/>
      <c r="BB253" s="66"/>
      <c r="BC253" s="66"/>
      <c r="BD253" s="66"/>
      <c r="BE253" s="66"/>
      <c r="BF253" s="66"/>
      <c r="BG253" s="66"/>
      <c r="BH253" s="66"/>
      <c r="BI253" s="66"/>
      <c r="BJ253" s="66"/>
      <c r="BK253" s="66"/>
      <c r="BL253" s="66"/>
      <c r="BM253" s="66"/>
      <c r="BN253" s="66"/>
      <c r="BO253" s="66"/>
      <c r="BP253" s="66"/>
      <c r="BQ253" s="66"/>
      <c r="BR253" s="66"/>
      <c r="BS253" s="66"/>
      <c r="BT253" s="66"/>
      <c r="BU253" s="66"/>
      <c r="BV253" s="66"/>
      <c r="BW253" s="66"/>
    </row>
    <row r="254" spans="1:75" ht="15.75" customHeight="1">
      <c r="A254" s="65"/>
      <c r="B254" s="66"/>
      <c r="C254" s="66"/>
      <c r="D254" s="66"/>
      <c r="E254" s="66"/>
      <c r="F254" s="65"/>
      <c r="G254" s="65"/>
      <c r="H254" s="66"/>
      <c r="I254" s="66"/>
      <c r="J254" s="66"/>
      <c r="K254" s="66"/>
      <c r="L254" s="66"/>
      <c r="M254" s="66"/>
      <c r="N254" s="66"/>
      <c r="O254" s="66"/>
      <c r="P254" s="66"/>
      <c r="Q254" s="23"/>
      <c r="AB254" s="23"/>
      <c r="AC254" s="23"/>
      <c r="AD254" s="23"/>
      <c r="AE254" s="7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71"/>
      <c r="AV254" s="10"/>
      <c r="AW254" s="23"/>
      <c r="BB254" s="66"/>
      <c r="BC254" s="66"/>
      <c r="BD254" s="66"/>
      <c r="BE254" s="66"/>
      <c r="BF254" s="66"/>
      <c r="BG254" s="66"/>
      <c r="BH254" s="66"/>
      <c r="BI254" s="66"/>
      <c r="BJ254" s="66"/>
      <c r="BK254" s="66"/>
      <c r="BL254" s="66"/>
      <c r="BM254" s="66"/>
      <c r="BN254" s="66"/>
      <c r="BO254" s="66"/>
      <c r="BP254" s="66"/>
      <c r="BQ254" s="66"/>
      <c r="BR254" s="66"/>
      <c r="BS254" s="66"/>
      <c r="BT254" s="66"/>
      <c r="BU254" s="66"/>
      <c r="BV254" s="66"/>
      <c r="BW254" s="66"/>
    </row>
    <row r="255" spans="1:75" ht="15.75" customHeight="1">
      <c r="A255" s="65"/>
      <c r="B255" s="66"/>
      <c r="C255" s="66"/>
      <c r="D255" s="66"/>
      <c r="E255" s="66"/>
      <c r="F255" s="65"/>
      <c r="G255" s="65"/>
      <c r="H255" s="66"/>
      <c r="I255" s="66"/>
      <c r="J255" s="66"/>
      <c r="K255" s="66"/>
      <c r="L255" s="66"/>
      <c r="M255" s="66"/>
      <c r="N255" s="66"/>
      <c r="O255" s="66"/>
      <c r="P255" s="66"/>
      <c r="Q255" s="23"/>
      <c r="AB255" s="23"/>
      <c r="AC255" s="23"/>
      <c r="AD255" s="23"/>
      <c r="AE255" s="7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71"/>
      <c r="AV255" s="10"/>
      <c r="AW255" s="23"/>
      <c r="BB255" s="66"/>
      <c r="BC255" s="66"/>
      <c r="BD255" s="66"/>
      <c r="BE255" s="66"/>
      <c r="BF255" s="66"/>
      <c r="BG255" s="66"/>
      <c r="BH255" s="66"/>
      <c r="BI255" s="66"/>
      <c r="BJ255" s="66"/>
      <c r="BK255" s="66"/>
      <c r="BL255" s="66"/>
      <c r="BM255" s="66"/>
      <c r="BN255" s="66"/>
      <c r="BO255" s="66"/>
      <c r="BP255" s="66"/>
      <c r="BQ255" s="66"/>
      <c r="BR255" s="66"/>
      <c r="BS255" s="66"/>
      <c r="BT255" s="66"/>
      <c r="BU255" s="66"/>
      <c r="BV255" s="66"/>
      <c r="BW255" s="66"/>
    </row>
    <row r="256" spans="1:75" ht="15.75" customHeight="1">
      <c r="A256" s="65"/>
      <c r="B256" s="66"/>
      <c r="C256" s="66"/>
      <c r="D256" s="66"/>
      <c r="E256" s="66"/>
      <c r="F256" s="65"/>
      <c r="G256" s="65"/>
      <c r="H256" s="66"/>
      <c r="I256" s="66"/>
      <c r="J256" s="66"/>
      <c r="K256" s="66"/>
      <c r="L256" s="66"/>
      <c r="M256" s="66"/>
      <c r="N256" s="66"/>
      <c r="O256" s="66"/>
      <c r="P256" s="66"/>
      <c r="Q256" s="23"/>
      <c r="AB256" s="23"/>
      <c r="AC256" s="23"/>
      <c r="AD256" s="23"/>
      <c r="AE256" s="7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71"/>
      <c r="AV256" s="10"/>
      <c r="AW256" s="23"/>
      <c r="BB256" s="66"/>
      <c r="BC256" s="66"/>
      <c r="BD256" s="66"/>
      <c r="BE256" s="66"/>
      <c r="BF256" s="66"/>
      <c r="BG256" s="66"/>
      <c r="BH256" s="66"/>
      <c r="BI256" s="66"/>
      <c r="BJ256" s="66"/>
      <c r="BK256" s="66"/>
      <c r="BL256" s="66"/>
      <c r="BM256" s="66"/>
      <c r="BN256" s="66"/>
      <c r="BO256" s="66"/>
      <c r="BP256" s="66"/>
      <c r="BQ256" s="66"/>
      <c r="BR256" s="66"/>
      <c r="BS256" s="66"/>
      <c r="BT256" s="66"/>
      <c r="BU256" s="66"/>
      <c r="BV256" s="66"/>
      <c r="BW256" s="66"/>
    </row>
    <row r="257" spans="1:75" ht="15.75" customHeight="1">
      <c r="A257" s="65"/>
      <c r="B257" s="66"/>
      <c r="C257" s="66"/>
      <c r="D257" s="66"/>
      <c r="E257" s="66"/>
      <c r="F257" s="65"/>
      <c r="G257" s="65"/>
      <c r="H257" s="66"/>
      <c r="I257" s="66"/>
      <c r="J257" s="66"/>
      <c r="K257" s="66"/>
      <c r="L257" s="66"/>
      <c r="M257" s="66"/>
      <c r="N257" s="66"/>
      <c r="O257" s="66"/>
      <c r="P257" s="66"/>
      <c r="Q257" s="23"/>
      <c r="AB257" s="23"/>
      <c r="AC257" s="23"/>
      <c r="AD257" s="23"/>
      <c r="AE257" s="7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71"/>
      <c r="AV257" s="10"/>
      <c r="AW257" s="23"/>
      <c r="BB257" s="66"/>
      <c r="BC257" s="66"/>
      <c r="BD257" s="66"/>
      <c r="BE257" s="66"/>
      <c r="BF257" s="66"/>
      <c r="BG257" s="66"/>
      <c r="BH257" s="66"/>
      <c r="BI257" s="66"/>
      <c r="BJ257" s="66"/>
      <c r="BK257" s="66"/>
      <c r="BL257" s="66"/>
      <c r="BM257" s="66"/>
      <c r="BN257" s="66"/>
      <c r="BO257" s="66"/>
      <c r="BP257" s="66"/>
      <c r="BQ257" s="66"/>
      <c r="BR257" s="66"/>
      <c r="BS257" s="66"/>
      <c r="BT257" s="66"/>
      <c r="BU257" s="66"/>
      <c r="BV257" s="66"/>
      <c r="BW257" s="66"/>
    </row>
    <row r="258" spans="1:75" ht="15.75" customHeight="1">
      <c r="A258" s="65"/>
      <c r="B258" s="66"/>
      <c r="C258" s="66"/>
      <c r="D258" s="66"/>
      <c r="E258" s="66"/>
      <c r="F258" s="65"/>
      <c r="G258" s="65"/>
      <c r="H258" s="66"/>
      <c r="I258" s="66"/>
      <c r="J258" s="66"/>
      <c r="K258" s="66"/>
      <c r="L258" s="66"/>
      <c r="M258" s="66"/>
      <c r="N258" s="66"/>
      <c r="O258" s="66"/>
      <c r="P258" s="66"/>
      <c r="Q258" s="23"/>
      <c r="AB258" s="23"/>
      <c r="AC258" s="23"/>
      <c r="AD258" s="23"/>
      <c r="AE258" s="7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71"/>
      <c r="AV258" s="10"/>
      <c r="AW258" s="23"/>
      <c r="BB258" s="66"/>
      <c r="BC258" s="66"/>
      <c r="BD258" s="66"/>
      <c r="BE258" s="66"/>
      <c r="BF258" s="66"/>
      <c r="BG258" s="66"/>
      <c r="BH258" s="66"/>
      <c r="BI258" s="66"/>
      <c r="BJ258" s="66"/>
      <c r="BK258" s="66"/>
      <c r="BL258" s="66"/>
      <c r="BM258" s="66"/>
      <c r="BN258" s="66"/>
      <c r="BO258" s="66"/>
      <c r="BP258" s="66"/>
      <c r="BQ258" s="66"/>
      <c r="BR258" s="66"/>
      <c r="BS258" s="66"/>
      <c r="BT258" s="66"/>
      <c r="BU258" s="66"/>
      <c r="BV258" s="66"/>
      <c r="BW258" s="66"/>
    </row>
    <row r="259" spans="1:75" ht="15.75" customHeight="1">
      <c r="A259" s="65"/>
      <c r="B259" s="66"/>
      <c r="C259" s="66"/>
      <c r="D259" s="66"/>
      <c r="E259" s="66"/>
      <c r="F259" s="65"/>
      <c r="G259" s="65"/>
      <c r="H259" s="66"/>
      <c r="I259" s="66"/>
      <c r="J259" s="66"/>
      <c r="K259" s="66"/>
      <c r="L259" s="66"/>
      <c r="M259" s="66"/>
      <c r="N259" s="66"/>
      <c r="O259" s="66"/>
      <c r="P259" s="66"/>
      <c r="Q259" s="23"/>
      <c r="AB259" s="23"/>
      <c r="AC259" s="23"/>
      <c r="AD259" s="23"/>
      <c r="AE259" s="7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71"/>
      <c r="AV259" s="10"/>
      <c r="AW259" s="23"/>
      <c r="BB259" s="66"/>
      <c r="BC259" s="66"/>
      <c r="BD259" s="66"/>
      <c r="BE259" s="66"/>
      <c r="BF259" s="66"/>
      <c r="BG259" s="66"/>
      <c r="BH259" s="66"/>
      <c r="BI259" s="66"/>
      <c r="BJ259" s="66"/>
      <c r="BK259" s="66"/>
      <c r="BL259" s="66"/>
      <c r="BM259" s="66"/>
      <c r="BN259" s="66"/>
      <c r="BO259" s="66"/>
      <c r="BP259" s="66"/>
      <c r="BQ259" s="66"/>
      <c r="BR259" s="66"/>
      <c r="BS259" s="66"/>
      <c r="BT259" s="66"/>
      <c r="BU259" s="66"/>
      <c r="BV259" s="66"/>
      <c r="BW259" s="66"/>
    </row>
    <row r="260" spans="1:75" ht="15.75" customHeight="1">
      <c r="A260" s="65"/>
      <c r="B260" s="66"/>
      <c r="C260" s="66"/>
      <c r="D260" s="66"/>
      <c r="E260" s="66"/>
      <c r="F260" s="65"/>
      <c r="G260" s="65"/>
      <c r="H260" s="66"/>
      <c r="I260" s="66"/>
      <c r="J260" s="66"/>
      <c r="K260" s="66"/>
      <c r="L260" s="66"/>
      <c r="M260" s="66"/>
      <c r="N260" s="66"/>
      <c r="O260" s="66"/>
      <c r="P260" s="66"/>
      <c r="Q260" s="23"/>
      <c r="AB260" s="23"/>
      <c r="AC260" s="23"/>
      <c r="AD260" s="23"/>
      <c r="AE260" s="7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71"/>
      <c r="AV260" s="10"/>
      <c r="AW260" s="23"/>
      <c r="BB260" s="66"/>
      <c r="BC260" s="66"/>
      <c r="BD260" s="66"/>
      <c r="BE260" s="66"/>
      <c r="BF260" s="66"/>
      <c r="BG260" s="66"/>
      <c r="BH260" s="66"/>
      <c r="BI260" s="66"/>
      <c r="BJ260" s="66"/>
      <c r="BK260" s="66"/>
      <c r="BL260" s="66"/>
      <c r="BM260" s="66"/>
      <c r="BN260" s="66"/>
      <c r="BO260" s="66"/>
      <c r="BP260" s="66"/>
      <c r="BQ260" s="66"/>
      <c r="BR260" s="66"/>
      <c r="BS260" s="66"/>
      <c r="BT260" s="66"/>
      <c r="BU260" s="66"/>
      <c r="BV260" s="66"/>
      <c r="BW260" s="66"/>
    </row>
    <row r="261" spans="1:75" ht="15.75" customHeight="1">
      <c r="A261" s="65"/>
      <c r="B261" s="66"/>
      <c r="C261" s="66"/>
      <c r="D261" s="66"/>
      <c r="E261" s="66"/>
      <c r="F261" s="65"/>
      <c r="G261" s="65"/>
      <c r="H261" s="66"/>
      <c r="I261" s="66"/>
      <c r="J261" s="66"/>
      <c r="K261" s="66"/>
      <c r="L261" s="66"/>
      <c r="M261" s="66"/>
      <c r="N261" s="66"/>
      <c r="O261" s="66"/>
      <c r="P261" s="66"/>
      <c r="Q261" s="23"/>
      <c r="AB261" s="23"/>
      <c r="AC261" s="23"/>
      <c r="AD261" s="23"/>
      <c r="AE261" s="7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71"/>
      <c r="AV261" s="10"/>
      <c r="AW261" s="23"/>
      <c r="BB261" s="66"/>
      <c r="BC261" s="66"/>
      <c r="BD261" s="66"/>
      <c r="BE261" s="66"/>
      <c r="BF261" s="66"/>
      <c r="BG261" s="66"/>
      <c r="BH261" s="66"/>
      <c r="BI261" s="66"/>
      <c r="BJ261" s="66"/>
      <c r="BK261" s="66"/>
      <c r="BL261" s="66"/>
      <c r="BM261" s="66"/>
      <c r="BN261" s="66"/>
      <c r="BO261" s="66"/>
      <c r="BP261" s="66"/>
      <c r="BQ261" s="66"/>
      <c r="BR261" s="66"/>
      <c r="BS261" s="66"/>
      <c r="BT261" s="66"/>
      <c r="BU261" s="66"/>
      <c r="BV261" s="66"/>
      <c r="BW261" s="66"/>
    </row>
    <row r="262" spans="1:75" ht="15.75" customHeight="1">
      <c r="A262" s="65"/>
      <c r="B262" s="66"/>
      <c r="C262" s="66"/>
      <c r="D262" s="66"/>
      <c r="E262" s="66"/>
      <c r="F262" s="65"/>
      <c r="G262" s="65"/>
      <c r="H262" s="66"/>
      <c r="I262" s="66"/>
      <c r="J262" s="66"/>
      <c r="K262" s="66"/>
      <c r="L262" s="66"/>
      <c r="M262" s="66"/>
      <c r="N262" s="66"/>
      <c r="O262" s="66"/>
      <c r="P262" s="66"/>
      <c r="Q262" s="23"/>
      <c r="AB262" s="23"/>
      <c r="AC262" s="23"/>
      <c r="AD262" s="23"/>
      <c r="AE262" s="7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71"/>
      <c r="AV262" s="10"/>
      <c r="AW262" s="23"/>
      <c r="BB262" s="66"/>
      <c r="BC262" s="66"/>
      <c r="BD262" s="66"/>
      <c r="BE262" s="66"/>
      <c r="BF262" s="66"/>
      <c r="BG262" s="66"/>
      <c r="BH262" s="66"/>
      <c r="BI262" s="66"/>
      <c r="BJ262" s="66"/>
      <c r="BK262" s="66"/>
      <c r="BL262" s="66"/>
      <c r="BM262" s="66"/>
      <c r="BN262" s="66"/>
      <c r="BO262" s="66"/>
      <c r="BP262" s="66"/>
      <c r="BQ262" s="66"/>
      <c r="BR262" s="66"/>
      <c r="BS262" s="66"/>
      <c r="BT262" s="66"/>
      <c r="BU262" s="66"/>
      <c r="BV262" s="66"/>
      <c r="BW262" s="66"/>
    </row>
    <row r="263" spans="1:75" ht="15.75" customHeight="1">
      <c r="A263" s="65"/>
      <c r="B263" s="66"/>
      <c r="C263" s="66"/>
      <c r="D263" s="66"/>
      <c r="E263" s="66"/>
      <c r="F263" s="65"/>
      <c r="G263" s="65"/>
      <c r="H263" s="66"/>
      <c r="I263" s="66"/>
      <c r="J263" s="66"/>
      <c r="K263" s="66"/>
      <c r="L263" s="66"/>
      <c r="M263" s="66"/>
      <c r="N263" s="66"/>
      <c r="O263" s="66"/>
      <c r="P263" s="66"/>
      <c r="Q263" s="23"/>
      <c r="AB263" s="23"/>
      <c r="AC263" s="23"/>
      <c r="AD263" s="23"/>
      <c r="AE263" s="7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71"/>
      <c r="AV263" s="10"/>
      <c r="AW263" s="23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</row>
    <row r="264" spans="1:75" ht="15.75" customHeight="1">
      <c r="A264" s="65"/>
      <c r="B264" s="66"/>
      <c r="C264" s="66"/>
      <c r="D264" s="66"/>
      <c r="E264" s="66"/>
      <c r="F264" s="65"/>
      <c r="G264" s="65"/>
      <c r="H264" s="66"/>
      <c r="I264" s="66"/>
      <c r="J264" s="66"/>
      <c r="K264" s="66"/>
      <c r="L264" s="66"/>
      <c r="M264" s="66"/>
      <c r="N264" s="66"/>
      <c r="O264" s="66"/>
      <c r="P264" s="66"/>
      <c r="Q264" s="23"/>
      <c r="AB264" s="23"/>
      <c r="AC264" s="23"/>
      <c r="AD264" s="23"/>
      <c r="AE264" s="7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71"/>
      <c r="AV264" s="10"/>
      <c r="AW264" s="23"/>
      <c r="BB264" s="66"/>
      <c r="BC264" s="66"/>
      <c r="BD264" s="66"/>
      <c r="BE264" s="66"/>
      <c r="BF264" s="66"/>
      <c r="BG264" s="66"/>
      <c r="BH264" s="66"/>
      <c r="BI264" s="66"/>
      <c r="BJ264" s="66"/>
      <c r="BK264" s="66"/>
      <c r="BL264" s="66"/>
      <c r="BM264" s="66"/>
      <c r="BN264" s="66"/>
      <c r="BO264" s="66"/>
      <c r="BP264" s="66"/>
      <c r="BQ264" s="66"/>
      <c r="BR264" s="66"/>
      <c r="BS264" s="66"/>
      <c r="BT264" s="66"/>
      <c r="BU264" s="66"/>
      <c r="BV264" s="66"/>
      <c r="BW264" s="66"/>
    </row>
    <row r="265" spans="1:75" ht="15.75" customHeight="1">
      <c r="A265" s="65"/>
      <c r="B265" s="66"/>
      <c r="C265" s="66"/>
      <c r="D265" s="66"/>
      <c r="E265" s="66"/>
      <c r="F265" s="65"/>
      <c r="G265" s="65"/>
      <c r="H265" s="66"/>
      <c r="I265" s="66"/>
      <c r="J265" s="66"/>
      <c r="K265" s="66"/>
      <c r="L265" s="66"/>
      <c r="M265" s="66"/>
      <c r="N265" s="66"/>
      <c r="O265" s="66"/>
      <c r="P265" s="66"/>
      <c r="Q265" s="23"/>
      <c r="AB265" s="23"/>
      <c r="AC265" s="23"/>
      <c r="AD265" s="23"/>
      <c r="AE265" s="7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71"/>
      <c r="AV265" s="10"/>
      <c r="AW265" s="23"/>
      <c r="BB265" s="66"/>
      <c r="BC265" s="66"/>
      <c r="BD265" s="66"/>
      <c r="BE265" s="66"/>
      <c r="BF265" s="66"/>
      <c r="BG265" s="66"/>
      <c r="BH265" s="66"/>
      <c r="BI265" s="66"/>
      <c r="BJ265" s="66"/>
      <c r="BK265" s="66"/>
      <c r="BL265" s="66"/>
      <c r="BM265" s="66"/>
      <c r="BN265" s="66"/>
      <c r="BO265" s="66"/>
      <c r="BP265" s="66"/>
      <c r="BQ265" s="66"/>
      <c r="BR265" s="66"/>
      <c r="BS265" s="66"/>
      <c r="BT265" s="66"/>
      <c r="BU265" s="66"/>
      <c r="BV265" s="66"/>
      <c r="BW265" s="66"/>
    </row>
    <row r="266" spans="1:75" ht="15.75" customHeight="1">
      <c r="A266" s="65"/>
      <c r="B266" s="66"/>
      <c r="C266" s="66"/>
      <c r="D266" s="66"/>
      <c r="E266" s="66"/>
      <c r="F266" s="65"/>
      <c r="G266" s="65"/>
      <c r="H266" s="66"/>
      <c r="I266" s="66"/>
      <c r="J266" s="66"/>
      <c r="K266" s="66"/>
      <c r="L266" s="66"/>
      <c r="M266" s="66"/>
      <c r="N266" s="66"/>
      <c r="O266" s="66"/>
      <c r="P266" s="66"/>
      <c r="Q266" s="23"/>
      <c r="AB266" s="23"/>
      <c r="AC266" s="23"/>
      <c r="AD266" s="23"/>
      <c r="AE266" s="7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71"/>
      <c r="AV266" s="10"/>
      <c r="AW266" s="23"/>
      <c r="BB266" s="66"/>
      <c r="BC266" s="66"/>
      <c r="BD266" s="66"/>
      <c r="BE266" s="66"/>
      <c r="BF266" s="66"/>
      <c r="BG266" s="66"/>
      <c r="BH266" s="66"/>
      <c r="BI266" s="66"/>
      <c r="BJ266" s="66"/>
      <c r="BK266" s="66"/>
      <c r="BL266" s="66"/>
      <c r="BM266" s="66"/>
      <c r="BN266" s="66"/>
      <c r="BO266" s="66"/>
      <c r="BP266" s="66"/>
      <c r="BQ266" s="66"/>
      <c r="BR266" s="66"/>
      <c r="BS266" s="66"/>
      <c r="BT266" s="66"/>
      <c r="BU266" s="66"/>
      <c r="BV266" s="66"/>
      <c r="BW266" s="66"/>
    </row>
    <row r="267" spans="1:75" ht="15.75" customHeight="1">
      <c r="A267" s="65"/>
      <c r="B267" s="66"/>
      <c r="C267" s="66"/>
      <c r="D267" s="66"/>
      <c r="E267" s="66"/>
      <c r="F267" s="65"/>
      <c r="G267" s="65"/>
      <c r="H267" s="66"/>
      <c r="I267" s="66"/>
      <c r="J267" s="66"/>
      <c r="K267" s="66"/>
      <c r="L267" s="66"/>
      <c r="M267" s="66"/>
      <c r="N267" s="66"/>
      <c r="O267" s="66"/>
      <c r="P267" s="66"/>
      <c r="Q267" s="23"/>
      <c r="AB267" s="23"/>
      <c r="AC267" s="23"/>
      <c r="AD267" s="23"/>
      <c r="AE267" s="7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71"/>
      <c r="AV267" s="10"/>
      <c r="AW267" s="23"/>
      <c r="BB267" s="66"/>
      <c r="BC267" s="66"/>
      <c r="BD267" s="66"/>
      <c r="BE267" s="66"/>
      <c r="BF267" s="66"/>
      <c r="BG267" s="66"/>
      <c r="BH267" s="66"/>
      <c r="BI267" s="66"/>
      <c r="BJ267" s="66"/>
      <c r="BK267" s="66"/>
      <c r="BL267" s="66"/>
      <c r="BM267" s="66"/>
      <c r="BN267" s="66"/>
      <c r="BO267" s="66"/>
      <c r="BP267" s="66"/>
      <c r="BQ267" s="66"/>
      <c r="BR267" s="66"/>
      <c r="BS267" s="66"/>
      <c r="BT267" s="66"/>
      <c r="BU267" s="66"/>
      <c r="BV267" s="66"/>
      <c r="BW267" s="66"/>
    </row>
    <row r="268" spans="1:75" ht="15.75" customHeight="1">
      <c r="A268" s="65"/>
      <c r="B268" s="66"/>
      <c r="C268" s="66"/>
      <c r="D268" s="66"/>
      <c r="E268" s="66"/>
      <c r="F268" s="65"/>
      <c r="G268" s="65"/>
      <c r="H268" s="66"/>
      <c r="I268" s="66"/>
      <c r="J268" s="66"/>
      <c r="K268" s="66"/>
      <c r="L268" s="66"/>
      <c r="M268" s="66"/>
      <c r="N268" s="66"/>
      <c r="O268" s="66"/>
      <c r="P268" s="66"/>
      <c r="Q268" s="23"/>
      <c r="AB268" s="23"/>
      <c r="AC268" s="23"/>
      <c r="AD268" s="23"/>
      <c r="AE268" s="7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71"/>
      <c r="AV268" s="10"/>
      <c r="AW268" s="23"/>
      <c r="BB268" s="66"/>
      <c r="BC268" s="66"/>
      <c r="BD268" s="66"/>
      <c r="BE268" s="66"/>
      <c r="BF268" s="66"/>
      <c r="BG268" s="66"/>
      <c r="BH268" s="66"/>
      <c r="BI268" s="66"/>
      <c r="BJ268" s="66"/>
      <c r="BK268" s="66"/>
      <c r="BL268" s="66"/>
      <c r="BM268" s="66"/>
      <c r="BN268" s="66"/>
      <c r="BO268" s="66"/>
      <c r="BP268" s="66"/>
      <c r="BQ268" s="66"/>
      <c r="BR268" s="66"/>
      <c r="BS268" s="66"/>
      <c r="BT268" s="66"/>
      <c r="BU268" s="66"/>
      <c r="BV268" s="66"/>
      <c r="BW268" s="66"/>
    </row>
    <row r="269" spans="1:75" ht="15.75" customHeight="1">
      <c r="A269" s="65"/>
      <c r="B269" s="66"/>
      <c r="C269" s="66"/>
      <c r="D269" s="66"/>
      <c r="E269" s="66"/>
      <c r="F269" s="65"/>
      <c r="G269" s="65"/>
      <c r="H269" s="66"/>
      <c r="I269" s="66"/>
      <c r="J269" s="66"/>
      <c r="K269" s="66"/>
      <c r="L269" s="66"/>
      <c r="M269" s="66"/>
      <c r="N269" s="66"/>
      <c r="O269" s="66"/>
      <c r="P269" s="66"/>
      <c r="Q269" s="23"/>
      <c r="AB269" s="23"/>
      <c r="AC269" s="23"/>
      <c r="AD269" s="23"/>
      <c r="AE269" s="7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71"/>
      <c r="AV269" s="10"/>
      <c r="AW269" s="23"/>
      <c r="BB269" s="66"/>
      <c r="BC269" s="66"/>
      <c r="BD269" s="66"/>
      <c r="BE269" s="66"/>
      <c r="BF269" s="66"/>
      <c r="BG269" s="66"/>
      <c r="BH269" s="66"/>
      <c r="BI269" s="66"/>
      <c r="BJ269" s="66"/>
      <c r="BK269" s="66"/>
      <c r="BL269" s="66"/>
      <c r="BM269" s="66"/>
      <c r="BN269" s="66"/>
      <c r="BO269" s="66"/>
      <c r="BP269" s="66"/>
      <c r="BQ269" s="66"/>
      <c r="BR269" s="66"/>
      <c r="BS269" s="66"/>
      <c r="BT269" s="66"/>
      <c r="BU269" s="66"/>
      <c r="BV269" s="66"/>
      <c r="BW269" s="66"/>
    </row>
    <row r="270" spans="1:75" ht="15.75" customHeight="1">
      <c r="A270" s="65"/>
      <c r="B270" s="66"/>
      <c r="C270" s="66"/>
      <c r="D270" s="66"/>
      <c r="E270" s="66"/>
      <c r="F270" s="65"/>
      <c r="G270" s="65"/>
      <c r="H270" s="66"/>
      <c r="I270" s="66"/>
      <c r="J270" s="66"/>
      <c r="K270" s="66"/>
      <c r="L270" s="66"/>
      <c r="M270" s="66"/>
      <c r="N270" s="66"/>
      <c r="O270" s="66"/>
      <c r="P270" s="66"/>
      <c r="Q270" s="23"/>
      <c r="AB270" s="23"/>
      <c r="AC270" s="23"/>
      <c r="AD270" s="23"/>
      <c r="AE270" s="7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71"/>
      <c r="AV270" s="10"/>
      <c r="AW270" s="23"/>
      <c r="BB270" s="66"/>
      <c r="BC270" s="66"/>
      <c r="BD270" s="66"/>
      <c r="BE270" s="66"/>
      <c r="BF270" s="66"/>
      <c r="BG270" s="66"/>
      <c r="BH270" s="66"/>
      <c r="BI270" s="66"/>
      <c r="BJ270" s="66"/>
      <c r="BK270" s="66"/>
      <c r="BL270" s="66"/>
      <c r="BM270" s="66"/>
      <c r="BN270" s="66"/>
      <c r="BO270" s="66"/>
      <c r="BP270" s="66"/>
      <c r="BQ270" s="66"/>
      <c r="BR270" s="66"/>
      <c r="BS270" s="66"/>
      <c r="BT270" s="66"/>
      <c r="BU270" s="66"/>
      <c r="BV270" s="66"/>
      <c r="BW270" s="66"/>
    </row>
    <row r="271" spans="1:75" ht="15.75" customHeight="1">
      <c r="A271" s="65"/>
      <c r="B271" s="66"/>
      <c r="C271" s="66"/>
      <c r="D271" s="66"/>
      <c r="E271" s="66"/>
      <c r="F271" s="65"/>
      <c r="G271" s="65"/>
      <c r="H271" s="66"/>
      <c r="I271" s="66"/>
      <c r="J271" s="66"/>
      <c r="K271" s="66"/>
      <c r="L271" s="66"/>
      <c r="M271" s="66"/>
      <c r="N271" s="66"/>
      <c r="O271" s="66"/>
      <c r="P271" s="66"/>
      <c r="Q271" s="23"/>
      <c r="AB271" s="23"/>
      <c r="AC271" s="23"/>
      <c r="AD271" s="23"/>
      <c r="AE271" s="7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71"/>
      <c r="AV271" s="10"/>
      <c r="AW271" s="23"/>
      <c r="BB271" s="66"/>
      <c r="BC271" s="66"/>
      <c r="BD271" s="66"/>
      <c r="BE271" s="66"/>
      <c r="BF271" s="66"/>
      <c r="BG271" s="66"/>
      <c r="BH271" s="66"/>
      <c r="BI271" s="66"/>
      <c r="BJ271" s="66"/>
      <c r="BK271" s="66"/>
      <c r="BL271" s="66"/>
      <c r="BM271" s="66"/>
      <c r="BN271" s="66"/>
      <c r="BO271" s="66"/>
      <c r="BP271" s="66"/>
      <c r="BQ271" s="66"/>
      <c r="BR271" s="66"/>
      <c r="BS271" s="66"/>
      <c r="BT271" s="66"/>
      <c r="BU271" s="66"/>
      <c r="BV271" s="66"/>
      <c r="BW271" s="66"/>
    </row>
    <row r="272" spans="1:75" ht="15.75" customHeight="1">
      <c r="A272" s="65"/>
      <c r="B272" s="66"/>
      <c r="C272" s="66"/>
      <c r="D272" s="66"/>
      <c r="E272" s="66"/>
      <c r="F272" s="65"/>
      <c r="G272" s="65"/>
      <c r="H272" s="66"/>
      <c r="I272" s="66"/>
      <c r="J272" s="66"/>
      <c r="K272" s="66"/>
      <c r="L272" s="66"/>
      <c r="M272" s="66"/>
      <c r="N272" s="66"/>
      <c r="O272" s="66"/>
      <c r="P272" s="66"/>
      <c r="Q272" s="23"/>
      <c r="AB272" s="23"/>
      <c r="AC272" s="23"/>
      <c r="AD272" s="23"/>
      <c r="AE272" s="7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71"/>
      <c r="AV272" s="10"/>
      <c r="AW272" s="23"/>
      <c r="BB272" s="66"/>
      <c r="BC272" s="66"/>
      <c r="BD272" s="66"/>
      <c r="BE272" s="66"/>
      <c r="BF272" s="66"/>
      <c r="BG272" s="66"/>
      <c r="BH272" s="66"/>
      <c r="BI272" s="66"/>
      <c r="BJ272" s="66"/>
      <c r="BK272" s="66"/>
      <c r="BL272" s="66"/>
      <c r="BM272" s="66"/>
      <c r="BN272" s="66"/>
      <c r="BO272" s="66"/>
      <c r="BP272" s="66"/>
      <c r="BQ272" s="66"/>
      <c r="BR272" s="66"/>
      <c r="BS272" s="66"/>
      <c r="BT272" s="66"/>
      <c r="BU272" s="66"/>
      <c r="BV272" s="66"/>
      <c r="BW272" s="66"/>
    </row>
    <row r="273" spans="1:75" ht="15.75" customHeight="1">
      <c r="A273" s="65"/>
      <c r="B273" s="66"/>
      <c r="C273" s="66"/>
      <c r="D273" s="66"/>
      <c r="E273" s="66"/>
      <c r="F273" s="65"/>
      <c r="G273" s="65"/>
      <c r="H273" s="66"/>
      <c r="I273" s="66"/>
      <c r="J273" s="66"/>
      <c r="K273" s="66"/>
      <c r="L273" s="66"/>
      <c r="M273" s="66"/>
      <c r="N273" s="66"/>
      <c r="O273" s="66"/>
      <c r="P273" s="66"/>
      <c r="Q273" s="23"/>
      <c r="AB273" s="23"/>
      <c r="AC273" s="23"/>
      <c r="AD273" s="23"/>
      <c r="AE273" s="7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71"/>
      <c r="AV273" s="10"/>
      <c r="AW273" s="23"/>
      <c r="BB273" s="66"/>
      <c r="BC273" s="66"/>
      <c r="BD273" s="66"/>
      <c r="BE273" s="66"/>
      <c r="BF273" s="66"/>
      <c r="BG273" s="66"/>
      <c r="BH273" s="66"/>
      <c r="BI273" s="66"/>
      <c r="BJ273" s="66"/>
      <c r="BK273" s="66"/>
      <c r="BL273" s="66"/>
      <c r="BM273" s="66"/>
      <c r="BN273" s="66"/>
      <c r="BO273" s="66"/>
      <c r="BP273" s="66"/>
      <c r="BQ273" s="66"/>
      <c r="BR273" s="66"/>
      <c r="BS273" s="66"/>
      <c r="BT273" s="66"/>
      <c r="BU273" s="66"/>
      <c r="BV273" s="66"/>
      <c r="BW273" s="66"/>
    </row>
    <row r="274" spans="1:75" ht="15.75" customHeight="1">
      <c r="A274" s="65"/>
      <c r="B274" s="66"/>
      <c r="C274" s="66"/>
      <c r="D274" s="66"/>
      <c r="E274" s="66"/>
      <c r="F274" s="65"/>
      <c r="G274" s="65"/>
      <c r="H274" s="66"/>
      <c r="I274" s="66"/>
      <c r="J274" s="66"/>
      <c r="K274" s="66"/>
      <c r="L274" s="66"/>
      <c r="M274" s="66"/>
      <c r="N274" s="66"/>
      <c r="O274" s="66"/>
      <c r="P274" s="66"/>
      <c r="Q274" s="23"/>
      <c r="AB274" s="23"/>
      <c r="AC274" s="23"/>
      <c r="AD274" s="23"/>
      <c r="AE274" s="7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71"/>
      <c r="AV274" s="10"/>
      <c r="AW274" s="23"/>
      <c r="BB274" s="66"/>
      <c r="BC274" s="66"/>
      <c r="BD274" s="66"/>
      <c r="BE274" s="66"/>
      <c r="BF274" s="66"/>
      <c r="BG274" s="66"/>
      <c r="BH274" s="66"/>
      <c r="BI274" s="66"/>
      <c r="BJ274" s="66"/>
      <c r="BK274" s="66"/>
      <c r="BL274" s="66"/>
      <c r="BM274" s="66"/>
      <c r="BN274" s="66"/>
      <c r="BO274" s="66"/>
      <c r="BP274" s="66"/>
      <c r="BQ274" s="66"/>
      <c r="BR274" s="66"/>
      <c r="BS274" s="66"/>
      <c r="BT274" s="66"/>
      <c r="BU274" s="66"/>
      <c r="BV274" s="66"/>
      <c r="BW274" s="66"/>
    </row>
    <row r="275" spans="1:75" ht="15.75" customHeight="1">
      <c r="A275" s="65"/>
      <c r="B275" s="66"/>
      <c r="C275" s="66"/>
      <c r="D275" s="66"/>
      <c r="E275" s="66"/>
      <c r="F275" s="65"/>
      <c r="G275" s="65"/>
      <c r="H275" s="66"/>
      <c r="I275" s="66"/>
      <c r="J275" s="66"/>
      <c r="K275" s="66"/>
      <c r="L275" s="66"/>
      <c r="M275" s="66"/>
      <c r="N275" s="66"/>
      <c r="O275" s="66"/>
      <c r="P275" s="66"/>
      <c r="Q275" s="23"/>
      <c r="AB275" s="23"/>
      <c r="AC275" s="23"/>
      <c r="AD275" s="23"/>
      <c r="AE275" s="7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71"/>
      <c r="AV275" s="10"/>
      <c r="AW275" s="23"/>
      <c r="BB275" s="66"/>
      <c r="BC275" s="66"/>
      <c r="BD275" s="66"/>
      <c r="BE275" s="66"/>
      <c r="BF275" s="66"/>
      <c r="BG275" s="66"/>
      <c r="BH275" s="66"/>
      <c r="BI275" s="66"/>
      <c r="BJ275" s="66"/>
      <c r="BK275" s="66"/>
      <c r="BL275" s="66"/>
      <c r="BM275" s="66"/>
      <c r="BN275" s="66"/>
      <c r="BO275" s="66"/>
      <c r="BP275" s="66"/>
      <c r="BQ275" s="66"/>
      <c r="BR275" s="66"/>
      <c r="BS275" s="66"/>
      <c r="BT275" s="66"/>
      <c r="BU275" s="66"/>
      <c r="BV275" s="66"/>
      <c r="BW275" s="66"/>
    </row>
    <row r="276" spans="1:75" ht="15.75" customHeight="1">
      <c r="A276" s="65"/>
      <c r="B276" s="66"/>
      <c r="C276" s="66"/>
      <c r="D276" s="66"/>
      <c r="E276" s="66"/>
      <c r="F276" s="65"/>
      <c r="G276" s="65"/>
      <c r="H276" s="66"/>
      <c r="I276" s="66"/>
      <c r="J276" s="66"/>
      <c r="K276" s="66"/>
      <c r="L276" s="66"/>
      <c r="M276" s="66"/>
      <c r="N276" s="66"/>
      <c r="O276" s="66"/>
      <c r="P276" s="66"/>
      <c r="Q276" s="23"/>
      <c r="AB276" s="23"/>
      <c r="AC276" s="23"/>
      <c r="AD276" s="23"/>
      <c r="AE276" s="7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71"/>
      <c r="AV276" s="10"/>
      <c r="AW276" s="23"/>
      <c r="BB276" s="66"/>
      <c r="BC276" s="66"/>
      <c r="BD276" s="66"/>
      <c r="BE276" s="66"/>
      <c r="BF276" s="66"/>
      <c r="BG276" s="66"/>
      <c r="BH276" s="66"/>
      <c r="BI276" s="66"/>
      <c r="BJ276" s="66"/>
      <c r="BK276" s="66"/>
      <c r="BL276" s="66"/>
      <c r="BM276" s="66"/>
      <c r="BN276" s="66"/>
      <c r="BO276" s="66"/>
      <c r="BP276" s="66"/>
      <c r="BQ276" s="66"/>
      <c r="BR276" s="66"/>
      <c r="BS276" s="66"/>
      <c r="BT276" s="66"/>
      <c r="BU276" s="66"/>
      <c r="BV276" s="66"/>
      <c r="BW276" s="66"/>
    </row>
    <row r="277" spans="1:75" ht="15.75" customHeight="1">
      <c r="A277" s="65"/>
      <c r="B277" s="66"/>
      <c r="C277" s="66"/>
      <c r="D277" s="66"/>
      <c r="E277" s="66"/>
      <c r="F277" s="65"/>
      <c r="G277" s="65"/>
      <c r="H277" s="66"/>
      <c r="I277" s="66"/>
      <c r="J277" s="66"/>
      <c r="K277" s="66"/>
      <c r="L277" s="66"/>
      <c r="M277" s="66"/>
      <c r="N277" s="66"/>
      <c r="O277" s="66"/>
      <c r="P277" s="66"/>
      <c r="Q277" s="23"/>
      <c r="AB277" s="23"/>
      <c r="AC277" s="23"/>
      <c r="AD277" s="23"/>
      <c r="AE277" s="7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71"/>
      <c r="AV277" s="10"/>
      <c r="AW277" s="23"/>
      <c r="BB277" s="66"/>
      <c r="BC277" s="66"/>
      <c r="BD277" s="66"/>
      <c r="BE277" s="66"/>
      <c r="BF277" s="66"/>
      <c r="BG277" s="66"/>
      <c r="BH277" s="66"/>
      <c r="BI277" s="66"/>
      <c r="BJ277" s="66"/>
      <c r="BK277" s="66"/>
      <c r="BL277" s="66"/>
      <c r="BM277" s="66"/>
      <c r="BN277" s="66"/>
      <c r="BO277" s="66"/>
      <c r="BP277" s="66"/>
      <c r="BQ277" s="66"/>
      <c r="BR277" s="66"/>
      <c r="BS277" s="66"/>
      <c r="BT277" s="66"/>
      <c r="BU277" s="66"/>
      <c r="BV277" s="66"/>
      <c r="BW277" s="66"/>
    </row>
    <row r="278" spans="1:75" ht="15.75" customHeight="1">
      <c r="A278" s="65"/>
      <c r="B278" s="66"/>
      <c r="C278" s="66"/>
      <c r="D278" s="66"/>
      <c r="E278" s="66"/>
      <c r="F278" s="65"/>
      <c r="G278" s="65"/>
      <c r="H278" s="66"/>
      <c r="I278" s="66"/>
      <c r="J278" s="66"/>
      <c r="K278" s="66"/>
      <c r="L278" s="66"/>
      <c r="M278" s="66"/>
      <c r="N278" s="66"/>
      <c r="O278" s="66"/>
      <c r="P278" s="66"/>
      <c r="Q278" s="23"/>
      <c r="AB278" s="23"/>
      <c r="AC278" s="23"/>
      <c r="AD278" s="23"/>
      <c r="AE278" s="7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71"/>
      <c r="AV278" s="10"/>
      <c r="AW278" s="23"/>
      <c r="BB278" s="66"/>
      <c r="BC278" s="66"/>
      <c r="BD278" s="66"/>
      <c r="BE278" s="66"/>
      <c r="BF278" s="66"/>
      <c r="BG278" s="66"/>
      <c r="BH278" s="66"/>
      <c r="BI278" s="66"/>
      <c r="BJ278" s="66"/>
      <c r="BK278" s="66"/>
      <c r="BL278" s="66"/>
      <c r="BM278" s="66"/>
      <c r="BN278" s="66"/>
      <c r="BO278" s="66"/>
      <c r="BP278" s="66"/>
      <c r="BQ278" s="66"/>
      <c r="BR278" s="66"/>
      <c r="BS278" s="66"/>
      <c r="BT278" s="66"/>
      <c r="BU278" s="66"/>
      <c r="BV278" s="66"/>
      <c r="BW278" s="66"/>
    </row>
    <row r="279" spans="1:75" ht="15.75" customHeight="1">
      <c r="A279" s="65"/>
      <c r="B279" s="66"/>
      <c r="C279" s="66"/>
      <c r="D279" s="66"/>
      <c r="E279" s="66"/>
      <c r="F279" s="65"/>
      <c r="G279" s="65"/>
      <c r="H279" s="66"/>
      <c r="I279" s="66"/>
      <c r="J279" s="66"/>
      <c r="K279" s="66"/>
      <c r="L279" s="66"/>
      <c r="M279" s="66"/>
      <c r="N279" s="66"/>
      <c r="O279" s="66"/>
      <c r="P279" s="66"/>
      <c r="Q279" s="23"/>
      <c r="AB279" s="23"/>
      <c r="AC279" s="23"/>
      <c r="AD279" s="23"/>
      <c r="AE279" s="7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71"/>
      <c r="AV279" s="10"/>
      <c r="AW279" s="23"/>
      <c r="BB279" s="66"/>
      <c r="BC279" s="66"/>
      <c r="BD279" s="66"/>
      <c r="BE279" s="66"/>
      <c r="BF279" s="66"/>
      <c r="BG279" s="66"/>
      <c r="BH279" s="66"/>
      <c r="BI279" s="66"/>
      <c r="BJ279" s="66"/>
      <c r="BK279" s="66"/>
      <c r="BL279" s="66"/>
      <c r="BM279" s="66"/>
      <c r="BN279" s="66"/>
      <c r="BO279" s="66"/>
      <c r="BP279" s="66"/>
      <c r="BQ279" s="66"/>
      <c r="BR279" s="66"/>
      <c r="BS279" s="66"/>
      <c r="BT279" s="66"/>
      <c r="BU279" s="66"/>
      <c r="BV279" s="66"/>
      <c r="BW279" s="66"/>
    </row>
    <row r="280" spans="1:75" ht="15.75" customHeight="1">
      <c r="A280" s="65"/>
      <c r="B280" s="66"/>
      <c r="C280" s="66"/>
      <c r="D280" s="66"/>
      <c r="E280" s="66"/>
      <c r="F280" s="65"/>
      <c r="G280" s="65"/>
      <c r="H280" s="66"/>
      <c r="I280" s="66"/>
      <c r="J280" s="66"/>
      <c r="K280" s="66"/>
      <c r="L280" s="66"/>
      <c r="M280" s="66"/>
      <c r="N280" s="66"/>
      <c r="O280" s="66"/>
      <c r="P280" s="66"/>
      <c r="Q280" s="23"/>
      <c r="AB280" s="23"/>
      <c r="AC280" s="23"/>
      <c r="AD280" s="23"/>
      <c r="AE280" s="7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71"/>
      <c r="AV280" s="10"/>
      <c r="AW280" s="23"/>
      <c r="BB280" s="66"/>
      <c r="BC280" s="66"/>
      <c r="BD280" s="66"/>
      <c r="BE280" s="66"/>
      <c r="BF280" s="66"/>
      <c r="BG280" s="66"/>
      <c r="BH280" s="66"/>
      <c r="BI280" s="66"/>
      <c r="BJ280" s="66"/>
      <c r="BK280" s="66"/>
      <c r="BL280" s="66"/>
      <c r="BM280" s="66"/>
      <c r="BN280" s="66"/>
      <c r="BO280" s="66"/>
      <c r="BP280" s="66"/>
      <c r="BQ280" s="66"/>
      <c r="BR280" s="66"/>
      <c r="BS280" s="66"/>
      <c r="BT280" s="66"/>
      <c r="BU280" s="66"/>
      <c r="BV280" s="66"/>
      <c r="BW280" s="66"/>
    </row>
    <row r="281" spans="1:75" ht="15.75" customHeight="1">
      <c r="A281" s="65"/>
      <c r="B281" s="66"/>
      <c r="C281" s="66"/>
      <c r="D281" s="66"/>
      <c r="E281" s="66"/>
      <c r="F281" s="65"/>
      <c r="G281" s="65"/>
      <c r="H281" s="66"/>
      <c r="I281" s="66"/>
      <c r="J281" s="66"/>
      <c r="K281" s="66"/>
      <c r="L281" s="66"/>
      <c r="M281" s="66"/>
      <c r="N281" s="66"/>
      <c r="O281" s="66"/>
      <c r="P281" s="66"/>
      <c r="Q281" s="23"/>
      <c r="AB281" s="23"/>
      <c r="AC281" s="23"/>
      <c r="AD281" s="23"/>
      <c r="AE281" s="7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71"/>
      <c r="AV281" s="10"/>
      <c r="AW281" s="23"/>
      <c r="BB281" s="66"/>
      <c r="BC281" s="66"/>
      <c r="BD281" s="66"/>
      <c r="BE281" s="66"/>
      <c r="BF281" s="66"/>
      <c r="BG281" s="66"/>
      <c r="BH281" s="66"/>
      <c r="BI281" s="66"/>
      <c r="BJ281" s="66"/>
      <c r="BK281" s="66"/>
      <c r="BL281" s="66"/>
      <c r="BM281" s="66"/>
      <c r="BN281" s="66"/>
      <c r="BO281" s="66"/>
      <c r="BP281" s="66"/>
      <c r="BQ281" s="66"/>
      <c r="BR281" s="66"/>
      <c r="BS281" s="66"/>
      <c r="BT281" s="66"/>
      <c r="BU281" s="66"/>
      <c r="BV281" s="66"/>
      <c r="BW281" s="66"/>
    </row>
    <row r="282" spans="1:75" ht="15.75" customHeight="1">
      <c r="A282" s="65"/>
      <c r="B282" s="66"/>
      <c r="C282" s="66"/>
      <c r="D282" s="66"/>
      <c r="E282" s="66"/>
      <c r="F282" s="65"/>
      <c r="G282" s="65"/>
      <c r="H282" s="66"/>
      <c r="I282" s="66"/>
      <c r="J282" s="66"/>
      <c r="K282" s="66"/>
      <c r="L282" s="66"/>
      <c r="M282" s="66"/>
      <c r="N282" s="66"/>
      <c r="O282" s="66"/>
      <c r="P282" s="66"/>
      <c r="Q282" s="23"/>
      <c r="AB282" s="23"/>
      <c r="AC282" s="23"/>
      <c r="AD282" s="23"/>
      <c r="AE282" s="7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71"/>
      <c r="AV282" s="10"/>
      <c r="AW282" s="23"/>
      <c r="BB282" s="66"/>
      <c r="BC282" s="66"/>
      <c r="BD282" s="66"/>
      <c r="BE282" s="66"/>
      <c r="BF282" s="66"/>
      <c r="BG282" s="66"/>
      <c r="BH282" s="66"/>
      <c r="BI282" s="66"/>
      <c r="BJ282" s="66"/>
      <c r="BK282" s="66"/>
      <c r="BL282" s="66"/>
      <c r="BM282" s="66"/>
      <c r="BN282" s="66"/>
      <c r="BO282" s="66"/>
      <c r="BP282" s="66"/>
      <c r="BQ282" s="66"/>
      <c r="BR282" s="66"/>
      <c r="BS282" s="66"/>
      <c r="BT282" s="66"/>
      <c r="BU282" s="66"/>
      <c r="BV282" s="66"/>
      <c r="BW282" s="66"/>
    </row>
    <row r="283" spans="1:75" ht="15.75" customHeight="1">
      <c r="A283" s="65"/>
      <c r="B283" s="66"/>
      <c r="C283" s="66"/>
      <c r="D283" s="66"/>
      <c r="E283" s="66"/>
      <c r="F283" s="65"/>
      <c r="G283" s="65"/>
      <c r="H283" s="66"/>
      <c r="I283" s="66"/>
      <c r="J283" s="66"/>
      <c r="K283" s="66"/>
      <c r="L283" s="66"/>
      <c r="M283" s="66"/>
      <c r="N283" s="66"/>
      <c r="O283" s="66"/>
      <c r="P283" s="66"/>
      <c r="Q283" s="23"/>
      <c r="AB283" s="23"/>
      <c r="AC283" s="23"/>
      <c r="AD283" s="23"/>
      <c r="AE283" s="7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71"/>
      <c r="AV283" s="10"/>
      <c r="AW283" s="23"/>
      <c r="BB283" s="66"/>
      <c r="BC283" s="66"/>
      <c r="BD283" s="66"/>
      <c r="BE283" s="66"/>
      <c r="BF283" s="66"/>
      <c r="BG283" s="66"/>
      <c r="BH283" s="66"/>
      <c r="BI283" s="66"/>
      <c r="BJ283" s="66"/>
      <c r="BK283" s="66"/>
      <c r="BL283" s="66"/>
      <c r="BM283" s="66"/>
      <c r="BN283" s="66"/>
      <c r="BO283" s="66"/>
      <c r="BP283" s="66"/>
      <c r="BQ283" s="66"/>
      <c r="BR283" s="66"/>
      <c r="BS283" s="66"/>
      <c r="BT283" s="66"/>
      <c r="BU283" s="66"/>
      <c r="BV283" s="66"/>
      <c r="BW283" s="66"/>
    </row>
    <row r="284" spans="1:75" ht="15.75" customHeight="1">
      <c r="A284" s="65"/>
      <c r="B284" s="66"/>
      <c r="C284" s="66"/>
      <c r="D284" s="66"/>
      <c r="E284" s="66"/>
      <c r="F284" s="65"/>
      <c r="G284" s="65"/>
      <c r="H284" s="66"/>
      <c r="I284" s="66"/>
      <c r="J284" s="66"/>
      <c r="K284" s="66"/>
      <c r="L284" s="66"/>
      <c r="M284" s="66"/>
      <c r="N284" s="66"/>
      <c r="O284" s="66"/>
      <c r="P284" s="66"/>
      <c r="Q284" s="23"/>
      <c r="AB284" s="23"/>
      <c r="AC284" s="23"/>
      <c r="AD284" s="23"/>
      <c r="AE284" s="7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71"/>
      <c r="AV284" s="10"/>
      <c r="AW284" s="23"/>
      <c r="BB284" s="66"/>
      <c r="BC284" s="66"/>
      <c r="BD284" s="66"/>
      <c r="BE284" s="66"/>
      <c r="BF284" s="66"/>
      <c r="BG284" s="66"/>
      <c r="BH284" s="66"/>
      <c r="BI284" s="66"/>
      <c r="BJ284" s="66"/>
      <c r="BK284" s="66"/>
      <c r="BL284" s="66"/>
      <c r="BM284" s="66"/>
      <c r="BN284" s="66"/>
      <c r="BO284" s="66"/>
      <c r="BP284" s="66"/>
      <c r="BQ284" s="66"/>
      <c r="BR284" s="66"/>
      <c r="BS284" s="66"/>
      <c r="BT284" s="66"/>
      <c r="BU284" s="66"/>
      <c r="BV284" s="66"/>
      <c r="BW284" s="66"/>
    </row>
    <row r="285" spans="1:75" ht="15.75" customHeight="1">
      <c r="A285" s="65"/>
      <c r="B285" s="66"/>
      <c r="C285" s="66"/>
      <c r="D285" s="66"/>
      <c r="E285" s="66"/>
      <c r="F285" s="65"/>
      <c r="G285" s="65"/>
      <c r="H285" s="66"/>
      <c r="I285" s="66"/>
      <c r="J285" s="66"/>
      <c r="K285" s="66"/>
      <c r="L285" s="66"/>
      <c r="M285" s="66"/>
      <c r="N285" s="66"/>
      <c r="O285" s="66"/>
      <c r="P285" s="66"/>
      <c r="Q285" s="23"/>
      <c r="AB285" s="23"/>
      <c r="AC285" s="23"/>
      <c r="AD285" s="23"/>
      <c r="AE285" s="7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71"/>
      <c r="AV285" s="10"/>
      <c r="AW285" s="23"/>
      <c r="BB285" s="66"/>
      <c r="BC285" s="66"/>
      <c r="BD285" s="66"/>
      <c r="BE285" s="66"/>
      <c r="BF285" s="66"/>
      <c r="BG285" s="66"/>
      <c r="BH285" s="66"/>
      <c r="BI285" s="66"/>
      <c r="BJ285" s="66"/>
      <c r="BK285" s="66"/>
      <c r="BL285" s="66"/>
      <c r="BM285" s="66"/>
      <c r="BN285" s="66"/>
      <c r="BO285" s="66"/>
      <c r="BP285" s="66"/>
      <c r="BQ285" s="66"/>
      <c r="BR285" s="66"/>
      <c r="BS285" s="66"/>
      <c r="BT285" s="66"/>
      <c r="BU285" s="66"/>
      <c r="BV285" s="66"/>
      <c r="BW285" s="66"/>
    </row>
    <row r="286" spans="1:75" ht="15.75" customHeight="1">
      <c r="A286" s="65"/>
      <c r="B286" s="66"/>
      <c r="C286" s="66"/>
      <c r="D286" s="66"/>
      <c r="E286" s="66"/>
      <c r="F286" s="65"/>
      <c r="G286" s="65"/>
      <c r="H286" s="66"/>
      <c r="I286" s="66"/>
      <c r="J286" s="66"/>
      <c r="K286" s="66"/>
      <c r="L286" s="66"/>
      <c r="M286" s="66"/>
      <c r="N286" s="66"/>
      <c r="O286" s="66"/>
      <c r="P286" s="66"/>
      <c r="Q286" s="23"/>
      <c r="AB286" s="23"/>
      <c r="AC286" s="23"/>
      <c r="AD286" s="23"/>
      <c r="AE286" s="7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71"/>
      <c r="AV286" s="10"/>
      <c r="AW286" s="23"/>
      <c r="BB286" s="66"/>
      <c r="BC286" s="66"/>
      <c r="BD286" s="66"/>
      <c r="BE286" s="66"/>
      <c r="BF286" s="66"/>
      <c r="BG286" s="66"/>
      <c r="BH286" s="66"/>
      <c r="BI286" s="66"/>
      <c r="BJ286" s="66"/>
      <c r="BK286" s="66"/>
      <c r="BL286" s="66"/>
      <c r="BM286" s="66"/>
      <c r="BN286" s="66"/>
      <c r="BO286" s="66"/>
      <c r="BP286" s="66"/>
      <c r="BQ286" s="66"/>
      <c r="BR286" s="66"/>
      <c r="BS286" s="66"/>
      <c r="BT286" s="66"/>
      <c r="BU286" s="66"/>
      <c r="BV286" s="66"/>
      <c r="BW286" s="66"/>
    </row>
    <row r="287" spans="1:75" ht="15.75" customHeight="1">
      <c r="A287" s="65"/>
      <c r="B287" s="66"/>
      <c r="C287" s="66"/>
      <c r="D287" s="66"/>
      <c r="E287" s="66"/>
      <c r="F287" s="65"/>
      <c r="G287" s="65"/>
      <c r="H287" s="66"/>
      <c r="I287" s="66"/>
      <c r="J287" s="66"/>
      <c r="K287" s="66"/>
      <c r="L287" s="66"/>
      <c r="M287" s="66"/>
      <c r="N287" s="66"/>
      <c r="O287" s="66"/>
      <c r="P287" s="66"/>
      <c r="Q287" s="23"/>
      <c r="AB287" s="23"/>
      <c r="AC287" s="23"/>
      <c r="AD287" s="23"/>
      <c r="AE287" s="7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71"/>
      <c r="AV287" s="10"/>
      <c r="AW287" s="23"/>
      <c r="BB287" s="66"/>
      <c r="BC287" s="66"/>
      <c r="BD287" s="66"/>
      <c r="BE287" s="66"/>
      <c r="BF287" s="66"/>
      <c r="BG287" s="66"/>
      <c r="BH287" s="66"/>
      <c r="BI287" s="66"/>
      <c r="BJ287" s="66"/>
      <c r="BK287" s="66"/>
      <c r="BL287" s="66"/>
      <c r="BM287" s="66"/>
      <c r="BN287" s="66"/>
      <c r="BO287" s="66"/>
      <c r="BP287" s="66"/>
      <c r="BQ287" s="66"/>
      <c r="BR287" s="66"/>
      <c r="BS287" s="66"/>
      <c r="BT287" s="66"/>
      <c r="BU287" s="66"/>
      <c r="BV287" s="66"/>
      <c r="BW287" s="66"/>
    </row>
    <row r="288" spans="1:75" ht="15.75" customHeight="1">
      <c r="A288" s="65"/>
      <c r="B288" s="66"/>
      <c r="C288" s="66"/>
      <c r="D288" s="66"/>
      <c r="E288" s="66"/>
      <c r="F288" s="65"/>
      <c r="G288" s="65"/>
      <c r="H288" s="66"/>
      <c r="I288" s="66"/>
      <c r="J288" s="66"/>
      <c r="K288" s="66"/>
      <c r="L288" s="66"/>
      <c r="M288" s="66"/>
      <c r="N288" s="66"/>
      <c r="O288" s="66"/>
      <c r="P288" s="66"/>
      <c r="Q288" s="23"/>
      <c r="AB288" s="23"/>
      <c r="AC288" s="23"/>
      <c r="AD288" s="23"/>
      <c r="AE288" s="7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71"/>
      <c r="AV288" s="10"/>
      <c r="AW288" s="23"/>
      <c r="BB288" s="66"/>
      <c r="BC288" s="66"/>
      <c r="BD288" s="66"/>
      <c r="BE288" s="66"/>
      <c r="BF288" s="66"/>
      <c r="BG288" s="66"/>
      <c r="BH288" s="66"/>
      <c r="BI288" s="66"/>
      <c r="BJ288" s="66"/>
      <c r="BK288" s="66"/>
      <c r="BL288" s="66"/>
      <c r="BM288" s="66"/>
      <c r="BN288" s="66"/>
      <c r="BO288" s="66"/>
      <c r="BP288" s="66"/>
      <c r="BQ288" s="66"/>
      <c r="BR288" s="66"/>
      <c r="BS288" s="66"/>
      <c r="BT288" s="66"/>
      <c r="BU288" s="66"/>
      <c r="BV288" s="66"/>
      <c r="BW288" s="66"/>
    </row>
    <row r="289" spans="1:75" ht="15.75" customHeight="1">
      <c r="A289" s="65"/>
      <c r="B289" s="66"/>
      <c r="C289" s="66"/>
      <c r="D289" s="66"/>
      <c r="E289" s="66"/>
      <c r="F289" s="65"/>
      <c r="G289" s="65"/>
      <c r="H289" s="66"/>
      <c r="I289" s="66"/>
      <c r="J289" s="66"/>
      <c r="K289" s="66"/>
      <c r="L289" s="66"/>
      <c r="M289" s="66"/>
      <c r="N289" s="66"/>
      <c r="O289" s="66"/>
      <c r="P289" s="66"/>
      <c r="Q289" s="23"/>
      <c r="AB289" s="23"/>
      <c r="AC289" s="23"/>
      <c r="AD289" s="23"/>
      <c r="AE289" s="7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71"/>
      <c r="AV289" s="10"/>
      <c r="AW289" s="23"/>
      <c r="BB289" s="66"/>
      <c r="BC289" s="66"/>
      <c r="BD289" s="66"/>
      <c r="BE289" s="66"/>
      <c r="BF289" s="66"/>
      <c r="BG289" s="66"/>
      <c r="BH289" s="66"/>
      <c r="BI289" s="66"/>
      <c r="BJ289" s="66"/>
      <c r="BK289" s="66"/>
      <c r="BL289" s="66"/>
      <c r="BM289" s="66"/>
      <c r="BN289" s="66"/>
      <c r="BO289" s="66"/>
      <c r="BP289" s="66"/>
      <c r="BQ289" s="66"/>
      <c r="BR289" s="66"/>
      <c r="BS289" s="66"/>
      <c r="BT289" s="66"/>
      <c r="BU289" s="66"/>
      <c r="BV289" s="66"/>
      <c r="BW289" s="66"/>
    </row>
    <row r="290" spans="1:75" ht="15.75" customHeight="1">
      <c r="A290" s="65"/>
      <c r="B290" s="66"/>
      <c r="C290" s="66"/>
      <c r="D290" s="66"/>
      <c r="E290" s="66"/>
      <c r="F290" s="65"/>
      <c r="G290" s="65"/>
      <c r="H290" s="66"/>
      <c r="I290" s="66"/>
      <c r="J290" s="66"/>
      <c r="K290" s="66"/>
      <c r="L290" s="66"/>
      <c r="M290" s="66"/>
      <c r="N290" s="66"/>
      <c r="O290" s="66"/>
      <c r="P290" s="66"/>
      <c r="Q290" s="23"/>
      <c r="AB290" s="23"/>
      <c r="AC290" s="23"/>
      <c r="AD290" s="23"/>
      <c r="AE290" s="7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71"/>
      <c r="AV290" s="10"/>
      <c r="AW290" s="23"/>
      <c r="BB290" s="66"/>
      <c r="BC290" s="66"/>
      <c r="BD290" s="66"/>
      <c r="BE290" s="66"/>
      <c r="BF290" s="66"/>
      <c r="BG290" s="66"/>
      <c r="BH290" s="66"/>
      <c r="BI290" s="66"/>
      <c r="BJ290" s="66"/>
      <c r="BK290" s="66"/>
      <c r="BL290" s="66"/>
      <c r="BM290" s="66"/>
      <c r="BN290" s="66"/>
      <c r="BO290" s="66"/>
      <c r="BP290" s="66"/>
      <c r="BQ290" s="66"/>
      <c r="BR290" s="66"/>
      <c r="BS290" s="66"/>
      <c r="BT290" s="66"/>
      <c r="BU290" s="66"/>
      <c r="BV290" s="66"/>
      <c r="BW290" s="66"/>
    </row>
    <row r="291" spans="1:75" ht="15.75" customHeight="1">
      <c r="A291" s="65"/>
      <c r="B291" s="66"/>
      <c r="C291" s="66"/>
      <c r="D291" s="66"/>
      <c r="E291" s="66"/>
      <c r="F291" s="65"/>
      <c r="G291" s="65"/>
      <c r="H291" s="66"/>
      <c r="I291" s="66"/>
      <c r="J291" s="66"/>
      <c r="K291" s="66"/>
      <c r="L291" s="66"/>
      <c r="M291" s="66"/>
      <c r="N291" s="66"/>
      <c r="O291" s="66"/>
      <c r="P291" s="66"/>
      <c r="Q291" s="23"/>
      <c r="AB291" s="23"/>
      <c r="AC291" s="23"/>
      <c r="AD291" s="23"/>
      <c r="AE291" s="7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71"/>
      <c r="AV291" s="10"/>
      <c r="AW291" s="23"/>
      <c r="BB291" s="66"/>
      <c r="BC291" s="66"/>
      <c r="BD291" s="66"/>
      <c r="BE291" s="66"/>
      <c r="BF291" s="66"/>
      <c r="BG291" s="66"/>
      <c r="BH291" s="66"/>
      <c r="BI291" s="66"/>
      <c r="BJ291" s="66"/>
      <c r="BK291" s="66"/>
      <c r="BL291" s="66"/>
      <c r="BM291" s="66"/>
      <c r="BN291" s="66"/>
      <c r="BO291" s="66"/>
      <c r="BP291" s="66"/>
      <c r="BQ291" s="66"/>
      <c r="BR291" s="66"/>
      <c r="BS291" s="66"/>
      <c r="BT291" s="66"/>
      <c r="BU291" s="66"/>
      <c r="BV291" s="66"/>
      <c r="BW291" s="66"/>
    </row>
    <row r="292" spans="1:75" ht="15.75" customHeight="1">
      <c r="A292" s="65"/>
      <c r="B292" s="66"/>
      <c r="C292" s="66"/>
      <c r="D292" s="66"/>
      <c r="E292" s="66"/>
      <c r="F292" s="65"/>
      <c r="G292" s="65"/>
      <c r="H292" s="66"/>
      <c r="I292" s="66"/>
      <c r="J292" s="66"/>
      <c r="K292" s="66"/>
      <c r="L292" s="66"/>
      <c r="M292" s="66"/>
      <c r="N292" s="66"/>
      <c r="O292" s="66"/>
      <c r="P292" s="66"/>
      <c r="Q292" s="23"/>
      <c r="AB292" s="23"/>
      <c r="AC292" s="23"/>
      <c r="AD292" s="23"/>
      <c r="AE292" s="7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71"/>
      <c r="AV292" s="10"/>
      <c r="AW292" s="23"/>
      <c r="BB292" s="66"/>
      <c r="BC292" s="66"/>
      <c r="BD292" s="66"/>
      <c r="BE292" s="66"/>
      <c r="BF292" s="66"/>
      <c r="BG292" s="66"/>
      <c r="BH292" s="66"/>
      <c r="BI292" s="66"/>
      <c r="BJ292" s="66"/>
      <c r="BK292" s="66"/>
      <c r="BL292" s="66"/>
      <c r="BM292" s="66"/>
      <c r="BN292" s="66"/>
      <c r="BO292" s="66"/>
      <c r="BP292" s="66"/>
      <c r="BQ292" s="66"/>
      <c r="BR292" s="66"/>
      <c r="BS292" s="66"/>
      <c r="BT292" s="66"/>
      <c r="BU292" s="66"/>
      <c r="BV292" s="66"/>
      <c r="BW292" s="66"/>
    </row>
    <row r="293" spans="1:75" ht="15.75" customHeight="1">
      <c r="A293" s="65"/>
      <c r="B293" s="66"/>
      <c r="C293" s="66"/>
      <c r="D293" s="66"/>
      <c r="E293" s="66"/>
      <c r="F293" s="65"/>
      <c r="G293" s="65"/>
      <c r="H293" s="66"/>
      <c r="I293" s="66"/>
      <c r="J293" s="66"/>
      <c r="K293" s="66"/>
      <c r="L293" s="66"/>
      <c r="M293" s="66"/>
      <c r="N293" s="66"/>
      <c r="O293" s="66"/>
      <c r="P293" s="66"/>
      <c r="Q293" s="23"/>
      <c r="AB293" s="23"/>
      <c r="AC293" s="23"/>
      <c r="AD293" s="23"/>
      <c r="AE293" s="7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71"/>
      <c r="AV293" s="10"/>
      <c r="AW293" s="23"/>
      <c r="BB293" s="66"/>
      <c r="BC293" s="66"/>
      <c r="BD293" s="66"/>
      <c r="BE293" s="66"/>
      <c r="BF293" s="66"/>
      <c r="BG293" s="66"/>
      <c r="BH293" s="66"/>
      <c r="BI293" s="66"/>
      <c r="BJ293" s="66"/>
      <c r="BK293" s="66"/>
      <c r="BL293" s="66"/>
      <c r="BM293" s="66"/>
      <c r="BN293" s="66"/>
      <c r="BO293" s="66"/>
      <c r="BP293" s="66"/>
      <c r="BQ293" s="66"/>
      <c r="BR293" s="66"/>
      <c r="BS293" s="66"/>
      <c r="BT293" s="66"/>
      <c r="BU293" s="66"/>
      <c r="BV293" s="66"/>
      <c r="BW293" s="66"/>
    </row>
    <row r="294" spans="1:75" ht="15.75" customHeight="1">
      <c r="A294" s="65"/>
      <c r="B294" s="66"/>
      <c r="C294" s="66"/>
      <c r="D294" s="66"/>
      <c r="E294" s="66"/>
      <c r="F294" s="65"/>
      <c r="G294" s="65"/>
      <c r="H294" s="66"/>
      <c r="I294" s="66"/>
      <c r="J294" s="66"/>
      <c r="K294" s="66"/>
      <c r="L294" s="66"/>
      <c r="M294" s="66"/>
      <c r="N294" s="66"/>
      <c r="O294" s="66"/>
      <c r="P294" s="66"/>
      <c r="Q294" s="23"/>
      <c r="AB294" s="23"/>
      <c r="AC294" s="23"/>
      <c r="AD294" s="23"/>
      <c r="AE294" s="7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71"/>
      <c r="AV294" s="10"/>
      <c r="AW294" s="23"/>
      <c r="BB294" s="66"/>
      <c r="BC294" s="66"/>
      <c r="BD294" s="66"/>
      <c r="BE294" s="66"/>
      <c r="BF294" s="66"/>
      <c r="BG294" s="66"/>
      <c r="BH294" s="66"/>
      <c r="BI294" s="66"/>
      <c r="BJ294" s="66"/>
      <c r="BK294" s="66"/>
      <c r="BL294" s="66"/>
      <c r="BM294" s="66"/>
      <c r="BN294" s="66"/>
      <c r="BO294" s="66"/>
      <c r="BP294" s="66"/>
      <c r="BQ294" s="66"/>
      <c r="BR294" s="66"/>
      <c r="BS294" s="66"/>
      <c r="BT294" s="66"/>
      <c r="BU294" s="66"/>
      <c r="BV294" s="66"/>
      <c r="BW294" s="66"/>
    </row>
    <row r="295" spans="1:75" ht="15.75" customHeight="1">
      <c r="A295" s="65"/>
      <c r="B295" s="66"/>
      <c r="C295" s="66"/>
      <c r="D295" s="66"/>
      <c r="E295" s="66"/>
      <c r="F295" s="65"/>
      <c r="G295" s="65"/>
      <c r="H295" s="66"/>
      <c r="I295" s="66"/>
      <c r="J295" s="66"/>
      <c r="K295" s="66"/>
      <c r="L295" s="66"/>
      <c r="M295" s="66"/>
      <c r="N295" s="66"/>
      <c r="O295" s="66"/>
      <c r="P295" s="66"/>
      <c r="Q295" s="23"/>
      <c r="AB295" s="23"/>
      <c r="AC295" s="23"/>
      <c r="AD295" s="23"/>
      <c r="AE295" s="7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71"/>
      <c r="AV295" s="10"/>
      <c r="AW295" s="23"/>
      <c r="BB295" s="66"/>
      <c r="BC295" s="66"/>
      <c r="BD295" s="66"/>
      <c r="BE295" s="66"/>
      <c r="BF295" s="66"/>
      <c r="BG295" s="66"/>
      <c r="BH295" s="66"/>
      <c r="BI295" s="66"/>
      <c r="BJ295" s="66"/>
      <c r="BK295" s="66"/>
      <c r="BL295" s="66"/>
      <c r="BM295" s="66"/>
      <c r="BN295" s="66"/>
      <c r="BO295" s="66"/>
      <c r="BP295" s="66"/>
      <c r="BQ295" s="66"/>
      <c r="BR295" s="66"/>
      <c r="BS295" s="66"/>
      <c r="BT295" s="66"/>
      <c r="BU295" s="66"/>
      <c r="BV295" s="66"/>
      <c r="BW295" s="66"/>
    </row>
    <row r="296" spans="1:75" ht="15.75" customHeight="1">
      <c r="A296" s="65"/>
      <c r="B296" s="66"/>
      <c r="C296" s="66"/>
      <c r="D296" s="66"/>
      <c r="E296" s="66"/>
      <c r="F296" s="65"/>
      <c r="G296" s="65"/>
      <c r="H296" s="66"/>
      <c r="I296" s="66"/>
      <c r="J296" s="66"/>
      <c r="K296" s="66"/>
      <c r="L296" s="66"/>
      <c r="M296" s="66"/>
      <c r="N296" s="66"/>
      <c r="O296" s="66"/>
      <c r="P296" s="66"/>
      <c r="Q296" s="23"/>
      <c r="AB296" s="23"/>
      <c r="AC296" s="23"/>
      <c r="AD296" s="23"/>
      <c r="AE296" s="7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71"/>
      <c r="AV296" s="10"/>
      <c r="AW296" s="23"/>
      <c r="BB296" s="66"/>
      <c r="BC296" s="66"/>
      <c r="BD296" s="66"/>
      <c r="BE296" s="66"/>
      <c r="BF296" s="66"/>
      <c r="BG296" s="66"/>
      <c r="BH296" s="66"/>
      <c r="BI296" s="66"/>
      <c r="BJ296" s="66"/>
      <c r="BK296" s="66"/>
      <c r="BL296" s="66"/>
      <c r="BM296" s="66"/>
      <c r="BN296" s="66"/>
      <c r="BO296" s="66"/>
      <c r="BP296" s="66"/>
      <c r="BQ296" s="66"/>
      <c r="BR296" s="66"/>
      <c r="BS296" s="66"/>
      <c r="BT296" s="66"/>
      <c r="BU296" s="66"/>
      <c r="BV296" s="66"/>
      <c r="BW296" s="66"/>
    </row>
    <row r="297" spans="1:75" ht="15.75" customHeight="1">
      <c r="A297" s="65"/>
      <c r="B297" s="66"/>
      <c r="C297" s="66"/>
      <c r="D297" s="66"/>
      <c r="E297" s="66"/>
      <c r="F297" s="65"/>
      <c r="G297" s="65"/>
      <c r="H297" s="66"/>
      <c r="I297" s="66"/>
      <c r="J297" s="66"/>
      <c r="K297" s="66"/>
      <c r="L297" s="66"/>
      <c r="M297" s="66"/>
      <c r="N297" s="66"/>
      <c r="O297" s="66"/>
      <c r="P297" s="66"/>
      <c r="Q297" s="23"/>
      <c r="AB297" s="23"/>
      <c r="AC297" s="23"/>
      <c r="AD297" s="23"/>
      <c r="AE297" s="7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71"/>
      <c r="AV297" s="10"/>
      <c r="AW297" s="23"/>
      <c r="BB297" s="66"/>
      <c r="BC297" s="66"/>
      <c r="BD297" s="66"/>
      <c r="BE297" s="66"/>
      <c r="BF297" s="66"/>
      <c r="BG297" s="66"/>
      <c r="BH297" s="66"/>
      <c r="BI297" s="66"/>
      <c r="BJ297" s="66"/>
      <c r="BK297" s="66"/>
      <c r="BL297" s="66"/>
      <c r="BM297" s="66"/>
      <c r="BN297" s="66"/>
      <c r="BO297" s="66"/>
      <c r="BP297" s="66"/>
      <c r="BQ297" s="66"/>
      <c r="BR297" s="66"/>
      <c r="BS297" s="66"/>
      <c r="BT297" s="66"/>
      <c r="BU297" s="66"/>
      <c r="BV297" s="66"/>
      <c r="BW297" s="66"/>
    </row>
    <row r="298" spans="1:75" ht="15.75" customHeight="1">
      <c r="A298" s="65"/>
      <c r="B298" s="66"/>
      <c r="C298" s="66"/>
      <c r="D298" s="66"/>
      <c r="E298" s="66"/>
      <c r="F298" s="65"/>
      <c r="G298" s="65"/>
      <c r="H298" s="66"/>
      <c r="I298" s="66"/>
      <c r="J298" s="66"/>
      <c r="K298" s="66"/>
      <c r="L298" s="66"/>
      <c r="M298" s="66"/>
      <c r="N298" s="66"/>
      <c r="O298" s="66"/>
      <c r="P298" s="66"/>
      <c r="Q298" s="23"/>
      <c r="AB298" s="23"/>
      <c r="AC298" s="23"/>
      <c r="AD298" s="23"/>
      <c r="AE298" s="7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71"/>
      <c r="AV298" s="10"/>
      <c r="AW298" s="23"/>
      <c r="BB298" s="66"/>
      <c r="BC298" s="66"/>
      <c r="BD298" s="66"/>
      <c r="BE298" s="66"/>
      <c r="BF298" s="66"/>
      <c r="BG298" s="66"/>
      <c r="BH298" s="66"/>
      <c r="BI298" s="66"/>
      <c r="BJ298" s="66"/>
      <c r="BK298" s="66"/>
      <c r="BL298" s="66"/>
      <c r="BM298" s="66"/>
      <c r="BN298" s="66"/>
      <c r="BO298" s="66"/>
      <c r="BP298" s="66"/>
      <c r="BQ298" s="66"/>
      <c r="BR298" s="66"/>
      <c r="BS298" s="66"/>
      <c r="BT298" s="66"/>
      <c r="BU298" s="66"/>
      <c r="BV298" s="66"/>
      <c r="BW298" s="66"/>
    </row>
    <row r="299" spans="1:75" ht="15.75" customHeight="1">
      <c r="A299" s="65"/>
      <c r="B299" s="66"/>
      <c r="C299" s="66"/>
      <c r="D299" s="66"/>
      <c r="E299" s="66"/>
      <c r="F299" s="65"/>
      <c r="G299" s="65"/>
      <c r="H299" s="66"/>
      <c r="I299" s="66"/>
      <c r="J299" s="66"/>
      <c r="K299" s="66"/>
      <c r="L299" s="66"/>
      <c r="M299" s="66"/>
      <c r="N299" s="66"/>
      <c r="O299" s="66"/>
      <c r="P299" s="66"/>
      <c r="Q299" s="23"/>
      <c r="AB299" s="23"/>
      <c r="AC299" s="23"/>
      <c r="AD299" s="23"/>
      <c r="AE299" s="7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71"/>
      <c r="AV299" s="10"/>
      <c r="AW299" s="23"/>
      <c r="BB299" s="66"/>
      <c r="BC299" s="66"/>
      <c r="BD299" s="66"/>
      <c r="BE299" s="66"/>
      <c r="BF299" s="66"/>
      <c r="BG299" s="66"/>
      <c r="BH299" s="66"/>
      <c r="BI299" s="66"/>
      <c r="BJ299" s="66"/>
      <c r="BK299" s="66"/>
      <c r="BL299" s="66"/>
      <c r="BM299" s="66"/>
      <c r="BN299" s="66"/>
      <c r="BO299" s="66"/>
      <c r="BP299" s="66"/>
      <c r="BQ299" s="66"/>
      <c r="BR299" s="66"/>
      <c r="BS299" s="66"/>
      <c r="BT299" s="66"/>
      <c r="BU299" s="66"/>
      <c r="BV299" s="66"/>
      <c r="BW299" s="66"/>
    </row>
    <row r="300" spans="1:75" ht="15.75" customHeight="1">
      <c r="A300" s="65"/>
      <c r="B300" s="66"/>
      <c r="C300" s="66"/>
      <c r="D300" s="66"/>
      <c r="E300" s="66"/>
      <c r="F300" s="65"/>
      <c r="G300" s="65"/>
      <c r="H300" s="66"/>
      <c r="I300" s="66"/>
      <c r="J300" s="66"/>
      <c r="K300" s="66"/>
      <c r="L300" s="66"/>
      <c r="M300" s="66"/>
      <c r="N300" s="66"/>
      <c r="O300" s="66"/>
      <c r="P300" s="66"/>
      <c r="Q300" s="23"/>
      <c r="AB300" s="23"/>
      <c r="AC300" s="23"/>
      <c r="AD300" s="23"/>
      <c r="AE300" s="7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71"/>
      <c r="AV300" s="10"/>
      <c r="AW300" s="23"/>
      <c r="BB300" s="66"/>
      <c r="BC300" s="66"/>
      <c r="BD300" s="66"/>
      <c r="BE300" s="66"/>
      <c r="BF300" s="66"/>
      <c r="BG300" s="66"/>
      <c r="BH300" s="66"/>
      <c r="BI300" s="66"/>
      <c r="BJ300" s="66"/>
      <c r="BK300" s="66"/>
      <c r="BL300" s="66"/>
      <c r="BM300" s="66"/>
      <c r="BN300" s="66"/>
      <c r="BO300" s="66"/>
      <c r="BP300" s="66"/>
      <c r="BQ300" s="66"/>
      <c r="BR300" s="66"/>
      <c r="BS300" s="66"/>
      <c r="BT300" s="66"/>
      <c r="BU300" s="66"/>
      <c r="BV300" s="66"/>
      <c r="BW300" s="66"/>
    </row>
    <row r="301" spans="1:75" ht="15.75" customHeight="1">
      <c r="A301" s="65"/>
      <c r="B301" s="66"/>
      <c r="C301" s="66"/>
      <c r="D301" s="66"/>
      <c r="E301" s="66"/>
      <c r="F301" s="65"/>
      <c r="G301" s="65"/>
      <c r="H301" s="66"/>
      <c r="I301" s="66"/>
      <c r="J301" s="66"/>
      <c r="K301" s="66"/>
      <c r="L301" s="66"/>
      <c r="M301" s="66"/>
      <c r="N301" s="66"/>
      <c r="O301" s="66"/>
      <c r="P301" s="66"/>
      <c r="Q301" s="23"/>
      <c r="AB301" s="23"/>
      <c r="AC301" s="23"/>
      <c r="AD301" s="23"/>
      <c r="AE301" s="7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71"/>
      <c r="AV301" s="10"/>
      <c r="AW301" s="23"/>
      <c r="BB301" s="66"/>
      <c r="BC301" s="66"/>
      <c r="BD301" s="66"/>
      <c r="BE301" s="66"/>
      <c r="BF301" s="66"/>
      <c r="BG301" s="66"/>
      <c r="BH301" s="66"/>
      <c r="BI301" s="66"/>
      <c r="BJ301" s="66"/>
      <c r="BK301" s="66"/>
      <c r="BL301" s="66"/>
      <c r="BM301" s="66"/>
      <c r="BN301" s="66"/>
      <c r="BO301" s="66"/>
      <c r="BP301" s="66"/>
      <c r="BQ301" s="66"/>
      <c r="BR301" s="66"/>
      <c r="BS301" s="66"/>
      <c r="BT301" s="66"/>
      <c r="BU301" s="66"/>
      <c r="BV301" s="66"/>
      <c r="BW301" s="66"/>
    </row>
    <row r="302" spans="1:75" ht="15.75" customHeight="1">
      <c r="A302" s="65"/>
      <c r="B302" s="66"/>
      <c r="C302" s="66"/>
      <c r="D302" s="66"/>
      <c r="E302" s="66"/>
      <c r="F302" s="65"/>
      <c r="G302" s="65"/>
      <c r="H302" s="66"/>
      <c r="I302" s="66"/>
      <c r="J302" s="66"/>
      <c r="K302" s="66"/>
      <c r="L302" s="66"/>
      <c r="M302" s="66"/>
      <c r="N302" s="66"/>
      <c r="O302" s="66"/>
      <c r="P302" s="66"/>
      <c r="Q302" s="23"/>
      <c r="AB302" s="23"/>
      <c r="AC302" s="23"/>
      <c r="AD302" s="23"/>
      <c r="AE302" s="7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71"/>
      <c r="AV302" s="10"/>
      <c r="AW302" s="23"/>
      <c r="BB302" s="66"/>
      <c r="BC302" s="66"/>
      <c r="BD302" s="66"/>
      <c r="BE302" s="66"/>
      <c r="BF302" s="66"/>
      <c r="BG302" s="66"/>
      <c r="BH302" s="66"/>
      <c r="BI302" s="66"/>
      <c r="BJ302" s="66"/>
      <c r="BK302" s="66"/>
      <c r="BL302" s="66"/>
      <c r="BM302" s="66"/>
      <c r="BN302" s="66"/>
      <c r="BO302" s="66"/>
      <c r="BP302" s="66"/>
      <c r="BQ302" s="66"/>
      <c r="BR302" s="66"/>
      <c r="BS302" s="66"/>
      <c r="BT302" s="66"/>
      <c r="BU302" s="66"/>
      <c r="BV302" s="66"/>
      <c r="BW302" s="66"/>
    </row>
    <row r="303" spans="1:75" ht="15.75" customHeight="1">
      <c r="A303" s="65"/>
      <c r="B303" s="66"/>
      <c r="C303" s="66"/>
      <c r="D303" s="66"/>
      <c r="E303" s="66"/>
      <c r="F303" s="65"/>
      <c r="G303" s="65"/>
      <c r="H303" s="66"/>
      <c r="I303" s="66"/>
      <c r="J303" s="66"/>
      <c r="K303" s="66"/>
      <c r="L303" s="66"/>
      <c r="M303" s="66"/>
      <c r="N303" s="66"/>
      <c r="O303" s="66"/>
      <c r="P303" s="66"/>
      <c r="Q303" s="23"/>
      <c r="AB303" s="23"/>
      <c r="AC303" s="23"/>
      <c r="AD303" s="23"/>
      <c r="AE303" s="7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71"/>
      <c r="AV303" s="10"/>
      <c r="AW303" s="23"/>
      <c r="BB303" s="66"/>
      <c r="BC303" s="66"/>
      <c r="BD303" s="66"/>
      <c r="BE303" s="66"/>
      <c r="BF303" s="66"/>
      <c r="BG303" s="66"/>
      <c r="BH303" s="66"/>
      <c r="BI303" s="66"/>
      <c r="BJ303" s="66"/>
      <c r="BK303" s="66"/>
      <c r="BL303" s="66"/>
      <c r="BM303" s="66"/>
      <c r="BN303" s="66"/>
      <c r="BO303" s="66"/>
      <c r="BP303" s="66"/>
      <c r="BQ303" s="66"/>
      <c r="BR303" s="66"/>
      <c r="BS303" s="66"/>
      <c r="BT303" s="66"/>
      <c r="BU303" s="66"/>
      <c r="BV303" s="66"/>
      <c r="BW303" s="66"/>
    </row>
    <row r="304" spans="1:75" ht="15.75" customHeight="1">
      <c r="A304" s="65"/>
      <c r="B304" s="66"/>
      <c r="C304" s="66"/>
      <c r="D304" s="66"/>
      <c r="E304" s="66"/>
      <c r="F304" s="65"/>
      <c r="G304" s="65"/>
      <c r="H304" s="66"/>
      <c r="I304" s="66"/>
      <c r="J304" s="66"/>
      <c r="K304" s="66"/>
      <c r="L304" s="66"/>
      <c r="M304" s="66"/>
      <c r="N304" s="66"/>
      <c r="O304" s="66"/>
      <c r="P304" s="66"/>
      <c r="Q304" s="23"/>
      <c r="AB304" s="23"/>
      <c r="AC304" s="23"/>
      <c r="AD304" s="23"/>
      <c r="AE304" s="7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71"/>
      <c r="AV304" s="10"/>
      <c r="AW304" s="23"/>
      <c r="BB304" s="66"/>
      <c r="BC304" s="66"/>
      <c r="BD304" s="66"/>
      <c r="BE304" s="66"/>
      <c r="BF304" s="66"/>
      <c r="BG304" s="66"/>
      <c r="BH304" s="66"/>
      <c r="BI304" s="66"/>
      <c r="BJ304" s="66"/>
      <c r="BK304" s="66"/>
      <c r="BL304" s="66"/>
      <c r="BM304" s="66"/>
      <c r="BN304" s="66"/>
      <c r="BO304" s="66"/>
      <c r="BP304" s="66"/>
      <c r="BQ304" s="66"/>
      <c r="BR304" s="66"/>
      <c r="BS304" s="66"/>
      <c r="BT304" s="66"/>
      <c r="BU304" s="66"/>
      <c r="BV304" s="66"/>
      <c r="BW304" s="66"/>
    </row>
    <row r="305" spans="1:75" ht="15.75" customHeight="1">
      <c r="A305" s="65"/>
      <c r="B305" s="66"/>
      <c r="C305" s="66"/>
      <c r="D305" s="66"/>
      <c r="E305" s="66"/>
      <c r="F305" s="65"/>
      <c r="G305" s="65"/>
      <c r="H305" s="66"/>
      <c r="I305" s="66"/>
      <c r="J305" s="66"/>
      <c r="K305" s="66"/>
      <c r="L305" s="66"/>
      <c r="M305" s="66"/>
      <c r="N305" s="66"/>
      <c r="O305" s="66"/>
      <c r="P305" s="66"/>
      <c r="Q305" s="23"/>
      <c r="AB305" s="23"/>
      <c r="AC305" s="23"/>
      <c r="AD305" s="23"/>
      <c r="AE305" s="7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71"/>
      <c r="AV305" s="10"/>
      <c r="AW305" s="23"/>
      <c r="BB305" s="66"/>
      <c r="BC305" s="66"/>
      <c r="BD305" s="66"/>
      <c r="BE305" s="66"/>
      <c r="BF305" s="66"/>
      <c r="BG305" s="66"/>
      <c r="BH305" s="66"/>
      <c r="BI305" s="66"/>
      <c r="BJ305" s="66"/>
      <c r="BK305" s="66"/>
      <c r="BL305" s="66"/>
      <c r="BM305" s="66"/>
      <c r="BN305" s="66"/>
      <c r="BO305" s="66"/>
      <c r="BP305" s="66"/>
      <c r="BQ305" s="66"/>
      <c r="BR305" s="66"/>
      <c r="BS305" s="66"/>
      <c r="BT305" s="66"/>
      <c r="BU305" s="66"/>
      <c r="BV305" s="66"/>
      <c r="BW305" s="66"/>
    </row>
    <row r="306" spans="1:75" ht="15.75" customHeight="1">
      <c r="A306" s="65"/>
      <c r="B306" s="66"/>
      <c r="C306" s="66"/>
      <c r="D306" s="66"/>
      <c r="E306" s="66"/>
      <c r="F306" s="65"/>
      <c r="G306" s="65"/>
      <c r="H306" s="66"/>
      <c r="I306" s="66"/>
      <c r="J306" s="66"/>
      <c r="K306" s="66"/>
      <c r="L306" s="66"/>
      <c r="M306" s="66"/>
      <c r="N306" s="66"/>
      <c r="O306" s="66"/>
      <c r="P306" s="66"/>
      <c r="Q306" s="23"/>
      <c r="AB306" s="23"/>
      <c r="AC306" s="23"/>
      <c r="AD306" s="23"/>
      <c r="AE306" s="7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71"/>
      <c r="AV306" s="10"/>
      <c r="AW306" s="23"/>
      <c r="BB306" s="66"/>
      <c r="BC306" s="66"/>
      <c r="BD306" s="66"/>
      <c r="BE306" s="66"/>
      <c r="BF306" s="66"/>
      <c r="BG306" s="66"/>
      <c r="BH306" s="66"/>
      <c r="BI306" s="66"/>
      <c r="BJ306" s="66"/>
      <c r="BK306" s="66"/>
      <c r="BL306" s="66"/>
      <c r="BM306" s="66"/>
      <c r="BN306" s="66"/>
      <c r="BO306" s="66"/>
      <c r="BP306" s="66"/>
      <c r="BQ306" s="66"/>
      <c r="BR306" s="66"/>
      <c r="BS306" s="66"/>
      <c r="BT306" s="66"/>
      <c r="BU306" s="66"/>
      <c r="BV306" s="66"/>
      <c r="BW306" s="66"/>
    </row>
    <row r="307" spans="1:75" ht="15.75" customHeight="1">
      <c r="A307" s="65"/>
      <c r="B307" s="66"/>
      <c r="C307" s="66"/>
      <c r="D307" s="66"/>
      <c r="E307" s="66"/>
      <c r="F307" s="65"/>
      <c r="G307" s="65"/>
      <c r="H307" s="66"/>
      <c r="I307" s="66"/>
      <c r="J307" s="66"/>
      <c r="K307" s="66"/>
      <c r="L307" s="66"/>
      <c r="M307" s="66"/>
      <c r="N307" s="66"/>
      <c r="O307" s="66"/>
      <c r="P307" s="66"/>
      <c r="Q307" s="23"/>
      <c r="AB307" s="23"/>
      <c r="AC307" s="23"/>
      <c r="AD307" s="23"/>
      <c r="AE307" s="7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71"/>
      <c r="AV307" s="10"/>
      <c r="AW307" s="23"/>
      <c r="BB307" s="66"/>
      <c r="BC307" s="66"/>
      <c r="BD307" s="66"/>
      <c r="BE307" s="66"/>
      <c r="BF307" s="66"/>
      <c r="BG307" s="66"/>
      <c r="BH307" s="66"/>
      <c r="BI307" s="66"/>
      <c r="BJ307" s="66"/>
      <c r="BK307" s="66"/>
      <c r="BL307" s="66"/>
      <c r="BM307" s="66"/>
      <c r="BN307" s="66"/>
      <c r="BO307" s="66"/>
      <c r="BP307" s="66"/>
      <c r="BQ307" s="66"/>
      <c r="BR307" s="66"/>
      <c r="BS307" s="66"/>
      <c r="BT307" s="66"/>
      <c r="BU307" s="66"/>
      <c r="BV307" s="66"/>
      <c r="BW307" s="66"/>
    </row>
    <row r="308" spans="1:75" ht="15.75" customHeight="1">
      <c r="A308" s="65"/>
      <c r="B308" s="66"/>
      <c r="C308" s="66"/>
      <c r="D308" s="66"/>
      <c r="E308" s="66"/>
      <c r="F308" s="65"/>
      <c r="G308" s="65"/>
      <c r="H308" s="66"/>
      <c r="I308" s="66"/>
      <c r="J308" s="66"/>
      <c r="K308" s="66"/>
      <c r="L308" s="66"/>
      <c r="M308" s="66"/>
      <c r="N308" s="66"/>
      <c r="O308" s="66"/>
      <c r="P308" s="66"/>
      <c r="Q308" s="23"/>
      <c r="AB308" s="23"/>
      <c r="AC308" s="23"/>
      <c r="AD308" s="23"/>
      <c r="AE308" s="7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71"/>
      <c r="AV308" s="10"/>
      <c r="AW308" s="23"/>
      <c r="BB308" s="66"/>
      <c r="BC308" s="66"/>
      <c r="BD308" s="66"/>
      <c r="BE308" s="66"/>
      <c r="BF308" s="66"/>
      <c r="BG308" s="66"/>
      <c r="BH308" s="66"/>
      <c r="BI308" s="66"/>
      <c r="BJ308" s="66"/>
      <c r="BK308" s="66"/>
      <c r="BL308" s="66"/>
      <c r="BM308" s="66"/>
      <c r="BN308" s="66"/>
      <c r="BO308" s="66"/>
      <c r="BP308" s="66"/>
      <c r="BQ308" s="66"/>
      <c r="BR308" s="66"/>
      <c r="BS308" s="66"/>
      <c r="BT308" s="66"/>
      <c r="BU308" s="66"/>
      <c r="BV308" s="66"/>
      <c r="BW308" s="66"/>
    </row>
    <row r="309" spans="1:75" ht="15.75" customHeight="1">
      <c r="A309" s="65"/>
      <c r="B309" s="66"/>
      <c r="C309" s="66"/>
      <c r="D309" s="66"/>
      <c r="E309" s="66"/>
      <c r="F309" s="65"/>
      <c r="G309" s="65"/>
      <c r="H309" s="66"/>
      <c r="I309" s="66"/>
      <c r="J309" s="66"/>
      <c r="K309" s="66"/>
      <c r="L309" s="66"/>
      <c r="M309" s="66"/>
      <c r="N309" s="66"/>
      <c r="O309" s="66"/>
      <c r="P309" s="66"/>
      <c r="Q309" s="23"/>
      <c r="AB309" s="23"/>
      <c r="AC309" s="23"/>
      <c r="AD309" s="23"/>
      <c r="AE309" s="7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71"/>
      <c r="AV309" s="10"/>
      <c r="AW309" s="23"/>
      <c r="BB309" s="66"/>
      <c r="BC309" s="66"/>
      <c r="BD309" s="66"/>
      <c r="BE309" s="66"/>
      <c r="BF309" s="66"/>
      <c r="BG309" s="66"/>
      <c r="BH309" s="66"/>
      <c r="BI309" s="66"/>
      <c r="BJ309" s="66"/>
      <c r="BK309" s="66"/>
      <c r="BL309" s="66"/>
      <c r="BM309" s="66"/>
      <c r="BN309" s="66"/>
      <c r="BO309" s="66"/>
      <c r="BP309" s="66"/>
      <c r="BQ309" s="66"/>
      <c r="BR309" s="66"/>
      <c r="BS309" s="66"/>
      <c r="BT309" s="66"/>
      <c r="BU309" s="66"/>
      <c r="BV309" s="66"/>
      <c r="BW309" s="66"/>
    </row>
    <row r="310" spans="1:75" ht="15.75" customHeight="1">
      <c r="A310" s="65"/>
      <c r="B310" s="66"/>
      <c r="C310" s="66"/>
      <c r="D310" s="66"/>
      <c r="E310" s="66"/>
      <c r="F310" s="65"/>
      <c r="G310" s="65"/>
      <c r="H310" s="66"/>
      <c r="I310" s="66"/>
      <c r="J310" s="66"/>
      <c r="K310" s="66"/>
      <c r="L310" s="66"/>
      <c r="M310" s="66"/>
      <c r="N310" s="66"/>
      <c r="O310" s="66"/>
      <c r="P310" s="66"/>
      <c r="Q310" s="23"/>
      <c r="AB310" s="23"/>
      <c r="AC310" s="23"/>
      <c r="AD310" s="23"/>
      <c r="AE310" s="7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71"/>
      <c r="AV310" s="10"/>
      <c r="AW310" s="23"/>
      <c r="BB310" s="66"/>
      <c r="BC310" s="66"/>
      <c r="BD310" s="66"/>
      <c r="BE310" s="66"/>
      <c r="BF310" s="66"/>
      <c r="BG310" s="66"/>
      <c r="BH310" s="66"/>
      <c r="BI310" s="66"/>
      <c r="BJ310" s="66"/>
      <c r="BK310" s="66"/>
      <c r="BL310" s="66"/>
      <c r="BM310" s="66"/>
      <c r="BN310" s="66"/>
      <c r="BO310" s="66"/>
      <c r="BP310" s="66"/>
      <c r="BQ310" s="66"/>
      <c r="BR310" s="66"/>
      <c r="BS310" s="66"/>
      <c r="BT310" s="66"/>
      <c r="BU310" s="66"/>
      <c r="BV310" s="66"/>
      <c r="BW310" s="66"/>
    </row>
    <row r="311" spans="1:75" ht="15.75" customHeight="1">
      <c r="A311" s="65"/>
      <c r="B311" s="66"/>
      <c r="C311" s="66"/>
      <c r="D311" s="66"/>
      <c r="E311" s="66"/>
      <c r="F311" s="65"/>
      <c r="G311" s="65"/>
      <c r="H311" s="66"/>
      <c r="I311" s="66"/>
      <c r="J311" s="66"/>
      <c r="K311" s="66"/>
      <c r="L311" s="66"/>
      <c r="M311" s="66"/>
      <c r="N311" s="66"/>
      <c r="O311" s="66"/>
      <c r="P311" s="66"/>
      <c r="Q311" s="23"/>
      <c r="AB311" s="23"/>
      <c r="AC311" s="23"/>
      <c r="AD311" s="23"/>
      <c r="AE311" s="7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71"/>
      <c r="AV311" s="10"/>
      <c r="AW311" s="23"/>
      <c r="BB311" s="66"/>
      <c r="BC311" s="66"/>
      <c r="BD311" s="66"/>
      <c r="BE311" s="66"/>
      <c r="BF311" s="66"/>
      <c r="BG311" s="66"/>
      <c r="BH311" s="66"/>
      <c r="BI311" s="66"/>
      <c r="BJ311" s="66"/>
      <c r="BK311" s="66"/>
      <c r="BL311" s="66"/>
      <c r="BM311" s="66"/>
      <c r="BN311" s="66"/>
      <c r="BO311" s="66"/>
      <c r="BP311" s="66"/>
      <c r="BQ311" s="66"/>
      <c r="BR311" s="66"/>
      <c r="BS311" s="66"/>
      <c r="BT311" s="66"/>
      <c r="BU311" s="66"/>
      <c r="BV311" s="66"/>
      <c r="BW311" s="66"/>
    </row>
    <row r="312" spans="1:75" ht="15.75" customHeight="1">
      <c r="A312" s="65"/>
      <c r="B312" s="66"/>
      <c r="C312" s="66"/>
      <c r="D312" s="66"/>
      <c r="E312" s="66"/>
      <c r="F312" s="65"/>
      <c r="G312" s="65"/>
      <c r="H312" s="66"/>
      <c r="I312" s="66"/>
      <c r="J312" s="66"/>
      <c r="K312" s="66"/>
      <c r="L312" s="66"/>
      <c r="M312" s="66"/>
      <c r="N312" s="66"/>
      <c r="O312" s="66"/>
      <c r="P312" s="66"/>
      <c r="Q312" s="23"/>
      <c r="AB312" s="23"/>
      <c r="AC312" s="23"/>
      <c r="AD312" s="23"/>
      <c r="AE312" s="7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71"/>
      <c r="AV312" s="10"/>
      <c r="AW312" s="23"/>
      <c r="BB312" s="66"/>
      <c r="BC312" s="66"/>
      <c r="BD312" s="66"/>
      <c r="BE312" s="66"/>
      <c r="BF312" s="66"/>
      <c r="BG312" s="66"/>
      <c r="BH312" s="66"/>
      <c r="BI312" s="66"/>
      <c r="BJ312" s="66"/>
      <c r="BK312" s="66"/>
      <c r="BL312" s="66"/>
      <c r="BM312" s="66"/>
      <c r="BN312" s="66"/>
      <c r="BO312" s="66"/>
      <c r="BP312" s="66"/>
      <c r="BQ312" s="66"/>
      <c r="BR312" s="66"/>
      <c r="BS312" s="66"/>
      <c r="BT312" s="66"/>
      <c r="BU312" s="66"/>
      <c r="BV312" s="66"/>
      <c r="BW312" s="66"/>
    </row>
    <row r="313" spans="1:75" ht="15.75" customHeight="1">
      <c r="A313" s="65"/>
      <c r="B313" s="66"/>
      <c r="C313" s="66"/>
      <c r="D313" s="66"/>
      <c r="E313" s="66"/>
      <c r="F313" s="65"/>
      <c r="G313" s="65"/>
      <c r="H313" s="66"/>
      <c r="I313" s="66"/>
      <c r="J313" s="66"/>
      <c r="K313" s="66"/>
      <c r="L313" s="66"/>
      <c r="M313" s="66"/>
      <c r="N313" s="66"/>
      <c r="O313" s="66"/>
      <c r="P313" s="66"/>
      <c r="Q313" s="23"/>
      <c r="AB313" s="23"/>
      <c r="AC313" s="23"/>
      <c r="AD313" s="23"/>
      <c r="AE313" s="7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71"/>
      <c r="AV313" s="10"/>
      <c r="AW313" s="23"/>
      <c r="BB313" s="66"/>
      <c r="BC313" s="66"/>
      <c r="BD313" s="66"/>
      <c r="BE313" s="66"/>
      <c r="BF313" s="66"/>
      <c r="BG313" s="66"/>
      <c r="BH313" s="66"/>
      <c r="BI313" s="66"/>
      <c r="BJ313" s="66"/>
      <c r="BK313" s="66"/>
      <c r="BL313" s="66"/>
      <c r="BM313" s="66"/>
      <c r="BN313" s="66"/>
      <c r="BO313" s="66"/>
      <c r="BP313" s="66"/>
      <c r="BQ313" s="66"/>
      <c r="BR313" s="66"/>
      <c r="BS313" s="66"/>
      <c r="BT313" s="66"/>
      <c r="BU313" s="66"/>
      <c r="BV313" s="66"/>
      <c r="BW313" s="66"/>
    </row>
    <row r="314" spans="1:75" ht="15.75" customHeight="1">
      <c r="A314" s="65"/>
      <c r="B314" s="66"/>
      <c r="C314" s="66"/>
      <c r="D314" s="66"/>
      <c r="E314" s="66"/>
      <c r="F314" s="65"/>
      <c r="G314" s="65"/>
      <c r="H314" s="66"/>
      <c r="I314" s="66"/>
      <c r="J314" s="66"/>
      <c r="K314" s="66"/>
      <c r="L314" s="66"/>
      <c r="M314" s="66"/>
      <c r="N314" s="66"/>
      <c r="O314" s="66"/>
      <c r="P314" s="66"/>
      <c r="Q314" s="23"/>
      <c r="AB314" s="23"/>
      <c r="AC314" s="23"/>
      <c r="AD314" s="23"/>
      <c r="AE314" s="7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71"/>
      <c r="AV314" s="10"/>
      <c r="AW314" s="23"/>
      <c r="BB314" s="66"/>
      <c r="BC314" s="66"/>
      <c r="BD314" s="66"/>
      <c r="BE314" s="66"/>
      <c r="BF314" s="66"/>
      <c r="BG314" s="66"/>
      <c r="BH314" s="66"/>
      <c r="BI314" s="66"/>
      <c r="BJ314" s="66"/>
      <c r="BK314" s="66"/>
      <c r="BL314" s="66"/>
      <c r="BM314" s="66"/>
      <c r="BN314" s="66"/>
      <c r="BO314" s="66"/>
      <c r="BP314" s="66"/>
      <c r="BQ314" s="66"/>
      <c r="BR314" s="66"/>
      <c r="BS314" s="66"/>
      <c r="BT314" s="66"/>
      <c r="BU314" s="66"/>
      <c r="BV314" s="66"/>
      <c r="BW314" s="66"/>
    </row>
    <row r="315" spans="1:75" ht="15.75" customHeight="1">
      <c r="A315" s="65"/>
      <c r="B315" s="66"/>
      <c r="C315" s="66"/>
      <c r="D315" s="66"/>
      <c r="E315" s="66"/>
      <c r="F315" s="65"/>
      <c r="G315" s="65"/>
      <c r="H315" s="66"/>
      <c r="I315" s="66"/>
      <c r="J315" s="66"/>
      <c r="K315" s="66"/>
      <c r="L315" s="66"/>
      <c r="M315" s="66"/>
      <c r="N315" s="66"/>
      <c r="O315" s="66"/>
      <c r="P315" s="66"/>
      <c r="Q315" s="23"/>
      <c r="AB315" s="23"/>
      <c r="AC315" s="23"/>
      <c r="AD315" s="23"/>
      <c r="AE315" s="7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71"/>
      <c r="AV315" s="10"/>
      <c r="AW315" s="23"/>
      <c r="BB315" s="66"/>
      <c r="BC315" s="66"/>
      <c r="BD315" s="66"/>
      <c r="BE315" s="66"/>
      <c r="BF315" s="66"/>
      <c r="BG315" s="66"/>
      <c r="BH315" s="66"/>
      <c r="BI315" s="66"/>
      <c r="BJ315" s="66"/>
      <c r="BK315" s="66"/>
      <c r="BL315" s="66"/>
      <c r="BM315" s="66"/>
      <c r="BN315" s="66"/>
      <c r="BO315" s="66"/>
      <c r="BP315" s="66"/>
      <c r="BQ315" s="66"/>
      <c r="BR315" s="66"/>
      <c r="BS315" s="66"/>
      <c r="BT315" s="66"/>
      <c r="BU315" s="66"/>
      <c r="BV315" s="66"/>
      <c r="BW315" s="66"/>
    </row>
    <row r="316" spans="1:75" ht="15.75" customHeight="1">
      <c r="A316" s="65"/>
      <c r="B316" s="66"/>
      <c r="C316" s="66"/>
      <c r="D316" s="66"/>
      <c r="E316" s="66"/>
      <c r="F316" s="65"/>
      <c r="G316" s="65"/>
      <c r="H316" s="66"/>
      <c r="I316" s="66"/>
      <c r="J316" s="66"/>
      <c r="K316" s="66"/>
      <c r="L316" s="66"/>
      <c r="M316" s="66"/>
      <c r="N316" s="66"/>
      <c r="O316" s="66"/>
      <c r="P316" s="66"/>
      <c r="Q316" s="23"/>
      <c r="AB316" s="23"/>
      <c r="AC316" s="23"/>
      <c r="AD316" s="23"/>
      <c r="AE316" s="7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71"/>
      <c r="AV316" s="10"/>
      <c r="AW316" s="23"/>
      <c r="BB316" s="66"/>
      <c r="BC316" s="66"/>
      <c r="BD316" s="66"/>
      <c r="BE316" s="66"/>
      <c r="BF316" s="66"/>
      <c r="BG316" s="66"/>
      <c r="BH316" s="66"/>
      <c r="BI316" s="66"/>
      <c r="BJ316" s="66"/>
      <c r="BK316" s="66"/>
      <c r="BL316" s="66"/>
      <c r="BM316" s="66"/>
      <c r="BN316" s="66"/>
      <c r="BO316" s="66"/>
      <c r="BP316" s="66"/>
      <c r="BQ316" s="66"/>
      <c r="BR316" s="66"/>
      <c r="BS316" s="66"/>
      <c r="BT316" s="66"/>
      <c r="BU316" s="66"/>
      <c r="BV316" s="66"/>
      <c r="BW316" s="66"/>
    </row>
    <row r="317" spans="1:75" ht="15.75" customHeight="1">
      <c r="A317" s="65"/>
      <c r="B317" s="66"/>
      <c r="C317" s="66"/>
      <c r="D317" s="66"/>
      <c r="E317" s="66"/>
      <c r="F317" s="65"/>
      <c r="G317" s="65"/>
      <c r="H317" s="66"/>
      <c r="I317" s="66"/>
      <c r="J317" s="66"/>
      <c r="K317" s="66"/>
      <c r="L317" s="66"/>
      <c r="M317" s="66"/>
      <c r="N317" s="66"/>
      <c r="O317" s="66"/>
      <c r="P317" s="66"/>
      <c r="Q317" s="23"/>
      <c r="AB317" s="23"/>
      <c r="AC317" s="23"/>
      <c r="AD317" s="23"/>
      <c r="AE317" s="7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71"/>
      <c r="AV317" s="10"/>
      <c r="AW317" s="23"/>
      <c r="BB317" s="66"/>
      <c r="BC317" s="66"/>
      <c r="BD317" s="66"/>
      <c r="BE317" s="66"/>
      <c r="BF317" s="66"/>
      <c r="BG317" s="66"/>
      <c r="BH317" s="66"/>
      <c r="BI317" s="66"/>
      <c r="BJ317" s="66"/>
      <c r="BK317" s="66"/>
      <c r="BL317" s="66"/>
      <c r="BM317" s="66"/>
      <c r="BN317" s="66"/>
      <c r="BO317" s="66"/>
      <c r="BP317" s="66"/>
      <c r="BQ317" s="66"/>
      <c r="BR317" s="66"/>
      <c r="BS317" s="66"/>
      <c r="BT317" s="66"/>
      <c r="BU317" s="66"/>
      <c r="BV317" s="66"/>
      <c r="BW317" s="66"/>
    </row>
    <row r="318" spans="1:75" ht="15.75" customHeight="1">
      <c r="A318" s="65"/>
      <c r="B318" s="66"/>
      <c r="C318" s="66"/>
      <c r="D318" s="66"/>
      <c r="E318" s="66"/>
      <c r="F318" s="65"/>
      <c r="G318" s="65"/>
      <c r="H318" s="66"/>
      <c r="I318" s="66"/>
      <c r="J318" s="66"/>
      <c r="K318" s="66"/>
      <c r="L318" s="66"/>
      <c r="M318" s="66"/>
      <c r="N318" s="66"/>
      <c r="O318" s="66"/>
      <c r="P318" s="66"/>
      <c r="Q318" s="23"/>
      <c r="AB318" s="23"/>
      <c r="AC318" s="23"/>
      <c r="AD318" s="23"/>
      <c r="AE318" s="7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71"/>
      <c r="AV318" s="10"/>
      <c r="AW318" s="23"/>
      <c r="BB318" s="66"/>
      <c r="BC318" s="66"/>
      <c r="BD318" s="66"/>
      <c r="BE318" s="66"/>
      <c r="BF318" s="66"/>
      <c r="BG318" s="66"/>
      <c r="BH318" s="66"/>
      <c r="BI318" s="66"/>
      <c r="BJ318" s="66"/>
      <c r="BK318" s="66"/>
      <c r="BL318" s="66"/>
      <c r="BM318" s="66"/>
      <c r="BN318" s="66"/>
      <c r="BO318" s="66"/>
      <c r="BP318" s="66"/>
      <c r="BQ318" s="66"/>
      <c r="BR318" s="66"/>
      <c r="BS318" s="66"/>
      <c r="BT318" s="66"/>
      <c r="BU318" s="66"/>
      <c r="BV318" s="66"/>
      <c r="BW318" s="66"/>
    </row>
    <row r="319" spans="1:75" ht="15.75" customHeight="1">
      <c r="A319" s="65"/>
      <c r="B319" s="66"/>
      <c r="C319" s="66"/>
      <c r="D319" s="66"/>
      <c r="E319" s="66"/>
      <c r="F319" s="65"/>
      <c r="G319" s="65"/>
      <c r="H319" s="66"/>
      <c r="I319" s="66"/>
      <c r="J319" s="66"/>
      <c r="K319" s="66"/>
      <c r="L319" s="66"/>
      <c r="M319" s="66"/>
      <c r="N319" s="66"/>
      <c r="O319" s="66"/>
      <c r="P319" s="66"/>
      <c r="Q319" s="23"/>
      <c r="AB319" s="23"/>
      <c r="AC319" s="23"/>
      <c r="AD319" s="23"/>
      <c r="AE319" s="7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71"/>
      <c r="AV319" s="10"/>
      <c r="AW319" s="23"/>
      <c r="BB319" s="66"/>
      <c r="BC319" s="66"/>
      <c r="BD319" s="66"/>
      <c r="BE319" s="66"/>
      <c r="BF319" s="66"/>
      <c r="BG319" s="66"/>
      <c r="BH319" s="66"/>
      <c r="BI319" s="66"/>
      <c r="BJ319" s="66"/>
      <c r="BK319" s="66"/>
      <c r="BL319" s="66"/>
      <c r="BM319" s="66"/>
      <c r="BN319" s="66"/>
      <c r="BO319" s="66"/>
      <c r="BP319" s="66"/>
      <c r="BQ319" s="66"/>
      <c r="BR319" s="66"/>
      <c r="BS319" s="66"/>
      <c r="BT319" s="66"/>
      <c r="BU319" s="66"/>
      <c r="BV319" s="66"/>
      <c r="BW319" s="66"/>
    </row>
    <row r="320" spans="1:75" ht="15.75" customHeight="1">
      <c r="A320" s="65"/>
      <c r="B320" s="66"/>
      <c r="C320" s="66"/>
      <c r="D320" s="66"/>
      <c r="E320" s="66"/>
      <c r="F320" s="65"/>
      <c r="G320" s="65"/>
      <c r="H320" s="66"/>
      <c r="I320" s="66"/>
      <c r="J320" s="66"/>
      <c r="K320" s="66"/>
      <c r="L320" s="66"/>
      <c r="M320" s="66"/>
      <c r="N320" s="66"/>
      <c r="O320" s="66"/>
      <c r="P320" s="66"/>
      <c r="Q320" s="23"/>
      <c r="AB320" s="23"/>
      <c r="AC320" s="23"/>
      <c r="AD320" s="23"/>
      <c r="AE320" s="7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71"/>
      <c r="AV320" s="10"/>
      <c r="AW320" s="23"/>
      <c r="BB320" s="66"/>
      <c r="BC320" s="66"/>
      <c r="BD320" s="66"/>
      <c r="BE320" s="66"/>
      <c r="BF320" s="66"/>
      <c r="BG320" s="66"/>
      <c r="BH320" s="66"/>
      <c r="BI320" s="66"/>
      <c r="BJ320" s="66"/>
      <c r="BK320" s="66"/>
      <c r="BL320" s="66"/>
      <c r="BM320" s="66"/>
      <c r="BN320" s="66"/>
      <c r="BO320" s="66"/>
      <c r="BP320" s="66"/>
      <c r="BQ320" s="66"/>
      <c r="BR320" s="66"/>
      <c r="BS320" s="66"/>
      <c r="BT320" s="66"/>
      <c r="BU320" s="66"/>
      <c r="BV320" s="66"/>
      <c r="BW320" s="66"/>
    </row>
    <row r="321" spans="1:75" ht="15.75" customHeight="1">
      <c r="A321" s="65"/>
      <c r="B321" s="66"/>
      <c r="C321" s="66"/>
      <c r="D321" s="66"/>
      <c r="E321" s="66"/>
      <c r="F321" s="65"/>
      <c r="G321" s="65"/>
      <c r="H321" s="66"/>
      <c r="I321" s="66"/>
      <c r="J321" s="66"/>
      <c r="K321" s="66"/>
      <c r="L321" s="66"/>
      <c r="M321" s="66"/>
      <c r="N321" s="66"/>
      <c r="O321" s="66"/>
      <c r="P321" s="66"/>
      <c r="Q321" s="23"/>
      <c r="AB321" s="23"/>
      <c r="AC321" s="23"/>
      <c r="AD321" s="23"/>
      <c r="AE321" s="7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71"/>
      <c r="AV321" s="10"/>
      <c r="AW321" s="23"/>
      <c r="BB321" s="66"/>
      <c r="BC321" s="66"/>
      <c r="BD321" s="66"/>
      <c r="BE321" s="66"/>
      <c r="BF321" s="66"/>
      <c r="BG321" s="66"/>
      <c r="BH321" s="66"/>
      <c r="BI321" s="66"/>
      <c r="BJ321" s="66"/>
      <c r="BK321" s="66"/>
      <c r="BL321" s="66"/>
      <c r="BM321" s="66"/>
      <c r="BN321" s="66"/>
      <c r="BO321" s="66"/>
      <c r="BP321" s="66"/>
      <c r="BQ321" s="66"/>
      <c r="BR321" s="66"/>
      <c r="BS321" s="66"/>
      <c r="BT321" s="66"/>
      <c r="BU321" s="66"/>
      <c r="BV321" s="66"/>
      <c r="BW321" s="66"/>
    </row>
    <row r="322" spans="1:75" ht="15.75" customHeight="1">
      <c r="A322" s="65"/>
      <c r="B322" s="66"/>
      <c r="C322" s="66"/>
      <c r="D322" s="66"/>
      <c r="E322" s="66"/>
      <c r="F322" s="65"/>
      <c r="G322" s="65"/>
      <c r="H322" s="66"/>
      <c r="I322" s="66"/>
      <c r="J322" s="66"/>
      <c r="K322" s="66"/>
      <c r="L322" s="66"/>
      <c r="M322" s="66"/>
      <c r="N322" s="66"/>
      <c r="O322" s="66"/>
      <c r="P322" s="66"/>
      <c r="Q322" s="23"/>
      <c r="AB322" s="23"/>
      <c r="AC322" s="23"/>
      <c r="AD322" s="23"/>
      <c r="AE322" s="7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71"/>
      <c r="AV322" s="10"/>
      <c r="AW322" s="23"/>
      <c r="BB322" s="66"/>
      <c r="BC322" s="66"/>
      <c r="BD322" s="66"/>
      <c r="BE322" s="66"/>
      <c r="BF322" s="66"/>
      <c r="BG322" s="66"/>
      <c r="BH322" s="66"/>
      <c r="BI322" s="66"/>
      <c r="BJ322" s="66"/>
      <c r="BK322" s="66"/>
      <c r="BL322" s="66"/>
      <c r="BM322" s="66"/>
      <c r="BN322" s="66"/>
      <c r="BO322" s="66"/>
      <c r="BP322" s="66"/>
      <c r="BQ322" s="66"/>
      <c r="BR322" s="66"/>
      <c r="BS322" s="66"/>
      <c r="BT322" s="66"/>
      <c r="BU322" s="66"/>
      <c r="BV322" s="66"/>
      <c r="BW322" s="66"/>
    </row>
    <row r="323" spans="1:75" ht="15.75" customHeight="1">
      <c r="A323" s="65"/>
      <c r="B323" s="66"/>
      <c r="C323" s="66"/>
      <c r="D323" s="66"/>
      <c r="E323" s="66"/>
      <c r="F323" s="65"/>
      <c r="G323" s="65"/>
      <c r="H323" s="66"/>
      <c r="I323" s="66"/>
      <c r="J323" s="66"/>
      <c r="K323" s="66"/>
      <c r="L323" s="66"/>
      <c r="M323" s="66"/>
      <c r="N323" s="66"/>
      <c r="O323" s="66"/>
      <c r="P323" s="66"/>
      <c r="Q323" s="23"/>
      <c r="AB323" s="23"/>
      <c r="AC323" s="23"/>
      <c r="AD323" s="23"/>
      <c r="AE323" s="7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71"/>
      <c r="AV323" s="10"/>
      <c r="AW323" s="23"/>
      <c r="BB323" s="66"/>
      <c r="BC323" s="66"/>
      <c r="BD323" s="66"/>
      <c r="BE323" s="66"/>
      <c r="BF323" s="66"/>
      <c r="BG323" s="66"/>
      <c r="BH323" s="66"/>
      <c r="BI323" s="66"/>
      <c r="BJ323" s="66"/>
      <c r="BK323" s="66"/>
      <c r="BL323" s="66"/>
      <c r="BM323" s="66"/>
      <c r="BN323" s="66"/>
      <c r="BO323" s="66"/>
      <c r="BP323" s="66"/>
      <c r="BQ323" s="66"/>
      <c r="BR323" s="66"/>
      <c r="BS323" s="66"/>
      <c r="BT323" s="66"/>
      <c r="BU323" s="66"/>
      <c r="BV323" s="66"/>
      <c r="BW323" s="66"/>
    </row>
    <row r="324" spans="1:75" ht="15.75" customHeight="1">
      <c r="A324" s="65"/>
      <c r="B324" s="66"/>
      <c r="C324" s="66"/>
      <c r="D324" s="66"/>
      <c r="E324" s="66"/>
      <c r="F324" s="65"/>
      <c r="G324" s="65"/>
      <c r="H324" s="66"/>
      <c r="I324" s="66"/>
      <c r="J324" s="66"/>
      <c r="K324" s="66"/>
      <c r="L324" s="66"/>
      <c r="M324" s="66"/>
      <c r="N324" s="66"/>
      <c r="O324" s="66"/>
      <c r="P324" s="66"/>
      <c r="Q324" s="23"/>
      <c r="AB324" s="23"/>
      <c r="AC324" s="23"/>
      <c r="AD324" s="23"/>
      <c r="AE324" s="7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71"/>
      <c r="AV324" s="10"/>
      <c r="AW324" s="23"/>
      <c r="BB324" s="66"/>
      <c r="BC324" s="66"/>
      <c r="BD324" s="66"/>
      <c r="BE324" s="66"/>
      <c r="BF324" s="66"/>
      <c r="BG324" s="66"/>
      <c r="BH324" s="66"/>
      <c r="BI324" s="66"/>
      <c r="BJ324" s="66"/>
      <c r="BK324" s="66"/>
      <c r="BL324" s="66"/>
      <c r="BM324" s="66"/>
      <c r="BN324" s="66"/>
      <c r="BO324" s="66"/>
      <c r="BP324" s="66"/>
      <c r="BQ324" s="66"/>
      <c r="BR324" s="66"/>
      <c r="BS324" s="66"/>
      <c r="BT324" s="66"/>
      <c r="BU324" s="66"/>
      <c r="BV324" s="66"/>
      <c r="BW324" s="66"/>
    </row>
    <row r="325" spans="1:75" ht="15.75" customHeight="1">
      <c r="A325" s="65"/>
      <c r="B325" s="66"/>
      <c r="C325" s="66"/>
      <c r="D325" s="66"/>
      <c r="E325" s="66"/>
      <c r="F325" s="65"/>
      <c r="G325" s="65"/>
      <c r="H325" s="66"/>
      <c r="I325" s="66"/>
      <c r="J325" s="66"/>
      <c r="K325" s="66"/>
      <c r="L325" s="66"/>
      <c r="M325" s="66"/>
      <c r="N325" s="66"/>
      <c r="O325" s="66"/>
      <c r="P325" s="66"/>
      <c r="Q325" s="23"/>
      <c r="AB325" s="23"/>
      <c r="AC325" s="23"/>
      <c r="AD325" s="23"/>
      <c r="AE325" s="7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71"/>
      <c r="AV325" s="10"/>
      <c r="AW325" s="23"/>
      <c r="BB325" s="66"/>
      <c r="BC325" s="66"/>
      <c r="BD325" s="66"/>
      <c r="BE325" s="66"/>
      <c r="BF325" s="66"/>
      <c r="BG325" s="66"/>
      <c r="BH325" s="66"/>
      <c r="BI325" s="66"/>
      <c r="BJ325" s="66"/>
      <c r="BK325" s="66"/>
      <c r="BL325" s="66"/>
      <c r="BM325" s="66"/>
      <c r="BN325" s="66"/>
      <c r="BO325" s="66"/>
      <c r="BP325" s="66"/>
      <c r="BQ325" s="66"/>
      <c r="BR325" s="66"/>
      <c r="BS325" s="66"/>
      <c r="BT325" s="66"/>
      <c r="BU325" s="66"/>
      <c r="BV325" s="66"/>
      <c r="BW325" s="66"/>
    </row>
    <row r="326" spans="1:75" ht="15.75" customHeight="1">
      <c r="A326" s="65"/>
      <c r="B326" s="66"/>
      <c r="C326" s="66"/>
      <c r="D326" s="66"/>
      <c r="E326" s="66"/>
      <c r="F326" s="65"/>
      <c r="G326" s="65"/>
      <c r="H326" s="66"/>
      <c r="I326" s="66"/>
      <c r="J326" s="66"/>
      <c r="K326" s="66"/>
      <c r="L326" s="66"/>
      <c r="M326" s="66"/>
      <c r="N326" s="66"/>
      <c r="O326" s="66"/>
      <c r="P326" s="66"/>
      <c r="Q326" s="23"/>
      <c r="AB326" s="23"/>
      <c r="AC326" s="23"/>
      <c r="AD326" s="23"/>
      <c r="AE326" s="7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71"/>
      <c r="AV326" s="10"/>
      <c r="AW326" s="23"/>
      <c r="BB326" s="66"/>
      <c r="BC326" s="66"/>
      <c r="BD326" s="66"/>
      <c r="BE326" s="66"/>
      <c r="BF326" s="66"/>
      <c r="BG326" s="66"/>
      <c r="BH326" s="66"/>
      <c r="BI326" s="66"/>
      <c r="BJ326" s="66"/>
      <c r="BK326" s="66"/>
      <c r="BL326" s="66"/>
      <c r="BM326" s="66"/>
      <c r="BN326" s="66"/>
      <c r="BO326" s="66"/>
      <c r="BP326" s="66"/>
      <c r="BQ326" s="66"/>
      <c r="BR326" s="66"/>
      <c r="BS326" s="66"/>
      <c r="BT326" s="66"/>
      <c r="BU326" s="66"/>
      <c r="BV326" s="66"/>
      <c r="BW326" s="66"/>
    </row>
    <row r="327" spans="1:75" ht="15.75" customHeight="1">
      <c r="A327" s="65"/>
      <c r="B327" s="66"/>
      <c r="C327" s="66"/>
      <c r="D327" s="66"/>
      <c r="E327" s="66"/>
      <c r="F327" s="65"/>
      <c r="G327" s="65"/>
      <c r="H327" s="66"/>
      <c r="I327" s="66"/>
      <c r="J327" s="66"/>
      <c r="K327" s="66"/>
      <c r="L327" s="66"/>
      <c r="M327" s="66"/>
      <c r="N327" s="66"/>
      <c r="O327" s="66"/>
      <c r="P327" s="66"/>
      <c r="Q327" s="23"/>
      <c r="AB327" s="23"/>
      <c r="AC327" s="23"/>
      <c r="AD327" s="23"/>
      <c r="AE327" s="7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71"/>
      <c r="AV327" s="10"/>
      <c r="AW327" s="23"/>
      <c r="BB327" s="66"/>
      <c r="BC327" s="66"/>
      <c r="BD327" s="66"/>
      <c r="BE327" s="66"/>
      <c r="BF327" s="66"/>
      <c r="BG327" s="66"/>
      <c r="BH327" s="66"/>
      <c r="BI327" s="66"/>
      <c r="BJ327" s="66"/>
      <c r="BK327" s="66"/>
      <c r="BL327" s="66"/>
      <c r="BM327" s="66"/>
      <c r="BN327" s="66"/>
      <c r="BO327" s="66"/>
      <c r="BP327" s="66"/>
      <c r="BQ327" s="66"/>
      <c r="BR327" s="66"/>
      <c r="BS327" s="66"/>
      <c r="BT327" s="66"/>
      <c r="BU327" s="66"/>
      <c r="BV327" s="66"/>
      <c r="BW327" s="66"/>
    </row>
    <row r="328" spans="1:75" ht="15.75" customHeight="1">
      <c r="A328" s="65"/>
      <c r="B328" s="66"/>
      <c r="C328" s="66"/>
      <c r="D328" s="66"/>
      <c r="E328" s="66"/>
      <c r="F328" s="65"/>
      <c r="G328" s="65"/>
      <c r="H328" s="66"/>
      <c r="I328" s="66"/>
      <c r="J328" s="66"/>
      <c r="K328" s="66"/>
      <c r="L328" s="66"/>
      <c r="M328" s="66"/>
      <c r="N328" s="66"/>
      <c r="O328" s="66"/>
      <c r="P328" s="66"/>
      <c r="Q328" s="23"/>
      <c r="AB328" s="23"/>
      <c r="AC328" s="23"/>
      <c r="AD328" s="23"/>
      <c r="AE328" s="7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71"/>
      <c r="AV328" s="10"/>
      <c r="AW328" s="23"/>
      <c r="BB328" s="66"/>
      <c r="BC328" s="66"/>
      <c r="BD328" s="66"/>
      <c r="BE328" s="66"/>
      <c r="BF328" s="66"/>
      <c r="BG328" s="66"/>
      <c r="BH328" s="66"/>
      <c r="BI328" s="66"/>
      <c r="BJ328" s="66"/>
      <c r="BK328" s="66"/>
      <c r="BL328" s="66"/>
      <c r="BM328" s="66"/>
      <c r="BN328" s="66"/>
      <c r="BO328" s="66"/>
      <c r="BP328" s="66"/>
      <c r="BQ328" s="66"/>
      <c r="BR328" s="66"/>
      <c r="BS328" s="66"/>
      <c r="BT328" s="66"/>
      <c r="BU328" s="66"/>
      <c r="BV328" s="66"/>
      <c r="BW328" s="66"/>
    </row>
    <row r="329" spans="1:75" ht="15.75" customHeight="1">
      <c r="A329" s="65"/>
      <c r="B329" s="66"/>
      <c r="C329" s="66"/>
      <c r="D329" s="66"/>
      <c r="E329" s="66"/>
      <c r="F329" s="65"/>
      <c r="G329" s="65"/>
      <c r="H329" s="66"/>
      <c r="I329" s="66"/>
      <c r="J329" s="66"/>
      <c r="K329" s="66"/>
      <c r="L329" s="66"/>
      <c r="M329" s="66"/>
      <c r="N329" s="66"/>
      <c r="O329" s="66"/>
      <c r="P329" s="66"/>
      <c r="Q329" s="23"/>
      <c r="AB329" s="23"/>
      <c r="AC329" s="23"/>
      <c r="AD329" s="23"/>
      <c r="AE329" s="7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71"/>
      <c r="AV329" s="10"/>
      <c r="AW329" s="23"/>
      <c r="BB329" s="66"/>
      <c r="BC329" s="66"/>
      <c r="BD329" s="66"/>
      <c r="BE329" s="66"/>
      <c r="BF329" s="66"/>
      <c r="BG329" s="66"/>
      <c r="BH329" s="66"/>
      <c r="BI329" s="66"/>
      <c r="BJ329" s="66"/>
      <c r="BK329" s="66"/>
      <c r="BL329" s="66"/>
      <c r="BM329" s="66"/>
      <c r="BN329" s="66"/>
      <c r="BO329" s="66"/>
      <c r="BP329" s="66"/>
      <c r="BQ329" s="66"/>
      <c r="BR329" s="66"/>
      <c r="BS329" s="66"/>
      <c r="BT329" s="66"/>
      <c r="BU329" s="66"/>
      <c r="BV329" s="66"/>
      <c r="BW329" s="66"/>
    </row>
    <row r="330" spans="1:75" ht="15.75" customHeight="1">
      <c r="A330" s="65"/>
      <c r="B330" s="66"/>
      <c r="C330" s="66"/>
      <c r="D330" s="66"/>
      <c r="E330" s="66"/>
      <c r="F330" s="65"/>
      <c r="G330" s="65"/>
      <c r="H330" s="66"/>
      <c r="I330" s="66"/>
      <c r="J330" s="66"/>
      <c r="K330" s="66"/>
      <c r="L330" s="66"/>
      <c r="M330" s="66"/>
      <c r="N330" s="66"/>
      <c r="O330" s="66"/>
      <c r="P330" s="66"/>
      <c r="Q330" s="23"/>
      <c r="AB330" s="23"/>
      <c r="AC330" s="23"/>
      <c r="AD330" s="23"/>
      <c r="AE330" s="7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71"/>
      <c r="AV330" s="10"/>
      <c r="AW330" s="23"/>
      <c r="BB330" s="66"/>
      <c r="BC330" s="66"/>
      <c r="BD330" s="66"/>
      <c r="BE330" s="66"/>
      <c r="BF330" s="66"/>
      <c r="BG330" s="66"/>
      <c r="BH330" s="66"/>
      <c r="BI330" s="66"/>
      <c r="BJ330" s="66"/>
      <c r="BK330" s="66"/>
      <c r="BL330" s="66"/>
      <c r="BM330" s="66"/>
      <c r="BN330" s="66"/>
      <c r="BO330" s="66"/>
      <c r="BP330" s="66"/>
      <c r="BQ330" s="66"/>
      <c r="BR330" s="66"/>
      <c r="BS330" s="66"/>
      <c r="BT330" s="66"/>
      <c r="BU330" s="66"/>
      <c r="BV330" s="66"/>
      <c r="BW330" s="66"/>
    </row>
    <row r="331" spans="1:75" ht="15.75" customHeight="1">
      <c r="A331" s="65"/>
      <c r="B331" s="66"/>
      <c r="C331" s="66"/>
      <c r="D331" s="66"/>
      <c r="E331" s="66"/>
      <c r="F331" s="65"/>
      <c r="G331" s="65"/>
      <c r="H331" s="66"/>
      <c r="I331" s="66"/>
      <c r="J331" s="66"/>
      <c r="K331" s="66"/>
      <c r="L331" s="66"/>
      <c r="M331" s="66"/>
      <c r="N331" s="66"/>
      <c r="O331" s="66"/>
      <c r="P331" s="66"/>
      <c r="Q331" s="23"/>
      <c r="AB331" s="23"/>
      <c r="AC331" s="23"/>
      <c r="AD331" s="23"/>
      <c r="AE331" s="7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71"/>
      <c r="AV331" s="10"/>
      <c r="AW331" s="23"/>
      <c r="BB331" s="66"/>
      <c r="BC331" s="66"/>
      <c r="BD331" s="66"/>
      <c r="BE331" s="66"/>
      <c r="BF331" s="66"/>
      <c r="BG331" s="66"/>
      <c r="BH331" s="66"/>
      <c r="BI331" s="66"/>
      <c r="BJ331" s="66"/>
      <c r="BK331" s="66"/>
      <c r="BL331" s="66"/>
      <c r="BM331" s="66"/>
      <c r="BN331" s="66"/>
      <c r="BO331" s="66"/>
      <c r="BP331" s="66"/>
      <c r="BQ331" s="66"/>
      <c r="BR331" s="66"/>
      <c r="BS331" s="66"/>
      <c r="BT331" s="66"/>
      <c r="BU331" s="66"/>
      <c r="BV331" s="66"/>
      <c r="BW331" s="66"/>
    </row>
    <row r="332" spans="1:75" ht="15.75" customHeight="1">
      <c r="A332" s="65"/>
      <c r="B332" s="66"/>
      <c r="C332" s="66"/>
      <c r="D332" s="66"/>
      <c r="E332" s="66"/>
      <c r="F332" s="65"/>
      <c r="G332" s="65"/>
      <c r="H332" s="66"/>
      <c r="I332" s="66"/>
      <c r="J332" s="66"/>
      <c r="K332" s="66"/>
      <c r="L332" s="66"/>
      <c r="M332" s="66"/>
      <c r="N332" s="66"/>
      <c r="O332" s="66"/>
      <c r="P332" s="66"/>
      <c r="Q332" s="23"/>
      <c r="AB332" s="23"/>
      <c r="AC332" s="23"/>
      <c r="AD332" s="23"/>
      <c r="AE332" s="7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71"/>
      <c r="AV332" s="10"/>
      <c r="AW332" s="23"/>
      <c r="BB332" s="66"/>
      <c r="BC332" s="66"/>
      <c r="BD332" s="66"/>
      <c r="BE332" s="66"/>
      <c r="BF332" s="66"/>
      <c r="BG332" s="66"/>
      <c r="BH332" s="66"/>
      <c r="BI332" s="66"/>
      <c r="BJ332" s="66"/>
      <c r="BK332" s="66"/>
      <c r="BL332" s="66"/>
      <c r="BM332" s="66"/>
      <c r="BN332" s="66"/>
      <c r="BO332" s="66"/>
      <c r="BP332" s="66"/>
      <c r="BQ332" s="66"/>
      <c r="BR332" s="66"/>
      <c r="BS332" s="66"/>
      <c r="BT332" s="66"/>
      <c r="BU332" s="66"/>
      <c r="BV332" s="66"/>
      <c r="BW332" s="66"/>
    </row>
    <row r="333" spans="1:75" ht="15.75" customHeight="1">
      <c r="A333" s="65"/>
      <c r="B333" s="66"/>
      <c r="C333" s="66"/>
      <c r="D333" s="66"/>
      <c r="E333" s="66"/>
      <c r="F333" s="65"/>
      <c r="G333" s="65"/>
      <c r="H333" s="66"/>
      <c r="I333" s="66"/>
      <c r="J333" s="66"/>
      <c r="K333" s="66"/>
      <c r="L333" s="66"/>
      <c r="M333" s="66"/>
      <c r="N333" s="66"/>
      <c r="O333" s="66"/>
      <c r="P333" s="66"/>
      <c r="Q333" s="23"/>
      <c r="AB333" s="23"/>
      <c r="AC333" s="23"/>
      <c r="AD333" s="23"/>
      <c r="AE333" s="7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71"/>
      <c r="AV333" s="10"/>
      <c r="AW333" s="23"/>
      <c r="BB333" s="66"/>
      <c r="BC333" s="66"/>
      <c r="BD333" s="66"/>
      <c r="BE333" s="66"/>
      <c r="BF333" s="66"/>
      <c r="BG333" s="66"/>
      <c r="BH333" s="66"/>
      <c r="BI333" s="66"/>
      <c r="BJ333" s="66"/>
      <c r="BK333" s="66"/>
      <c r="BL333" s="66"/>
      <c r="BM333" s="66"/>
      <c r="BN333" s="66"/>
      <c r="BO333" s="66"/>
      <c r="BP333" s="66"/>
      <c r="BQ333" s="66"/>
      <c r="BR333" s="66"/>
      <c r="BS333" s="66"/>
      <c r="BT333" s="66"/>
      <c r="BU333" s="66"/>
      <c r="BV333" s="66"/>
      <c r="BW333" s="66"/>
    </row>
    <row r="334" spans="1:75" ht="15.75" customHeight="1">
      <c r="A334" s="65"/>
      <c r="B334" s="66"/>
      <c r="C334" s="66"/>
      <c r="D334" s="66"/>
      <c r="E334" s="66"/>
      <c r="F334" s="65"/>
      <c r="G334" s="65"/>
      <c r="H334" s="66"/>
      <c r="I334" s="66"/>
      <c r="J334" s="66"/>
      <c r="K334" s="66"/>
      <c r="L334" s="66"/>
      <c r="M334" s="66"/>
      <c r="N334" s="66"/>
      <c r="O334" s="66"/>
      <c r="P334" s="66"/>
      <c r="Q334" s="23"/>
      <c r="AB334" s="23"/>
      <c r="AC334" s="23"/>
      <c r="AD334" s="23"/>
      <c r="AE334" s="7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71"/>
      <c r="AV334" s="10"/>
      <c r="AW334" s="23"/>
      <c r="BB334" s="66"/>
      <c r="BC334" s="66"/>
      <c r="BD334" s="66"/>
      <c r="BE334" s="66"/>
      <c r="BF334" s="66"/>
      <c r="BG334" s="66"/>
      <c r="BH334" s="66"/>
      <c r="BI334" s="66"/>
      <c r="BJ334" s="66"/>
      <c r="BK334" s="66"/>
      <c r="BL334" s="66"/>
      <c r="BM334" s="66"/>
      <c r="BN334" s="66"/>
      <c r="BO334" s="66"/>
      <c r="BP334" s="66"/>
      <c r="BQ334" s="66"/>
      <c r="BR334" s="66"/>
      <c r="BS334" s="66"/>
      <c r="BT334" s="66"/>
      <c r="BU334" s="66"/>
      <c r="BV334" s="66"/>
      <c r="BW334" s="66"/>
    </row>
    <row r="335" spans="1:75" ht="15.75" customHeight="1">
      <c r="A335" s="65"/>
      <c r="B335" s="66"/>
      <c r="C335" s="66"/>
      <c r="D335" s="66"/>
      <c r="E335" s="66"/>
      <c r="F335" s="65"/>
      <c r="G335" s="65"/>
      <c r="H335" s="66"/>
      <c r="I335" s="66"/>
      <c r="J335" s="66"/>
      <c r="K335" s="66"/>
      <c r="L335" s="66"/>
      <c r="M335" s="66"/>
      <c r="N335" s="66"/>
      <c r="O335" s="66"/>
      <c r="P335" s="66"/>
      <c r="Q335" s="23"/>
      <c r="AB335" s="23"/>
      <c r="AC335" s="23"/>
      <c r="AD335" s="23"/>
      <c r="AE335" s="7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71"/>
      <c r="AV335" s="10"/>
      <c r="AW335" s="23"/>
      <c r="BB335" s="66"/>
      <c r="BC335" s="66"/>
      <c r="BD335" s="66"/>
      <c r="BE335" s="66"/>
      <c r="BF335" s="66"/>
      <c r="BG335" s="66"/>
      <c r="BH335" s="66"/>
      <c r="BI335" s="66"/>
      <c r="BJ335" s="66"/>
      <c r="BK335" s="66"/>
      <c r="BL335" s="66"/>
      <c r="BM335" s="66"/>
      <c r="BN335" s="66"/>
      <c r="BO335" s="66"/>
      <c r="BP335" s="66"/>
      <c r="BQ335" s="66"/>
      <c r="BR335" s="66"/>
      <c r="BS335" s="66"/>
      <c r="BT335" s="66"/>
      <c r="BU335" s="66"/>
      <c r="BV335" s="66"/>
      <c r="BW335" s="66"/>
    </row>
    <row r="336" spans="1:75" ht="15.75" customHeight="1">
      <c r="A336" s="65"/>
      <c r="B336" s="66"/>
      <c r="C336" s="66"/>
      <c r="D336" s="66"/>
      <c r="E336" s="66"/>
      <c r="F336" s="65"/>
      <c r="G336" s="65"/>
      <c r="H336" s="66"/>
      <c r="I336" s="66"/>
      <c r="J336" s="66"/>
      <c r="K336" s="66"/>
      <c r="L336" s="66"/>
      <c r="M336" s="66"/>
      <c r="N336" s="66"/>
      <c r="O336" s="66"/>
      <c r="P336" s="66"/>
      <c r="Q336" s="23"/>
      <c r="AB336" s="23"/>
      <c r="AC336" s="23"/>
      <c r="AD336" s="23"/>
      <c r="AE336" s="7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71"/>
      <c r="AV336" s="10"/>
      <c r="AW336" s="23"/>
      <c r="BB336" s="66"/>
      <c r="BC336" s="66"/>
      <c r="BD336" s="66"/>
      <c r="BE336" s="66"/>
      <c r="BF336" s="66"/>
      <c r="BG336" s="66"/>
      <c r="BH336" s="66"/>
      <c r="BI336" s="66"/>
      <c r="BJ336" s="66"/>
      <c r="BK336" s="66"/>
      <c r="BL336" s="66"/>
      <c r="BM336" s="66"/>
      <c r="BN336" s="66"/>
      <c r="BO336" s="66"/>
      <c r="BP336" s="66"/>
      <c r="BQ336" s="66"/>
      <c r="BR336" s="66"/>
      <c r="BS336" s="66"/>
      <c r="BT336" s="66"/>
      <c r="BU336" s="66"/>
      <c r="BV336" s="66"/>
      <c r="BW336" s="66"/>
    </row>
    <row r="337" spans="1:75" ht="15.75" customHeight="1">
      <c r="A337" s="65"/>
      <c r="B337" s="66"/>
      <c r="C337" s="66"/>
      <c r="D337" s="66"/>
      <c r="E337" s="66"/>
      <c r="F337" s="65"/>
      <c r="G337" s="65"/>
      <c r="H337" s="66"/>
      <c r="I337" s="66"/>
      <c r="J337" s="66"/>
      <c r="K337" s="66"/>
      <c r="L337" s="66"/>
      <c r="M337" s="66"/>
      <c r="N337" s="66"/>
      <c r="O337" s="66"/>
      <c r="P337" s="66"/>
      <c r="Q337" s="23"/>
      <c r="AB337" s="23"/>
      <c r="AC337" s="23"/>
      <c r="AD337" s="23"/>
      <c r="AE337" s="7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71"/>
      <c r="AV337" s="10"/>
      <c r="AW337" s="23"/>
      <c r="BB337" s="66"/>
      <c r="BC337" s="66"/>
      <c r="BD337" s="66"/>
      <c r="BE337" s="66"/>
      <c r="BF337" s="66"/>
      <c r="BG337" s="66"/>
      <c r="BH337" s="66"/>
      <c r="BI337" s="66"/>
      <c r="BJ337" s="66"/>
      <c r="BK337" s="66"/>
      <c r="BL337" s="66"/>
      <c r="BM337" s="66"/>
      <c r="BN337" s="66"/>
      <c r="BO337" s="66"/>
      <c r="BP337" s="66"/>
      <c r="BQ337" s="66"/>
      <c r="BR337" s="66"/>
      <c r="BS337" s="66"/>
      <c r="BT337" s="66"/>
      <c r="BU337" s="66"/>
      <c r="BV337" s="66"/>
      <c r="BW337" s="66"/>
    </row>
    <row r="338" spans="1:75" ht="15.75" customHeight="1">
      <c r="A338" s="65"/>
      <c r="B338" s="66"/>
      <c r="C338" s="66"/>
      <c r="D338" s="66"/>
      <c r="E338" s="66"/>
      <c r="F338" s="65"/>
      <c r="G338" s="65"/>
      <c r="H338" s="66"/>
      <c r="I338" s="66"/>
      <c r="J338" s="66"/>
      <c r="K338" s="66"/>
      <c r="L338" s="66"/>
      <c r="M338" s="66"/>
      <c r="N338" s="66"/>
      <c r="O338" s="66"/>
      <c r="P338" s="66"/>
      <c r="Q338" s="23"/>
      <c r="AB338" s="23"/>
      <c r="AC338" s="23"/>
      <c r="AD338" s="23"/>
      <c r="AE338" s="7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71"/>
      <c r="AV338" s="10"/>
      <c r="AW338" s="23"/>
      <c r="BB338" s="66"/>
      <c r="BC338" s="66"/>
      <c r="BD338" s="66"/>
      <c r="BE338" s="66"/>
      <c r="BF338" s="66"/>
      <c r="BG338" s="66"/>
      <c r="BH338" s="66"/>
      <c r="BI338" s="66"/>
      <c r="BJ338" s="66"/>
      <c r="BK338" s="66"/>
      <c r="BL338" s="66"/>
      <c r="BM338" s="66"/>
      <c r="BN338" s="66"/>
      <c r="BO338" s="66"/>
      <c r="BP338" s="66"/>
      <c r="BQ338" s="66"/>
      <c r="BR338" s="66"/>
      <c r="BS338" s="66"/>
      <c r="BT338" s="66"/>
      <c r="BU338" s="66"/>
      <c r="BV338" s="66"/>
      <c r="BW338" s="66"/>
    </row>
    <row r="339" spans="1:75" ht="15.75" customHeight="1">
      <c r="A339" s="65"/>
      <c r="B339" s="66"/>
      <c r="C339" s="66"/>
      <c r="D339" s="66"/>
      <c r="E339" s="66"/>
      <c r="F339" s="65"/>
      <c r="G339" s="65"/>
      <c r="H339" s="66"/>
      <c r="I339" s="66"/>
      <c r="J339" s="66"/>
      <c r="K339" s="66"/>
      <c r="L339" s="66"/>
      <c r="M339" s="66"/>
      <c r="N339" s="66"/>
      <c r="O339" s="66"/>
      <c r="P339" s="66"/>
      <c r="Q339" s="23"/>
      <c r="AB339" s="23"/>
      <c r="AC339" s="23"/>
      <c r="AD339" s="23"/>
      <c r="AE339" s="7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71"/>
      <c r="AV339" s="10"/>
      <c r="AW339" s="23"/>
      <c r="BB339" s="66"/>
      <c r="BC339" s="66"/>
      <c r="BD339" s="66"/>
      <c r="BE339" s="66"/>
      <c r="BF339" s="66"/>
      <c r="BG339" s="66"/>
      <c r="BH339" s="66"/>
      <c r="BI339" s="66"/>
      <c r="BJ339" s="66"/>
      <c r="BK339" s="66"/>
      <c r="BL339" s="66"/>
      <c r="BM339" s="66"/>
      <c r="BN339" s="66"/>
      <c r="BO339" s="66"/>
      <c r="BP339" s="66"/>
      <c r="BQ339" s="66"/>
      <c r="BR339" s="66"/>
      <c r="BS339" s="66"/>
      <c r="BT339" s="66"/>
      <c r="BU339" s="66"/>
      <c r="BV339" s="66"/>
      <c r="BW339" s="66"/>
    </row>
    <row r="340" spans="1:75" ht="15.75" customHeight="1">
      <c r="A340" s="65"/>
      <c r="B340" s="66"/>
      <c r="C340" s="66"/>
      <c r="D340" s="66"/>
      <c r="E340" s="66"/>
      <c r="F340" s="65"/>
      <c r="G340" s="65"/>
      <c r="H340" s="66"/>
      <c r="I340" s="66"/>
      <c r="J340" s="66"/>
      <c r="K340" s="66"/>
      <c r="L340" s="66"/>
      <c r="M340" s="66"/>
      <c r="N340" s="66"/>
      <c r="O340" s="66"/>
      <c r="P340" s="66"/>
      <c r="Q340" s="23"/>
      <c r="AB340" s="23"/>
      <c r="AC340" s="23"/>
      <c r="AD340" s="23"/>
      <c r="AE340" s="7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71"/>
      <c r="AV340" s="10"/>
      <c r="AW340" s="23"/>
      <c r="BB340" s="66"/>
      <c r="BC340" s="66"/>
      <c r="BD340" s="66"/>
      <c r="BE340" s="66"/>
      <c r="BF340" s="66"/>
      <c r="BG340" s="66"/>
      <c r="BH340" s="66"/>
      <c r="BI340" s="66"/>
      <c r="BJ340" s="66"/>
      <c r="BK340" s="66"/>
      <c r="BL340" s="66"/>
      <c r="BM340" s="66"/>
      <c r="BN340" s="66"/>
      <c r="BO340" s="66"/>
      <c r="BP340" s="66"/>
      <c r="BQ340" s="66"/>
      <c r="BR340" s="66"/>
      <c r="BS340" s="66"/>
      <c r="BT340" s="66"/>
      <c r="BU340" s="66"/>
      <c r="BV340" s="66"/>
      <c r="BW340" s="66"/>
    </row>
    <row r="341" spans="1:75" ht="15.75" customHeight="1">
      <c r="A341" s="65"/>
      <c r="B341" s="66"/>
      <c r="C341" s="66"/>
      <c r="D341" s="66"/>
      <c r="E341" s="66"/>
      <c r="F341" s="65"/>
      <c r="G341" s="65"/>
      <c r="H341" s="66"/>
      <c r="I341" s="66"/>
      <c r="J341" s="66"/>
      <c r="K341" s="66"/>
      <c r="L341" s="66"/>
      <c r="M341" s="66"/>
      <c r="N341" s="66"/>
      <c r="O341" s="66"/>
      <c r="P341" s="66"/>
      <c r="Q341" s="23"/>
      <c r="AB341" s="23"/>
      <c r="AC341" s="23"/>
      <c r="AD341" s="23"/>
      <c r="AE341" s="7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71"/>
      <c r="AV341" s="10"/>
      <c r="AW341" s="23"/>
      <c r="BB341" s="66"/>
      <c r="BC341" s="66"/>
      <c r="BD341" s="66"/>
      <c r="BE341" s="66"/>
      <c r="BF341" s="66"/>
      <c r="BG341" s="66"/>
      <c r="BH341" s="66"/>
      <c r="BI341" s="66"/>
      <c r="BJ341" s="66"/>
      <c r="BK341" s="66"/>
      <c r="BL341" s="66"/>
      <c r="BM341" s="66"/>
      <c r="BN341" s="66"/>
      <c r="BO341" s="66"/>
      <c r="BP341" s="66"/>
      <c r="BQ341" s="66"/>
      <c r="BR341" s="66"/>
      <c r="BS341" s="66"/>
      <c r="BT341" s="66"/>
      <c r="BU341" s="66"/>
      <c r="BV341" s="66"/>
      <c r="BW341" s="66"/>
    </row>
    <row r="342" spans="1:75" ht="15.75" customHeight="1">
      <c r="A342" s="65"/>
      <c r="B342" s="66"/>
      <c r="C342" s="66"/>
      <c r="D342" s="66"/>
      <c r="E342" s="66"/>
      <c r="F342" s="65"/>
      <c r="G342" s="65"/>
      <c r="H342" s="66"/>
      <c r="I342" s="66"/>
      <c r="J342" s="66"/>
      <c r="K342" s="66"/>
      <c r="L342" s="66"/>
      <c r="M342" s="66"/>
      <c r="N342" s="66"/>
      <c r="O342" s="66"/>
      <c r="P342" s="66"/>
      <c r="Q342" s="23"/>
      <c r="AB342" s="23"/>
      <c r="AC342" s="23"/>
      <c r="AD342" s="23"/>
      <c r="AE342" s="7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71"/>
      <c r="AV342" s="10"/>
      <c r="AW342" s="23"/>
      <c r="BB342" s="66"/>
      <c r="BC342" s="66"/>
      <c r="BD342" s="66"/>
      <c r="BE342" s="66"/>
      <c r="BF342" s="66"/>
      <c r="BG342" s="66"/>
      <c r="BH342" s="66"/>
      <c r="BI342" s="66"/>
      <c r="BJ342" s="66"/>
      <c r="BK342" s="66"/>
      <c r="BL342" s="66"/>
      <c r="BM342" s="66"/>
      <c r="BN342" s="66"/>
      <c r="BO342" s="66"/>
      <c r="BP342" s="66"/>
      <c r="BQ342" s="66"/>
      <c r="BR342" s="66"/>
      <c r="BS342" s="66"/>
      <c r="BT342" s="66"/>
      <c r="BU342" s="66"/>
      <c r="BV342" s="66"/>
      <c r="BW342" s="66"/>
    </row>
    <row r="343" spans="1:75" ht="15.75" customHeight="1">
      <c r="A343" s="65"/>
      <c r="B343" s="66"/>
      <c r="C343" s="66"/>
      <c r="D343" s="66"/>
      <c r="E343" s="66"/>
      <c r="F343" s="65"/>
      <c r="G343" s="65"/>
      <c r="H343" s="66"/>
      <c r="I343" s="66"/>
      <c r="J343" s="66"/>
      <c r="K343" s="66"/>
      <c r="L343" s="66"/>
      <c r="M343" s="66"/>
      <c r="N343" s="66"/>
      <c r="O343" s="66"/>
      <c r="P343" s="66"/>
      <c r="Q343" s="23"/>
      <c r="AB343" s="23"/>
      <c r="AC343" s="23"/>
      <c r="AD343" s="23"/>
      <c r="AE343" s="7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71"/>
      <c r="AV343" s="10"/>
      <c r="AW343" s="23"/>
      <c r="BB343" s="66"/>
      <c r="BC343" s="66"/>
      <c r="BD343" s="66"/>
      <c r="BE343" s="66"/>
      <c r="BF343" s="66"/>
      <c r="BG343" s="66"/>
      <c r="BH343" s="66"/>
      <c r="BI343" s="66"/>
      <c r="BJ343" s="66"/>
      <c r="BK343" s="66"/>
      <c r="BL343" s="66"/>
      <c r="BM343" s="66"/>
      <c r="BN343" s="66"/>
      <c r="BO343" s="66"/>
      <c r="BP343" s="66"/>
      <c r="BQ343" s="66"/>
      <c r="BR343" s="66"/>
      <c r="BS343" s="66"/>
      <c r="BT343" s="66"/>
      <c r="BU343" s="66"/>
      <c r="BV343" s="66"/>
      <c r="BW343" s="66"/>
    </row>
    <row r="344" spans="1:75" ht="15.75" customHeight="1">
      <c r="A344" s="65"/>
      <c r="B344" s="66"/>
      <c r="C344" s="66"/>
      <c r="D344" s="66"/>
      <c r="E344" s="66"/>
      <c r="F344" s="65"/>
      <c r="G344" s="65"/>
      <c r="H344" s="66"/>
      <c r="I344" s="66"/>
      <c r="J344" s="66"/>
      <c r="K344" s="66"/>
      <c r="L344" s="66"/>
      <c r="M344" s="66"/>
      <c r="N344" s="66"/>
      <c r="O344" s="66"/>
      <c r="P344" s="66"/>
      <c r="Q344" s="23"/>
      <c r="AB344" s="23"/>
      <c r="AC344" s="23"/>
      <c r="AD344" s="23"/>
      <c r="AE344" s="7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71"/>
      <c r="AV344" s="10"/>
      <c r="AW344" s="23"/>
      <c r="BB344" s="66"/>
      <c r="BC344" s="66"/>
      <c r="BD344" s="66"/>
      <c r="BE344" s="66"/>
      <c r="BF344" s="66"/>
      <c r="BG344" s="66"/>
      <c r="BH344" s="66"/>
      <c r="BI344" s="66"/>
      <c r="BJ344" s="66"/>
      <c r="BK344" s="66"/>
      <c r="BL344" s="66"/>
      <c r="BM344" s="66"/>
      <c r="BN344" s="66"/>
      <c r="BO344" s="66"/>
      <c r="BP344" s="66"/>
      <c r="BQ344" s="66"/>
      <c r="BR344" s="66"/>
      <c r="BS344" s="66"/>
      <c r="BT344" s="66"/>
      <c r="BU344" s="66"/>
      <c r="BV344" s="66"/>
      <c r="BW344" s="66"/>
    </row>
    <row r="345" spans="1:75" ht="15.75" customHeight="1">
      <c r="A345" s="65"/>
      <c r="B345" s="66"/>
      <c r="C345" s="66"/>
      <c r="D345" s="66"/>
      <c r="E345" s="66"/>
      <c r="F345" s="65"/>
      <c r="G345" s="65"/>
      <c r="H345" s="66"/>
      <c r="I345" s="66"/>
      <c r="J345" s="66"/>
      <c r="K345" s="66"/>
      <c r="L345" s="66"/>
      <c r="M345" s="66"/>
      <c r="N345" s="66"/>
      <c r="O345" s="66"/>
      <c r="P345" s="66"/>
      <c r="Q345" s="23"/>
      <c r="AB345" s="23"/>
      <c r="AC345" s="23"/>
      <c r="AD345" s="23"/>
      <c r="AE345" s="7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71"/>
      <c r="AV345" s="10"/>
      <c r="AW345" s="23"/>
      <c r="BB345" s="66"/>
      <c r="BC345" s="66"/>
      <c r="BD345" s="66"/>
      <c r="BE345" s="66"/>
      <c r="BF345" s="66"/>
      <c r="BG345" s="66"/>
      <c r="BH345" s="66"/>
      <c r="BI345" s="66"/>
      <c r="BJ345" s="66"/>
      <c r="BK345" s="66"/>
      <c r="BL345" s="66"/>
      <c r="BM345" s="66"/>
      <c r="BN345" s="66"/>
      <c r="BO345" s="66"/>
      <c r="BP345" s="66"/>
      <c r="BQ345" s="66"/>
      <c r="BR345" s="66"/>
      <c r="BS345" s="66"/>
      <c r="BT345" s="66"/>
      <c r="BU345" s="66"/>
      <c r="BV345" s="66"/>
      <c r="BW345" s="66"/>
    </row>
    <row r="346" spans="1:75" ht="15.75" customHeight="1">
      <c r="A346" s="65"/>
      <c r="B346" s="66"/>
      <c r="C346" s="66"/>
      <c r="D346" s="66"/>
      <c r="E346" s="66"/>
      <c r="F346" s="65"/>
      <c r="G346" s="65"/>
      <c r="H346" s="66"/>
      <c r="I346" s="66"/>
      <c r="J346" s="66"/>
      <c r="K346" s="66"/>
      <c r="L346" s="66"/>
      <c r="M346" s="66"/>
      <c r="N346" s="66"/>
      <c r="O346" s="66"/>
      <c r="P346" s="66"/>
      <c r="Q346" s="23"/>
      <c r="AB346" s="23"/>
      <c r="AC346" s="23"/>
      <c r="AD346" s="23"/>
      <c r="AE346" s="7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71"/>
      <c r="AV346" s="10"/>
      <c r="AW346" s="23"/>
      <c r="BB346" s="66"/>
      <c r="BC346" s="66"/>
      <c r="BD346" s="66"/>
      <c r="BE346" s="66"/>
      <c r="BF346" s="66"/>
      <c r="BG346" s="66"/>
      <c r="BH346" s="66"/>
      <c r="BI346" s="66"/>
      <c r="BJ346" s="66"/>
      <c r="BK346" s="66"/>
      <c r="BL346" s="66"/>
      <c r="BM346" s="66"/>
      <c r="BN346" s="66"/>
      <c r="BO346" s="66"/>
      <c r="BP346" s="66"/>
      <c r="BQ346" s="66"/>
      <c r="BR346" s="66"/>
      <c r="BS346" s="66"/>
      <c r="BT346" s="66"/>
      <c r="BU346" s="66"/>
      <c r="BV346" s="66"/>
      <c r="BW346" s="66"/>
    </row>
    <row r="347" spans="1:75" ht="15.75" customHeight="1">
      <c r="A347" s="65"/>
      <c r="B347" s="66"/>
      <c r="C347" s="66"/>
      <c r="D347" s="66"/>
      <c r="E347" s="66"/>
      <c r="F347" s="65"/>
      <c r="G347" s="65"/>
      <c r="H347" s="66"/>
      <c r="I347" s="66"/>
      <c r="J347" s="66"/>
      <c r="K347" s="66"/>
      <c r="L347" s="66"/>
      <c r="M347" s="66"/>
      <c r="N347" s="66"/>
      <c r="O347" s="66"/>
      <c r="P347" s="66"/>
      <c r="Q347" s="23"/>
      <c r="AB347" s="23"/>
      <c r="AC347" s="23"/>
      <c r="AD347" s="23"/>
      <c r="AE347" s="7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71"/>
      <c r="AV347" s="10"/>
      <c r="AW347" s="23"/>
      <c r="BB347" s="66"/>
      <c r="BC347" s="66"/>
      <c r="BD347" s="66"/>
      <c r="BE347" s="66"/>
      <c r="BF347" s="66"/>
      <c r="BG347" s="66"/>
      <c r="BH347" s="66"/>
      <c r="BI347" s="66"/>
      <c r="BJ347" s="66"/>
      <c r="BK347" s="66"/>
      <c r="BL347" s="66"/>
      <c r="BM347" s="66"/>
      <c r="BN347" s="66"/>
      <c r="BO347" s="66"/>
      <c r="BP347" s="66"/>
      <c r="BQ347" s="66"/>
      <c r="BR347" s="66"/>
      <c r="BS347" s="66"/>
      <c r="BT347" s="66"/>
      <c r="BU347" s="66"/>
      <c r="BV347" s="66"/>
      <c r="BW347" s="66"/>
    </row>
    <row r="348" spans="1:75" ht="15.75" customHeight="1">
      <c r="A348" s="65"/>
      <c r="B348" s="66"/>
      <c r="C348" s="66"/>
      <c r="D348" s="66"/>
      <c r="E348" s="66"/>
      <c r="F348" s="65"/>
      <c r="G348" s="65"/>
      <c r="H348" s="66"/>
      <c r="I348" s="66"/>
      <c r="J348" s="66"/>
      <c r="K348" s="66"/>
      <c r="L348" s="66"/>
      <c r="M348" s="66"/>
      <c r="N348" s="66"/>
      <c r="O348" s="66"/>
      <c r="P348" s="66"/>
      <c r="Q348" s="23"/>
      <c r="AB348" s="23"/>
      <c r="AC348" s="23"/>
      <c r="AD348" s="23"/>
      <c r="AE348" s="7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71"/>
      <c r="AV348" s="10"/>
      <c r="AW348" s="23"/>
      <c r="BB348" s="66"/>
      <c r="BC348" s="66"/>
      <c r="BD348" s="66"/>
      <c r="BE348" s="66"/>
      <c r="BF348" s="66"/>
      <c r="BG348" s="66"/>
      <c r="BH348" s="66"/>
      <c r="BI348" s="66"/>
      <c r="BJ348" s="66"/>
      <c r="BK348" s="66"/>
      <c r="BL348" s="66"/>
      <c r="BM348" s="66"/>
      <c r="BN348" s="66"/>
      <c r="BO348" s="66"/>
      <c r="BP348" s="66"/>
      <c r="BQ348" s="66"/>
      <c r="BR348" s="66"/>
      <c r="BS348" s="66"/>
      <c r="BT348" s="66"/>
      <c r="BU348" s="66"/>
      <c r="BV348" s="66"/>
      <c r="BW348" s="66"/>
    </row>
    <row r="349" spans="1:75" ht="15.75" customHeight="1">
      <c r="A349" s="65"/>
      <c r="B349" s="66"/>
      <c r="C349" s="66"/>
      <c r="D349" s="66"/>
      <c r="E349" s="66"/>
      <c r="F349" s="65"/>
      <c r="G349" s="65"/>
      <c r="H349" s="66"/>
      <c r="I349" s="66"/>
      <c r="J349" s="66"/>
      <c r="K349" s="66"/>
      <c r="L349" s="66"/>
      <c r="M349" s="66"/>
      <c r="N349" s="66"/>
      <c r="O349" s="66"/>
      <c r="P349" s="66"/>
      <c r="Q349" s="23"/>
      <c r="AB349" s="23"/>
      <c r="AC349" s="23"/>
      <c r="AD349" s="23"/>
      <c r="AE349" s="7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71"/>
      <c r="AV349" s="10"/>
      <c r="AW349" s="23"/>
      <c r="BB349" s="66"/>
      <c r="BC349" s="66"/>
      <c r="BD349" s="66"/>
      <c r="BE349" s="66"/>
      <c r="BF349" s="66"/>
      <c r="BG349" s="66"/>
      <c r="BH349" s="66"/>
      <c r="BI349" s="66"/>
      <c r="BJ349" s="66"/>
      <c r="BK349" s="66"/>
      <c r="BL349" s="66"/>
      <c r="BM349" s="66"/>
      <c r="BN349" s="66"/>
      <c r="BO349" s="66"/>
      <c r="BP349" s="66"/>
      <c r="BQ349" s="66"/>
      <c r="BR349" s="66"/>
      <c r="BS349" s="66"/>
      <c r="BT349" s="66"/>
      <c r="BU349" s="66"/>
      <c r="BV349" s="66"/>
      <c r="BW349" s="66"/>
    </row>
    <row r="350" spans="1:75" ht="15.75" customHeight="1">
      <c r="A350" s="65"/>
      <c r="B350" s="66"/>
      <c r="C350" s="66"/>
      <c r="D350" s="66"/>
      <c r="E350" s="66"/>
      <c r="F350" s="65"/>
      <c r="G350" s="65"/>
      <c r="H350" s="66"/>
      <c r="I350" s="66"/>
      <c r="J350" s="66"/>
      <c r="K350" s="66"/>
      <c r="L350" s="66"/>
      <c r="M350" s="66"/>
      <c r="N350" s="66"/>
      <c r="O350" s="66"/>
      <c r="P350" s="66"/>
      <c r="Q350" s="23"/>
      <c r="AB350" s="23"/>
      <c r="AC350" s="23"/>
      <c r="AD350" s="23"/>
      <c r="AE350" s="7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71"/>
      <c r="AV350" s="10"/>
      <c r="AW350" s="23"/>
      <c r="BB350" s="66"/>
      <c r="BC350" s="66"/>
      <c r="BD350" s="66"/>
      <c r="BE350" s="66"/>
      <c r="BF350" s="66"/>
      <c r="BG350" s="66"/>
      <c r="BH350" s="66"/>
      <c r="BI350" s="66"/>
      <c r="BJ350" s="66"/>
      <c r="BK350" s="66"/>
      <c r="BL350" s="66"/>
      <c r="BM350" s="66"/>
      <c r="BN350" s="66"/>
      <c r="BO350" s="66"/>
      <c r="BP350" s="66"/>
      <c r="BQ350" s="66"/>
      <c r="BR350" s="66"/>
      <c r="BS350" s="66"/>
      <c r="BT350" s="66"/>
      <c r="BU350" s="66"/>
      <c r="BV350" s="66"/>
      <c r="BW350" s="66"/>
    </row>
    <row r="351" spans="1:75" ht="15.75" customHeight="1">
      <c r="A351" s="65"/>
      <c r="B351" s="66"/>
      <c r="C351" s="66"/>
      <c r="D351" s="66"/>
      <c r="E351" s="66"/>
      <c r="F351" s="65"/>
      <c r="G351" s="65"/>
      <c r="H351" s="66"/>
      <c r="I351" s="66"/>
      <c r="J351" s="66"/>
      <c r="K351" s="66"/>
      <c r="L351" s="66"/>
      <c r="M351" s="66"/>
      <c r="N351" s="66"/>
      <c r="O351" s="66"/>
      <c r="P351" s="66"/>
      <c r="Q351" s="23"/>
      <c r="AB351" s="23"/>
      <c r="AC351" s="23"/>
      <c r="AD351" s="23"/>
      <c r="AE351" s="7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71"/>
      <c r="AV351" s="10"/>
      <c r="AW351" s="23"/>
      <c r="BB351" s="66"/>
      <c r="BC351" s="66"/>
      <c r="BD351" s="66"/>
      <c r="BE351" s="66"/>
      <c r="BF351" s="66"/>
      <c r="BG351" s="66"/>
      <c r="BH351" s="66"/>
      <c r="BI351" s="66"/>
      <c r="BJ351" s="66"/>
      <c r="BK351" s="66"/>
      <c r="BL351" s="66"/>
      <c r="BM351" s="66"/>
      <c r="BN351" s="66"/>
      <c r="BO351" s="66"/>
      <c r="BP351" s="66"/>
      <c r="BQ351" s="66"/>
      <c r="BR351" s="66"/>
      <c r="BS351" s="66"/>
      <c r="BT351" s="66"/>
      <c r="BU351" s="66"/>
      <c r="BV351" s="66"/>
      <c r="BW351" s="66"/>
    </row>
    <row r="352" spans="1:75" ht="15.75" customHeight="1">
      <c r="A352" s="65"/>
      <c r="B352" s="66"/>
      <c r="C352" s="66"/>
      <c r="D352" s="66"/>
      <c r="E352" s="66"/>
      <c r="F352" s="65"/>
      <c r="G352" s="65"/>
      <c r="H352" s="66"/>
      <c r="I352" s="66"/>
      <c r="J352" s="66"/>
      <c r="K352" s="66"/>
      <c r="L352" s="66"/>
      <c r="M352" s="66"/>
      <c r="N352" s="66"/>
      <c r="O352" s="66"/>
      <c r="P352" s="66"/>
      <c r="Q352" s="23"/>
      <c r="AB352" s="23"/>
      <c r="AC352" s="23"/>
      <c r="AD352" s="23"/>
      <c r="AE352" s="7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71"/>
      <c r="AV352" s="10"/>
      <c r="AW352" s="23"/>
      <c r="BB352" s="66"/>
      <c r="BC352" s="66"/>
      <c r="BD352" s="66"/>
      <c r="BE352" s="66"/>
      <c r="BF352" s="66"/>
      <c r="BG352" s="66"/>
      <c r="BH352" s="66"/>
      <c r="BI352" s="66"/>
      <c r="BJ352" s="66"/>
      <c r="BK352" s="66"/>
      <c r="BL352" s="66"/>
      <c r="BM352" s="66"/>
      <c r="BN352" s="66"/>
      <c r="BO352" s="66"/>
      <c r="BP352" s="66"/>
      <c r="BQ352" s="66"/>
      <c r="BR352" s="66"/>
      <c r="BS352" s="66"/>
      <c r="BT352" s="66"/>
      <c r="BU352" s="66"/>
      <c r="BV352" s="66"/>
      <c r="BW352" s="66"/>
    </row>
    <row r="353" spans="1:75" ht="15.75" customHeight="1">
      <c r="A353" s="65"/>
      <c r="B353" s="66"/>
      <c r="C353" s="66"/>
      <c r="D353" s="66"/>
      <c r="E353" s="66"/>
      <c r="F353" s="65"/>
      <c r="G353" s="65"/>
      <c r="H353" s="66"/>
      <c r="I353" s="66"/>
      <c r="J353" s="66"/>
      <c r="K353" s="66"/>
      <c r="L353" s="66"/>
      <c r="M353" s="66"/>
      <c r="N353" s="66"/>
      <c r="O353" s="66"/>
      <c r="P353" s="66"/>
      <c r="Q353" s="23"/>
      <c r="AB353" s="23"/>
      <c r="AC353" s="23"/>
      <c r="AD353" s="23"/>
      <c r="AE353" s="7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71"/>
      <c r="AV353" s="10"/>
      <c r="AW353" s="23"/>
      <c r="BB353" s="66"/>
      <c r="BC353" s="66"/>
      <c r="BD353" s="66"/>
      <c r="BE353" s="66"/>
      <c r="BF353" s="66"/>
      <c r="BG353" s="66"/>
      <c r="BH353" s="66"/>
      <c r="BI353" s="66"/>
      <c r="BJ353" s="66"/>
      <c r="BK353" s="66"/>
      <c r="BL353" s="66"/>
      <c r="BM353" s="66"/>
      <c r="BN353" s="66"/>
      <c r="BO353" s="66"/>
      <c r="BP353" s="66"/>
      <c r="BQ353" s="66"/>
      <c r="BR353" s="66"/>
      <c r="BS353" s="66"/>
      <c r="BT353" s="66"/>
      <c r="BU353" s="66"/>
      <c r="BV353" s="66"/>
      <c r="BW353" s="66"/>
    </row>
    <row r="354" spans="1:75" ht="15.75" customHeight="1">
      <c r="A354" s="65"/>
      <c r="B354" s="66"/>
      <c r="C354" s="66"/>
      <c r="D354" s="66"/>
      <c r="E354" s="66"/>
      <c r="F354" s="65"/>
      <c r="G354" s="65"/>
      <c r="H354" s="66"/>
      <c r="I354" s="66"/>
      <c r="J354" s="66"/>
      <c r="K354" s="66"/>
      <c r="L354" s="66"/>
      <c r="M354" s="66"/>
      <c r="N354" s="66"/>
      <c r="O354" s="66"/>
      <c r="P354" s="66"/>
      <c r="Q354" s="23"/>
      <c r="AB354" s="23"/>
      <c r="AC354" s="23"/>
      <c r="AD354" s="23"/>
      <c r="AE354" s="7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71"/>
      <c r="AV354" s="10"/>
      <c r="AW354" s="23"/>
      <c r="BB354" s="66"/>
      <c r="BC354" s="66"/>
      <c r="BD354" s="66"/>
      <c r="BE354" s="66"/>
      <c r="BF354" s="66"/>
      <c r="BG354" s="66"/>
      <c r="BH354" s="66"/>
      <c r="BI354" s="66"/>
      <c r="BJ354" s="66"/>
      <c r="BK354" s="66"/>
      <c r="BL354" s="66"/>
      <c r="BM354" s="66"/>
      <c r="BN354" s="66"/>
      <c r="BO354" s="66"/>
      <c r="BP354" s="66"/>
      <c r="BQ354" s="66"/>
      <c r="BR354" s="66"/>
      <c r="BS354" s="66"/>
      <c r="BT354" s="66"/>
      <c r="BU354" s="66"/>
      <c r="BV354" s="66"/>
      <c r="BW354" s="66"/>
    </row>
    <row r="355" spans="1:75" ht="15.75" customHeight="1">
      <c r="A355" s="65"/>
      <c r="B355" s="66"/>
      <c r="C355" s="66"/>
      <c r="D355" s="66"/>
      <c r="E355" s="66"/>
      <c r="F355" s="65"/>
      <c r="G355" s="65"/>
      <c r="H355" s="66"/>
      <c r="I355" s="66"/>
      <c r="J355" s="66"/>
      <c r="K355" s="66"/>
      <c r="L355" s="66"/>
      <c r="M355" s="66"/>
      <c r="N355" s="66"/>
      <c r="O355" s="66"/>
      <c r="P355" s="66"/>
      <c r="Q355" s="23"/>
      <c r="AB355" s="23"/>
      <c r="AC355" s="23"/>
      <c r="AD355" s="23"/>
      <c r="AE355" s="7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71"/>
      <c r="AV355" s="10"/>
      <c r="AW355" s="23"/>
      <c r="BB355" s="66"/>
      <c r="BC355" s="66"/>
      <c r="BD355" s="66"/>
      <c r="BE355" s="66"/>
      <c r="BF355" s="66"/>
      <c r="BG355" s="66"/>
      <c r="BH355" s="66"/>
      <c r="BI355" s="66"/>
      <c r="BJ355" s="66"/>
      <c r="BK355" s="66"/>
      <c r="BL355" s="66"/>
      <c r="BM355" s="66"/>
      <c r="BN355" s="66"/>
      <c r="BO355" s="66"/>
      <c r="BP355" s="66"/>
      <c r="BQ355" s="66"/>
      <c r="BR355" s="66"/>
      <c r="BS355" s="66"/>
      <c r="BT355" s="66"/>
      <c r="BU355" s="66"/>
      <c r="BV355" s="66"/>
      <c r="BW355" s="66"/>
    </row>
    <row r="356" spans="1:75" ht="15.75" customHeight="1">
      <c r="A356" s="65"/>
      <c r="B356" s="66"/>
      <c r="C356" s="66"/>
      <c r="D356" s="66"/>
      <c r="E356" s="66"/>
      <c r="F356" s="65"/>
      <c r="G356" s="65"/>
      <c r="H356" s="66"/>
      <c r="I356" s="66"/>
      <c r="J356" s="66"/>
      <c r="K356" s="66"/>
      <c r="L356" s="66"/>
      <c r="M356" s="66"/>
      <c r="N356" s="66"/>
      <c r="O356" s="66"/>
      <c r="P356" s="66"/>
      <c r="Q356" s="23"/>
      <c r="AB356" s="23"/>
      <c r="AC356" s="23"/>
      <c r="AD356" s="23"/>
      <c r="AE356" s="7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71"/>
      <c r="AV356" s="10"/>
      <c r="AW356" s="23"/>
      <c r="BB356" s="66"/>
      <c r="BC356" s="66"/>
      <c r="BD356" s="66"/>
      <c r="BE356" s="66"/>
      <c r="BF356" s="66"/>
      <c r="BG356" s="66"/>
      <c r="BH356" s="66"/>
      <c r="BI356" s="66"/>
      <c r="BJ356" s="66"/>
      <c r="BK356" s="66"/>
      <c r="BL356" s="66"/>
      <c r="BM356" s="66"/>
      <c r="BN356" s="66"/>
      <c r="BO356" s="66"/>
      <c r="BP356" s="66"/>
      <c r="BQ356" s="66"/>
      <c r="BR356" s="66"/>
      <c r="BS356" s="66"/>
      <c r="BT356" s="66"/>
      <c r="BU356" s="66"/>
      <c r="BV356" s="66"/>
      <c r="BW356" s="66"/>
    </row>
    <row r="357" spans="1:75" ht="15.75" customHeight="1">
      <c r="A357" s="65"/>
      <c r="B357" s="66"/>
      <c r="C357" s="66"/>
      <c r="D357" s="66"/>
      <c r="E357" s="66"/>
      <c r="F357" s="65"/>
      <c r="G357" s="65"/>
      <c r="H357" s="66"/>
      <c r="I357" s="66"/>
      <c r="J357" s="66"/>
      <c r="K357" s="66"/>
      <c r="L357" s="66"/>
      <c r="M357" s="66"/>
      <c r="N357" s="66"/>
      <c r="O357" s="66"/>
      <c r="P357" s="66"/>
      <c r="Q357" s="23"/>
      <c r="AB357" s="23"/>
      <c r="AC357" s="23"/>
      <c r="AD357" s="23"/>
      <c r="AE357" s="7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71"/>
      <c r="AV357" s="10"/>
      <c r="AW357" s="23"/>
      <c r="BB357" s="66"/>
      <c r="BC357" s="66"/>
      <c r="BD357" s="66"/>
      <c r="BE357" s="66"/>
      <c r="BF357" s="66"/>
      <c r="BG357" s="66"/>
      <c r="BH357" s="66"/>
      <c r="BI357" s="66"/>
      <c r="BJ357" s="66"/>
      <c r="BK357" s="66"/>
      <c r="BL357" s="66"/>
      <c r="BM357" s="66"/>
      <c r="BN357" s="66"/>
      <c r="BO357" s="66"/>
      <c r="BP357" s="66"/>
      <c r="BQ357" s="66"/>
      <c r="BR357" s="66"/>
      <c r="BS357" s="66"/>
      <c r="BT357" s="66"/>
      <c r="BU357" s="66"/>
      <c r="BV357" s="66"/>
      <c r="BW357" s="66"/>
    </row>
    <row r="358" spans="1:75" ht="15.75" customHeight="1">
      <c r="A358" s="65"/>
      <c r="B358" s="66"/>
      <c r="C358" s="66"/>
      <c r="D358" s="66"/>
      <c r="E358" s="66"/>
      <c r="F358" s="65"/>
      <c r="G358" s="65"/>
      <c r="H358" s="66"/>
      <c r="I358" s="66"/>
      <c r="J358" s="66"/>
      <c r="K358" s="66"/>
      <c r="L358" s="66"/>
      <c r="M358" s="66"/>
      <c r="N358" s="66"/>
      <c r="O358" s="66"/>
      <c r="P358" s="66"/>
      <c r="Q358" s="23"/>
      <c r="AB358" s="23"/>
      <c r="AC358" s="23"/>
      <c r="AD358" s="23"/>
      <c r="AE358" s="7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71"/>
      <c r="AV358" s="10"/>
      <c r="AW358" s="23"/>
      <c r="BB358" s="66"/>
      <c r="BC358" s="66"/>
      <c r="BD358" s="66"/>
      <c r="BE358" s="66"/>
      <c r="BF358" s="66"/>
      <c r="BG358" s="66"/>
      <c r="BH358" s="66"/>
      <c r="BI358" s="66"/>
      <c r="BJ358" s="66"/>
      <c r="BK358" s="66"/>
      <c r="BL358" s="66"/>
      <c r="BM358" s="66"/>
      <c r="BN358" s="66"/>
      <c r="BO358" s="66"/>
      <c r="BP358" s="66"/>
      <c r="BQ358" s="66"/>
      <c r="BR358" s="66"/>
      <c r="BS358" s="66"/>
      <c r="BT358" s="66"/>
      <c r="BU358" s="66"/>
      <c r="BV358" s="66"/>
      <c r="BW358" s="66"/>
    </row>
    <row r="359" spans="1:75" ht="15.75" customHeight="1">
      <c r="A359" s="65"/>
      <c r="B359" s="66"/>
      <c r="C359" s="66"/>
      <c r="D359" s="66"/>
      <c r="E359" s="66"/>
      <c r="F359" s="65"/>
      <c r="G359" s="65"/>
      <c r="H359" s="66"/>
      <c r="I359" s="66"/>
      <c r="J359" s="66"/>
      <c r="K359" s="66"/>
      <c r="L359" s="66"/>
      <c r="M359" s="66"/>
      <c r="N359" s="66"/>
      <c r="O359" s="66"/>
      <c r="P359" s="66"/>
      <c r="Q359" s="23"/>
      <c r="AB359" s="23"/>
      <c r="AC359" s="23"/>
      <c r="AD359" s="23"/>
      <c r="AE359" s="7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71"/>
      <c r="AV359" s="10"/>
      <c r="AW359" s="23"/>
      <c r="BB359" s="66"/>
      <c r="BC359" s="66"/>
      <c r="BD359" s="66"/>
      <c r="BE359" s="66"/>
      <c r="BF359" s="66"/>
      <c r="BG359" s="66"/>
      <c r="BH359" s="66"/>
      <c r="BI359" s="66"/>
      <c r="BJ359" s="66"/>
      <c r="BK359" s="66"/>
      <c r="BL359" s="66"/>
      <c r="BM359" s="66"/>
      <c r="BN359" s="66"/>
      <c r="BO359" s="66"/>
      <c r="BP359" s="66"/>
      <c r="BQ359" s="66"/>
      <c r="BR359" s="66"/>
      <c r="BS359" s="66"/>
      <c r="BT359" s="66"/>
      <c r="BU359" s="66"/>
      <c r="BV359" s="66"/>
      <c r="BW359" s="66"/>
    </row>
    <row r="360" spans="1:75" ht="15.75" customHeight="1">
      <c r="A360" s="65"/>
      <c r="B360" s="66"/>
      <c r="C360" s="66"/>
      <c r="D360" s="66"/>
      <c r="E360" s="66"/>
      <c r="F360" s="65"/>
      <c r="G360" s="65"/>
      <c r="H360" s="66"/>
      <c r="I360" s="66"/>
      <c r="J360" s="66"/>
      <c r="K360" s="66"/>
      <c r="L360" s="66"/>
      <c r="M360" s="66"/>
      <c r="N360" s="66"/>
      <c r="O360" s="66"/>
      <c r="P360" s="66"/>
      <c r="Q360" s="23"/>
      <c r="AB360" s="23"/>
      <c r="AC360" s="23"/>
      <c r="AD360" s="23"/>
      <c r="AE360" s="7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71"/>
      <c r="AV360" s="10"/>
      <c r="AW360" s="23"/>
      <c r="BB360" s="66"/>
      <c r="BC360" s="66"/>
      <c r="BD360" s="66"/>
      <c r="BE360" s="66"/>
      <c r="BF360" s="66"/>
      <c r="BG360" s="66"/>
      <c r="BH360" s="66"/>
      <c r="BI360" s="66"/>
      <c r="BJ360" s="66"/>
      <c r="BK360" s="66"/>
      <c r="BL360" s="66"/>
      <c r="BM360" s="66"/>
      <c r="BN360" s="66"/>
      <c r="BO360" s="66"/>
      <c r="BP360" s="66"/>
      <c r="BQ360" s="66"/>
      <c r="BR360" s="66"/>
      <c r="BS360" s="66"/>
      <c r="BT360" s="66"/>
      <c r="BU360" s="66"/>
      <c r="BV360" s="66"/>
      <c r="BW360" s="66"/>
    </row>
    <row r="361" spans="1:75" ht="15.75" customHeight="1">
      <c r="A361" s="65"/>
      <c r="B361" s="66"/>
      <c r="C361" s="66"/>
      <c r="D361" s="66"/>
      <c r="E361" s="66"/>
      <c r="F361" s="65"/>
      <c r="G361" s="65"/>
      <c r="H361" s="66"/>
      <c r="I361" s="66"/>
      <c r="J361" s="66"/>
      <c r="K361" s="66"/>
      <c r="L361" s="66"/>
      <c r="M361" s="66"/>
      <c r="N361" s="66"/>
      <c r="O361" s="66"/>
      <c r="P361" s="66"/>
      <c r="Q361" s="23"/>
      <c r="AB361" s="23"/>
      <c r="AC361" s="23"/>
      <c r="AD361" s="23"/>
      <c r="AE361" s="7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71"/>
      <c r="AV361" s="10"/>
      <c r="AW361" s="23"/>
      <c r="BB361" s="66"/>
      <c r="BC361" s="66"/>
      <c r="BD361" s="66"/>
      <c r="BE361" s="66"/>
      <c r="BF361" s="66"/>
      <c r="BG361" s="66"/>
      <c r="BH361" s="66"/>
      <c r="BI361" s="66"/>
      <c r="BJ361" s="66"/>
      <c r="BK361" s="66"/>
      <c r="BL361" s="66"/>
      <c r="BM361" s="66"/>
      <c r="BN361" s="66"/>
      <c r="BO361" s="66"/>
      <c r="BP361" s="66"/>
      <c r="BQ361" s="66"/>
      <c r="BR361" s="66"/>
      <c r="BS361" s="66"/>
      <c r="BT361" s="66"/>
      <c r="BU361" s="66"/>
      <c r="BV361" s="66"/>
      <c r="BW361" s="66"/>
    </row>
    <row r="362" spans="1:75" ht="15.75" customHeight="1">
      <c r="A362" s="65"/>
      <c r="B362" s="66"/>
      <c r="C362" s="66"/>
      <c r="D362" s="66"/>
      <c r="E362" s="66"/>
      <c r="F362" s="65"/>
      <c r="G362" s="65"/>
      <c r="H362" s="66"/>
      <c r="I362" s="66"/>
      <c r="J362" s="66"/>
      <c r="K362" s="66"/>
      <c r="L362" s="66"/>
      <c r="M362" s="66"/>
      <c r="N362" s="66"/>
      <c r="O362" s="66"/>
      <c r="P362" s="66"/>
      <c r="Q362" s="23"/>
      <c r="AB362" s="23"/>
      <c r="AC362" s="23"/>
      <c r="AD362" s="23"/>
      <c r="AE362" s="7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71"/>
      <c r="AV362" s="10"/>
      <c r="AW362" s="23"/>
      <c r="BB362" s="66"/>
      <c r="BC362" s="66"/>
      <c r="BD362" s="66"/>
      <c r="BE362" s="66"/>
      <c r="BF362" s="66"/>
      <c r="BG362" s="66"/>
      <c r="BH362" s="66"/>
      <c r="BI362" s="66"/>
      <c r="BJ362" s="66"/>
      <c r="BK362" s="66"/>
      <c r="BL362" s="66"/>
      <c r="BM362" s="66"/>
      <c r="BN362" s="66"/>
      <c r="BO362" s="66"/>
      <c r="BP362" s="66"/>
      <c r="BQ362" s="66"/>
      <c r="BR362" s="66"/>
      <c r="BS362" s="66"/>
      <c r="BT362" s="66"/>
      <c r="BU362" s="66"/>
      <c r="BV362" s="66"/>
      <c r="BW362" s="66"/>
    </row>
    <row r="363" spans="1:75" ht="15.75" customHeight="1">
      <c r="A363" s="65"/>
      <c r="B363" s="66"/>
      <c r="C363" s="66"/>
      <c r="D363" s="66"/>
      <c r="E363" s="66"/>
      <c r="F363" s="65"/>
      <c r="G363" s="65"/>
      <c r="H363" s="66"/>
      <c r="I363" s="66"/>
      <c r="J363" s="66"/>
      <c r="K363" s="66"/>
      <c r="L363" s="66"/>
      <c r="M363" s="66"/>
      <c r="N363" s="66"/>
      <c r="O363" s="66"/>
      <c r="P363" s="66"/>
      <c r="Q363" s="23"/>
      <c r="AB363" s="23"/>
      <c r="AC363" s="23"/>
      <c r="AD363" s="23"/>
      <c r="AE363" s="7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71"/>
      <c r="AV363" s="10"/>
      <c r="AW363" s="23"/>
      <c r="BB363" s="66"/>
      <c r="BC363" s="66"/>
      <c r="BD363" s="66"/>
      <c r="BE363" s="66"/>
      <c r="BF363" s="66"/>
      <c r="BG363" s="66"/>
      <c r="BH363" s="66"/>
      <c r="BI363" s="66"/>
      <c r="BJ363" s="66"/>
      <c r="BK363" s="66"/>
      <c r="BL363" s="66"/>
      <c r="BM363" s="66"/>
      <c r="BN363" s="66"/>
      <c r="BO363" s="66"/>
      <c r="BP363" s="66"/>
      <c r="BQ363" s="66"/>
      <c r="BR363" s="66"/>
      <c r="BS363" s="66"/>
      <c r="BT363" s="66"/>
      <c r="BU363" s="66"/>
      <c r="BV363" s="66"/>
      <c r="BW363" s="66"/>
    </row>
    <row r="364" spans="1:75" ht="15.75" customHeight="1">
      <c r="A364" s="65"/>
      <c r="B364" s="66"/>
      <c r="C364" s="66"/>
      <c r="D364" s="66"/>
      <c r="E364" s="66"/>
      <c r="F364" s="65"/>
      <c r="G364" s="65"/>
      <c r="H364" s="66"/>
      <c r="I364" s="66"/>
      <c r="J364" s="66"/>
      <c r="K364" s="66"/>
      <c r="L364" s="66"/>
      <c r="M364" s="66"/>
      <c r="N364" s="66"/>
      <c r="O364" s="66"/>
      <c r="P364" s="66"/>
      <c r="Q364" s="23"/>
      <c r="AB364" s="23"/>
      <c r="AC364" s="23"/>
      <c r="AD364" s="23"/>
      <c r="AE364" s="7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71"/>
      <c r="AV364" s="10"/>
      <c r="AW364" s="23"/>
      <c r="BB364" s="66"/>
      <c r="BC364" s="66"/>
      <c r="BD364" s="66"/>
      <c r="BE364" s="66"/>
      <c r="BF364" s="66"/>
      <c r="BG364" s="66"/>
      <c r="BH364" s="66"/>
      <c r="BI364" s="66"/>
      <c r="BJ364" s="66"/>
      <c r="BK364" s="66"/>
      <c r="BL364" s="66"/>
      <c r="BM364" s="66"/>
      <c r="BN364" s="66"/>
      <c r="BO364" s="66"/>
      <c r="BP364" s="66"/>
      <c r="BQ364" s="66"/>
      <c r="BR364" s="66"/>
      <c r="BS364" s="66"/>
      <c r="BT364" s="66"/>
      <c r="BU364" s="66"/>
      <c r="BV364" s="66"/>
      <c r="BW364" s="66"/>
    </row>
    <row r="365" spans="1:75" ht="15.75" customHeight="1">
      <c r="A365" s="65"/>
      <c r="B365" s="66"/>
      <c r="C365" s="66"/>
      <c r="D365" s="66"/>
      <c r="E365" s="66"/>
      <c r="F365" s="65"/>
      <c r="G365" s="65"/>
      <c r="H365" s="66"/>
      <c r="I365" s="66"/>
      <c r="J365" s="66"/>
      <c r="K365" s="66"/>
      <c r="L365" s="66"/>
      <c r="M365" s="66"/>
      <c r="N365" s="66"/>
      <c r="O365" s="66"/>
      <c r="P365" s="66"/>
      <c r="Q365" s="23"/>
      <c r="AB365" s="23"/>
      <c r="AC365" s="23"/>
      <c r="AD365" s="23"/>
      <c r="AE365" s="7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71"/>
      <c r="AV365" s="10"/>
      <c r="AW365" s="23"/>
      <c r="BB365" s="66"/>
      <c r="BC365" s="66"/>
      <c r="BD365" s="66"/>
      <c r="BE365" s="66"/>
      <c r="BF365" s="66"/>
      <c r="BG365" s="66"/>
      <c r="BH365" s="66"/>
      <c r="BI365" s="66"/>
      <c r="BJ365" s="66"/>
      <c r="BK365" s="66"/>
      <c r="BL365" s="66"/>
      <c r="BM365" s="66"/>
      <c r="BN365" s="66"/>
      <c r="BO365" s="66"/>
      <c r="BP365" s="66"/>
      <c r="BQ365" s="66"/>
      <c r="BR365" s="66"/>
      <c r="BS365" s="66"/>
      <c r="BT365" s="66"/>
      <c r="BU365" s="66"/>
      <c r="BV365" s="66"/>
      <c r="BW365" s="66"/>
    </row>
    <row r="366" spans="1:75" ht="15.75" customHeight="1">
      <c r="A366" s="65"/>
      <c r="B366" s="66"/>
      <c r="C366" s="66"/>
      <c r="D366" s="66"/>
      <c r="E366" s="66"/>
      <c r="F366" s="65"/>
      <c r="G366" s="65"/>
      <c r="H366" s="66"/>
      <c r="I366" s="66"/>
      <c r="J366" s="66"/>
      <c r="K366" s="66"/>
      <c r="L366" s="66"/>
      <c r="M366" s="66"/>
      <c r="N366" s="66"/>
      <c r="O366" s="66"/>
      <c r="P366" s="66"/>
      <c r="Q366" s="23"/>
      <c r="AB366" s="23"/>
      <c r="AC366" s="23"/>
      <c r="AD366" s="23"/>
      <c r="AE366" s="7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71"/>
      <c r="AV366" s="10"/>
      <c r="AW366" s="23"/>
      <c r="BB366" s="66"/>
      <c r="BC366" s="66"/>
      <c r="BD366" s="66"/>
      <c r="BE366" s="66"/>
      <c r="BF366" s="66"/>
      <c r="BG366" s="66"/>
      <c r="BH366" s="66"/>
      <c r="BI366" s="66"/>
      <c r="BJ366" s="66"/>
      <c r="BK366" s="66"/>
      <c r="BL366" s="66"/>
      <c r="BM366" s="66"/>
      <c r="BN366" s="66"/>
      <c r="BO366" s="66"/>
      <c r="BP366" s="66"/>
      <c r="BQ366" s="66"/>
      <c r="BR366" s="66"/>
      <c r="BS366" s="66"/>
      <c r="BT366" s="66"/>
      <c r="BU366" s="66"/>
      <c r="BV366" s="66"/>
      <c r="BW366" s="66"/>
    </row>
    <row r="367" spans="1:75" ht="15.75" customHeight="1">
      <c r="A367" s="65"/>
      <c r="B367" s="66"/>
      <c r="C367" s="66"/>
      <c r="D367" s="66"/>
      <c r="E367" s="66"/>
      <c r="F367" s="65"/>
      <c r="G367" s="65"/>
      <c r="H367" s="66"/>
      <c r="I367" s="66"/>
      <c r="J367" s="66"/>
      <c r="K367" s="66"/>
      <c r="L367" s="66"/>
      <c r="M367" s="66"/>
      <c r="N367" s="66"/>
      <c r="O367" s="66"/>
      <c r="P367" s="66"/>
      <c r="Q367" s="23"/>
      <c r="AB367" s="23"/>
      <c r="AC367" s="23"/>
      <c r="AD367" s="23"/>
      <c r="AE367" s="7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71"/>
      <c r="AV367" s="10"/>
      <c r="AW367" s="23"/>
      <c r="BB367" s="66"/>
      <c r="BC367" s="66"/>
      <c r="BD367" s="66"/>
      <c r="BE367" s="66"/>
      <c r="BF367" s="66"/>
      <c r="BG367" s="66"/>
      <c r="BH367" s="66"/>
      <c r="BI367" s="66"/>
      <c r="BJ367" s="66"/>
      <c r="BK367" s="66"/>
      <c r="BL367" s="66"/>
      <c r="BM367" s="66"/>
      <c r="BN367" s="66"/>
      <c r="BO367" s="66"/>
      <c r="BP367" s="66"/>
      <c r="BQ367" s="66"/>
      <c r="BR367" s="66"/>
      <c r="BS367" s="66"/>
      <c r="BT367" s="66"/>
      <c r="BU367" s="66"/>
      <c r="BV367" s="66"/>
      <c r="BW367" s="66"/>
    </row>
    <row r="368" spans="1:75" ht="15.75" customHeight="1">
      <c r="A368" s="65"/>
      <c r="B368" s="66"/>
      <c r="C368" s="66"/>
      <c r="D368" s="66"/>
      <c r="E368" s="66"/>
      <c r="F368" s="65"/>
      <c r="G368" s="65"/>
      <c r="H368" s="66"/>
      <c r="I368" s="66"/>
      <c r="J368" s="66"/>
      <c r="K368" s="66"/>
      <c r="L368" s="66"/>
      <c r="M368" s="66"/>
      <c r="N368" s="66"/>
      <c r="O368" s="66"/>
      <c r="P368" s="66"/>
      <c r="Q368" s="23"/>
      <c r="AB368" s="23"/>
      <c r="AC368" s="23"/>
      <c r="AD368" s="23"/>
      <c r="AE368" s="7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71"/>
      <c r="AV368" s="10"/>
      <c r="AW368" s="23"/>
      <c r="BB368" s="66"/>
      <c r="BC368" s="66"/>
      <c r="BD368" s="66"/>
      <c r="BE368" s="66"/>
      <c r="BF368" s="66"/>
      <c r="BG368" s="66"/>
      <c r="BH368" s="66"/>
      <c r="BI368" s="66"/>
      <c r="BJ368" s="66"/>
      <c r="BK368" s="66"/>
      <c r="BL368" s="66"/>
      <c r="BM368" s="66"/>
      <c r="BN368" s="66"/>
      <c r="BO368" s="66"/>
      <c r="BP368" s="66"/>
      <c r="BQ368" s="66"/>
      <c r="BR368" s="66"/>
      <c r="BS368" s="66"/>
      <c r="BT368" s="66"/>
      <c r="BU368" s="66"/>
      <c r="BV368" s="66"/>
      <c r="BW368" s="66"/>
    </row>
    <row r="369" spans="1:75" ht="15.75" customHeight="1">
      <c r="A369" s="65"/>
      <c r="B369" s="66"/>
      <c r="C369" s="66"/>
      <c r="D369" s="66"/>
      <c r="E369" s="66"/>
      <c r="F369" s="65"/>
      <c r="G369" s="65"/>
      <c r="H369" s="66"/>
      <c r="I369" s="66"/>
      <c r="J369" s="66"/>
      <c r="K369" s="66"/>
      <c r="L369" s="66"/>
      <c r="M369" s="66"/>
      <c r="N369" s="66"/>
      <c r="O369" s="66"/>
      <c r="P369" s="66"/>
      <c r="Q369" s="23"/>
      <c r="AB369" s="23"/>
      <c r="AC369" s="23"/>
      <c r="AD369" s="23"/>
      <c r="AE369" s="7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71"/>
      <c r="AV369" s="10"/>
      <c r="AW369" s="23"/>
      <c r="BB369" s="66"/>
      <c r="BC369" s="66"/>
      <c r="BD369" s="66"/>
      <c r="BE369" s="66"/>
      <c r="BF369" s="66"/>
      <c r="BG369" s="66"/>
      <c r="BH369" s="66"/>
      <c r="BI369" s="66"/>
      <c r="BJ369" s="66"/>
      <c r="BK369" s="66"/>
      <c r="BL369" s="66"/>
      <c r="BM369" s="66"/>
      <c r="BN369" s="66"/>
      <c r="BO369" s="66"/>
      <c r="BP369" s="66"/>
      <c r="BQ369" s="66"/>
      <c r="BR369" s="66"/>
      <c r="BS369" s="66"/>
      <c r="BT369" s="66"/>
      <c r="BU369" s="66"/>
      <c r="BV369" s="66"/>
      <c r="BW369" s="66"/>
    </row>
    <row r="370" spans="1:75" ht="15.75" customHeight="1">
      <c r="A370" s="65"/>
      <c r="B370" s="66"/>
      <c r="C370" s="66"/>
      <c r="D370" s="66"/>
      <c r="E370" s="66"/>
      <c r="F370" s="65"/>
      <c r="G370" s="65"/>
      <c r="H370" s="66"/>
      <c r="I370" s="66"/>
      <c r="J370" s="66"/>
      <c r="K370" s="66"/>
      <c r="L370" s="66"/>
      <c r="M370" s="66"/>
      <c r="N370" s="66"/>
      <c r="O370" s="66"/>
      <c r="P370" s="66"/>
      <c r="Q370" s="23"/>
      <c r="AB370" s="23"/>
      <c r="AC370" s="23"/>
      <c r="AD370" s="23"/>
      <c r="AE370" s="7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71"/>
      <c r="AV370" s="10"/>
      <c r="AW370" s="23"/>
      <c r="BB370" s="66"/>
      <c r="BC370" s="66"/>
      <c r="BD370" s="66"/>
      <c r="BE370" s="66"/>
      <c r="BF370" s="66"/>
      <c r="BG370" s="66"/>
      <c r="BH370" s="66"/>
      <c r="BI370" s="66"/>
      <c r="BJ370" s="66"/>
      <c r="BK370" s="66"/>
      <c r="BL370" s="66"/>
      <c r="BM370" s="66"/>
      <c r="BN370" s="66"/>
      <c r="BO370" s="66"/>
      <c r="BP370" s="66"/>
      <c r="BQ370" s="66"/>
      <c r="BR370" s="66"/>
      <c r="BS370" s="66"/>
      <c r="BT370" s="66"/>
      <c r="BU370" s="66"/>
      <c r="BV370" s="66"/>
      <c r="BW370" s="66"/>
    </row>
    <row r="371" spans="1:75" ht="15.75" customHeight="1">
      <c r="A371" s="65"/>
      <c r="B371" s="66"/>
      <c r="C371" s="66"/>
      <c r="D371" s="66"/>
      <c r="E371" s="66"/>
      <c r="F371" s="65"/>
      <c r="G371" s="65"/>
      <c r="H371" s="66"/>
      <c r="I371" s="66"/>
      <c r="J371" s="66"/>
      <c r="K371" s="66"/>
      <c r="L371" s="66"/>
      <c r="M371" s="66"/>
      <c r="N371" s="66"/>
      <c r="O371" s="66"/>
      <c r="P371" s="66"/>
      <c r="Q371" s="23"/>
      <c r="AB371" s="23"/>
      <c r="AC371" s="23"/>
      <c r="AD371" s="23"/>
      <c r="AE371" s="7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71"/>
      <c r="AV371" s="10"/>
      <c r="AW371" s="23"/>
      <c r="BB371" s="66"/>
      <c r="BC371" s="66"/>
      <c r="BD371" s="66"/>
      <c r="BE371" s="66"/>
      <c r="BF371" s="66"/>
      <c r="BG371" s="66"/>
      <c r="BH371" s="66"/>
      <c r="BI371" s="66"/>
      <c r="BJ371" s="66"/>
      <c r="BK371" s="66"/>
      <c r="BL371" s="66"/>
      <c r="BM371" s="66"/>
      <c r="BN371" s="66"/>
      <c r="BO371" s="66"/>
      <c r="BP371" s="66"/>
      <c r="BQ371" s="66"/>
      <c r="BR371" s="66"/>
      <c r="BS371" s="66"/>
      <c r="BT371" s="66"/>
      <c r="BU371" s="66"/>
      <c r="BV371" s="66"/>
      <c r="BW371" s="66"/>
    </row>
    <row r="372" spans="1:75" ht="15.75" customHeight="1">
      <c r="A372" s="65"/>
      <c r="B372" s="66"/>
      <c r="C372" s="66"/>
      <c r="D372" s="66"/>
      <c r="E372" s="66"/>
      <c r="F372" s="65"/>
      <c r="G372" s="65"/>
      <c r="H372" s="66"/>
      <c r="I372" s="66"/>
      <c r="J372" s="66"/>
      <c r="K372" s="66"/>
      <c r="L372" s="66"/>
      <c r="M372" s="66"/>
      <c r="N372" s="66"/>
      <c r="O372" s="66"/>
      <c r="P372" s="66"/>
      <c r="Q372" s="23"/>
      <c r="AB372" s="23"/>
      <c r="AC372" s="23"/>
      <c r="AD372" s="23"/>
      <c r="AE372" s="7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71"/>
      <c r="AV372" s="10"/>
      <c r="AW372" s="23"/>
      <c r="BB372" s="66"/>
      <c r="BC372" s="66"/>
      <c r="BD372" s="66"/>
      <c r="BE372" s="66"/>
      <c r="BF372" s="66"/>
      <c r="BG372" s="66"/>
      <c r="BH372" s="66"/>
      <c r="BI372" s="66"/>
      <c r="BJ372" s="66"/>
      <c r="BK372" s="66"/>
      <c r="BL372" s="66"/>
      <c r="BM372" s="66"/>
      <c r="BN372" s="66"/>
      <c r="BO372" s="66"/>
      <c r="BP372" s="66"/>
      <c r="BQ372" s="66"/>
      <c r="BR372" s="66"/>
      <c r="BS372" s="66"/>
      <c r="BT372" s="66"/>
      <c r="BU372" s="66"/>
      <c r="BV372" s="66"/>
      <c r="BW372" s="66"/>
    </row>
    <row r="373" spans="1:75" ht="15.75" customHeight="1">
      <c r="A373" s="65"/>
      <c r="B373" s="66"/>
      <c r="C373" s="66"/>
      <c r="D373" s="66"/>
      <c r="E373" s="66"/>
      <c r="F373" s="65"/>
      <c r="G373" s="65"/>
      <c r="H373" s="66"/>
      <c r="I373" s="66"/>
      <c r="J373" s="66"/>
      <c r="K373" s="66"/>
      <c r="L373" s="66"/>
      <c r="M373" s="66"/>
      <c r="N373" s="66"/>
      <c r="O373" s="66"/>
      <c r="P373" s="66"/>
      <c r="Q373" s="23"/>
      <c r="AB373" s="23"/>
      <c r="AC373" s="23"/>
      <c r="AD373" s="23"/>
      <c r="AE373" s="7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71"/>
      <c r="AV373" s="10"/>
      <c r="AW373" s="23"/>
      <c r="BB373" s="66"/>
      <c r="BC373" s="66"/>
      <c r="BD373" s="66"/>
      <c r="BE373" s="66"/>
      <c r="BF373" s="66"/>
      <c r="BG373" s="66"/>
      <c r="BH373" s="66"/>
      <c r="BI373" s="66"/>
      <c r="BJ373" s="66"/>
      <c r="BK373" s="66"/>
      <c r="BL373" s="66"/>
      <c r="BM373" s="66"/>
      <c r="BN373" s="66"/>
      <c r="BO373" s="66"/>
      <c r="BP373" s="66"/>
      <c r="BQ373" s="66"/>
      <c r="BR373" s="66"/>
      <c r="BS373" s="66"/>
      <c r="BT373" s="66"/>
      <c r="BU373" s="66"/>
      <c r="BV373" s="66"/>
      <c r="BW373" s="66"/>
    </row>
    <row r="374" spans="1:75" ht="15.75" customHeight="1">
      <c r="A374" s="65"/>
      <c r="B374" s="66"/>
      <c r="C374" s="66"/>
      <c r="D374" s="66"/>
      <c r="E374" s="66"/>
      <c r="F374" s="65"/>
      <c r="G374" s="65"/>
      <c r="H374" s="66"/>
      <c r="I374" s="66"/>
      <c r="J374" s="66"/>
      <c r="K374" s="66"/>
      <c r="L374" s="66"/>
      <c r="M374" s="66"/>
      <c r="N374" s="66"/>
      <c r="O374" s="66"/>
      <c r="P374" s="66"/>
      <c r="Q374" s="23"/>
      <c r="AB374" s="23"/>
      <c r="AC374" s="23"/>
      <c r="AD374" s="23"/>
      <c r="AE374" s="7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71"/>
      <c r="AV374" s="10"/>
      <c r="AW374" s="23"/>
      <c r="BB374" s="66"/>
      <c r="BC374" s="66"/>
      <c r="BD374" s="66"/>
      <c r="BE374" s="66"/>
      <c r="BF374" s="66"/>
      <c r="BG374" s="66"/>
      <c r="BH374" s="66"/>
      <c r="BI374" s="66"/>
      <c r="BJ374" s="66"/>
      <c r="BK374" s="66"/>
      <c r="BL374" s="66"/>
      <c r="BM374" s="66"/>
      <c r="BN374" s="66"/>
      <c r="BO374" s="66"/>
      <c r="BP374" s="66"/>
      <c r="BQ374" s="66"/>
      <c r="BR374" s="66"/>
      <c r="BS374" s="66"/>
      <c r="BT374" s="66"/>
      <c r="BU374" s="66"/>
      <c r="BV374" s="66"/>
      <c r="BW374" s="66"/>
    </row>
    <row r="375" spans="1:75" ht="15.75" customHeight="1">
      <c r="A375" s="65"/>
      <c r="B375" s="66"/>
      <c r="C375" s="66"/>
      <c r="D375" s="66"/>
      <c r="E375" s="66"/>
      <c r="F375" s="65"/>
      <c r="G375" s="65"/>
      <c r="H375" s="66"/>
      <c r="I375" s="66"/>
      <c r="J375" s="66"/>
      <c r="K375" s="66"/>
      <c r="L375" s="66"/>
      <c r="M375" s="66"/>
      <c r="N375" s="66"/>
      <c r="O375" s="66"/>
      <c r="P375" s="66"/>
      <c r="Q375" s="23"/>
      <c r="AB375" s="23"/>
      <c r="AC375" s="23"/>
      <c r="AD375" s="23"/>
      <c r="AE375" s="7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71"/>
      <c r="AV375" s="10"/>
      <c r="AW375" s="23"/>
      <c r="BB375" s="66"/>
      <c r="BC375" s="66"/>
      <c r="BD375" s="66"/>
      <c r="BE375" s="66"/>
      <c r="BF375" s="66"/>
      <c r="BG375" s="66"/>
      <c r="BH375" s="66"/>
      <c r="BI375" s="66"/>
      <c r="BJ375" s="66"/>
      <c r="BK375" s="66"/>
      <c r="BL375" s="66"/>
      <c r="BM375" s="66"/>
      <c r="BN375" s="66"/>
      <c r="BO375" s="66"/>
      <c r="BP375" s="66"/>
      <c r="BQ375" s="66"/>
      <c r="BR375" s="66"/>
      <c r="BS375" s="66"/>
      <c r="BT375" s="66"/>
      <c r="BU375" s="66"/>
      <c r="BV375" s="66"/>
      <c r="BW375" s="66"/>
    </row>
    <row r="376" spans="1:75" ht="15.75" customHeight="1">
      <c r="A376" s="65"/>
      <c r="B376" s="66"/>
      <c r="C376" s="66"/>
      <c r="D376" s="66"/>
      <c r="E376" s="66"/>
      <c r="F376" s="65"/>
      <c r="G376" s="65"/>
      <c r="H376" s="66"/>
      <c r="I376" s="66"/>
      <c r="J376" s="66"/>
      <c r="K376" s="66"/>
      <c r="L376" s="66"/>
      <c r="M376" s="66"/>
      <c r="N376" s="66"/>
      <c r="O376" s="66"/>
      <c r="P376" s="66"/>
      <c r="Q376" s="23"/>
      <c r="AB376" s="23"/>
      <c r="AC376" s="23"/>
      <c r="AD376" s="23"/>
      <c r="AE376" s="7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71"/>
      <c r="AV376" s="10"/>
      <c r="AW376" s="23"/>
      <c r="BB376" s="66"/>
      <c r="BC376" s="66"/>
      <c r="BD376" s="66"/>
      <c r="BE376" s="66"/>
      <c r="BF376" s="66"/>
      <c r="BG376" s="66"/>
      <c r="BH376" s="66"/>
      <c r="BI376" s="66"/>
      <c r="BJ376" s="66"/>
      <c r="BK376" s="66"/>
      <c r="BL376" s="66"/>
      <c r="BM376" s="66"/>
      <c r="BN376" s="66"/>
      <c r="BO376" s="66"/>
      <c r="BP376" s="66"/>
      <c r="BQ376" s="66"/>
      <c r="BR376" s="66"/>
      <c r="BS376" s="66"/>
      <c r="BT376" s="66"/>
      <c r="BU376" s="66"/>
      <c r="BV376" s="66"/>
      <c r="BW376" s="66"/>
    </row>
    <row r="377" spans="1:75" ht="15.75" customHeight="1">
      <c r="A377" s="65"/>
      <c r="B377" s="66"/>
      <c r="C377" s="66"/>
      <c r="D377" s="66"/>
      <c r="E377" s="66"/>
      <c r="F377" s="65"/>
      <c r="G377" s="65"/>
      <c r="H377" s="66"/>
      <c r="I377" s="66"/>
      <c r="J377" s="66"/>
      <c r="K377" s="66"/>
      <c r="L377" s="66"/>
      <c r="M377" s="66"/>
      <c r="N377" s="66"/>
      <c r="O377" s="66"/>
      <c r="P377" s="66"/>
      <c r="Q377" s="23"/>
      <c r="AB377" s="23"/>
      <c r="AC377" s="23"/>
      <c r="AD377" s="23"/>
      <c r="AE377" s="7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71"/>
      <c r="AV377" s="10"/>
      <c r="AW377" s="23"/>
      <c r="BB377" s="66"/>
      <c r="BC377" s="66"/>
      <c r="BD377" s="66"/>
      <c r="BE377" s="66"/>
      <c r="BF377" s="66"/>
      <c r="BG377" s="66"/>
      <c r="BH377" s="66"/>
      <c r="BI377" s="66"/>
      <c r="BJ377" s="66"/>
      <c r="BK377" s="66"/>
      <c r="BL377" s="66"/>
      <c r="BM377" s="66"/>
      <c r="BN377" s="66"/>
      <c r="BO377" s="66"/>
      <c r="BP377" s="66"/>
      <c r="BQ377" s="66"/>
      <c r="BR377" s="66"/>
      <c r="BS377" s="66"/>
      <c r="BT377" s="66"/>
      <c r="BU377" s="66"/>
      <c r="BV377" s="66"/>
      <c r="BW377" s="66"/>
    </row>
    <row r="378" spans="1:75" ht="15.75" customHeight="1">
      <c r="A378" s="65"/>
      <c r="B378" s="66"/>
      <c r="C378" s="66"/>
      <c r="D378" s="66"/>
      <c r="E378" s="66"/>
      <c r="F378" s="65"/>
      <c r="G378" s="65"/>
      <c r="H378" s="66"/>
      <c r="I378" s="66"/>
      <c r="J378" s="66"/>
      <c r="K378" s="66"/>
      <c r="L378" s="66"/>
      <c r="M378" s="66"/>
      <c r="N378" s="66"/>
      <c r="O378" s="66"/>
      <c r="P378" s="66"/>
      <c r="Q378" s="23"/>
      <c r="AB378" s="23"/>
      <c r="AC378" s="23"/>
      <c r="AD378" s="23"/>
      <c r="AE378" s="7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71"/>
      <c r="AV378" s="10"/>
      <c r="AW378" s="23"/>
      <c r="BB378" s="66"/>
      <c r="BC378" s="66"/>
      <c r="BD378" s="66"/>
      <c r="BE378" s="66"/>
      <c r="BF378" s="66"/>
      <c r="BG378" s="66"/>
      <c r="BH378" s="66"/>
      <c r="BI378" s="66"/>
      <c r="BJ378" s="66"/>
      <c r="BK378" s="66"/>
      <c r="BL378" s="66"/>
      <c r="BM378" s="66"/>
      <c r="BN378" s="66"/>
      <c r="BO378" s="66"/>
      <c r="BP378" s="66"/>
      <c r="BQ378" s="66"/>
      <c r="BR378" s="66"/>
      <c r="BS378" s="66"/>
      <c r="BT378" s="66"/>
      <c r="BU378" s="66"/>
      <c r="BV378" s="66"/>
      <c r="BW378" s="66"/>
    </row>
    <row r="379" spans="1:75" ht="15.75" customHeight="1">
      <c r="A379" s="65"/>
      <c r="B379" s="66"/>
      <c r="C379" s="66"/>
      <c r="D379" s="66"/>
      <c r="E379" s="66"/>
      <c r="F379" s="65"/>
      <c r="G379" s="65"/>
      <c r="H379" s="66"/>
      <c r="I379" s="66"/>
      <c r="J379" s="66"/>
      <c r="K379" s="66"/>
      <c r="L379" s="66"/>
      <c r="M379" s="66"/>
      <c r="N379" s="66"/>
      <c r="O379" s="66"/>
      <c r="P379" s="66"/>
      <c r="Q379" s="23"/>
      <c r="AB379" s="23"/>
      <c r="AC379" s="23"/>
      <c r="AD379" s="23"/>
      <c r="AE379" s="7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71"/>
      <c r="AV379" s="10"/>
      <c r="AW379" s="23"/>
      <c r="BB379" s="66"/>
      <c r="BC379" s="66"/>
      <c r="BD379" s="66"/>
      <c r="BE379" s="66"/>
      <c r="BF379" s="66"/>
      <c r="BG379" s="66"/>
      <c r="BH379" s="66"/>
      <c r="BI379" s="66"/>
      <c r="BJ379" s="66"/>
      <c r="BK379" s="66"/>
      <c r="BL379" s="66"/>
      <c r="BM379" s="66"/>
      <c r="BN379" s="66"/>
      <c r="BO379" s="66"/>
      <c r="BP379" s="66"/>
      <c r="BQ379" s="66"/>
      <c r="BR379" s="66"/>
      <c r="BS379" s="66"/>
      <c r="BT379" s="66"/>
      <c r="BU379" s="66"/>
      <c r="BV379" s="66"/>
      <c r="BW379" s="66"/>
    </row>
    <row r="380" spans="1:75" ht="15.75" customHeight="1">
      <c r="A380" s="65"/>
      <c r="B380" s="66"/>
      <c r="C380" s="66"/>
      <c r="D380" s="66"/>
      <c r="E380" s="66"/>
      <c r="F380" s="65"/>
      <c r="G380" s="65"/>
      <c r="H380" s="66"/>
      <c r="I380" s="66"/>
      <c r="J380" s="66"/>
      <c r="K380" s="66"/>
      <c r="L380" s="66"/>
      <c r="M380" s="66"/>
      <c r="N380" s="66"/>
      <c r="O380" s="66"/>
      <c r="P380" s="66"/>
      <c r="Q380" s="23"/>
      <c r="AB380" s="23"/>
      <c r="AC380" s="23"/>
      <c r="AD380" s="23"/>
      <c r="AE380" s="7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71"/>
      <c r="AV380" s="10"/>
      <c r="AW380" s="23"/>
      <c r="BB380" s="66"/>
      <c r="BC380" s="66"/>
      <c r="BD380" s="66"/>
      <c r="BE380" s="66"/>
      <c r="BF380" s="66"/>
      <c r="BG380" s="66"/>
      <c r="BH380" s="66"/>
      <c r="BI380" s="66"/>
      <c r="BJ380" s="66"/>
      <c r="BK380" s="66"/>
      <c r="BL380" s="66"/>
      <c r="BM380" s="66"/>
      <c r="BN380" s="66"/>
      <c r="BO380" s="66"/>
      <c r="BP380" s="66"/>
      <c r="BQ380" s="66"/>
      <c r="BR380" s="66"/>
      <c r="BS380" s="66"/>
      <c r="BT380" s="66"/>
      <c r="BU380" s="66"/>
      <c r="BV380" s="66"/>
      <c r="BW380" s="66"/>
    </row>
    <row r="381" spans="1:75" ht="15.75" customHeight="1">
      <c r="A381" s="65"/>
      <c r="B381" s="66"/>
      <c r="C381" s="66"/>
      <c r="D381" s="66"/>
      <c r="E381" s="66"/>
      <c r="F381" s="65"/>
      <c r="G381" s="65"/>
      <c r="H381" s="66"/>
      <c r="I381" s="66"/>
      <c r="J381" s="66"/>
      <c r="K381" s="66"/>
      <c r="L381" s="66"/>
      <c r="M381" s="66"/>
      <c r="N381" s="66"/>
      <c r="O381" s="66"/>
      <c r="P381" s="66"/>
      <c r="Q381" s="23"/>
      <c r="AB381" s="23"/>
      <c r="AC381" s="23"/>
      <c r="AD381" s="23"/>
      <c r="AE381" s="7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71"/>
      <c r="AV381" s="10"/>
      <c r="AW381" s="23"/>
      <c r="BB381" s="66"/>
      <c r="BC381" s="66"/>
      <c r="BD381" s="66"/>
      <c r="BE381" s="66"/>
      <c r="BF381" s="66"/>
      <c r="BG381" s="66"/>
      <c r="BH381" s="66"/>
      <c r="BI381" s="66"/>
      <c r="BJ381" s="66"/>
      <c r="BK381" s="66"/>
      <c r="BL381" s="66"/>
      <c r="BM381" s="66"/>
      <c r="BN381" s="66"/>
      <c r="BO381" s="66"/>
      <c r="BP381" s="66"/>
      <c r="BQ381" s="66"/>
      <c r="BR381" s="66"/>
      <c r="BS381" s="66"/>
      <c r="BT381" s="66"/>
      <c r="BU381" s="66"/>
      <c r="BV381" s="66"/>
      <c r="BW381" s="66"/>
    </row>
    <row r="382" spans="1:75" ht="15.75" customHeight="1">
      <c r="A382" s="65"/>
      <c r="B382" s="66"/>
      <c r="C382" s="66"/>
      <c r="D382" s="66"/>
      <c r="E382" s="66"/>
      <c r="F382" s="65"/>
      <c r="G382" s="65"/>
      <c r="H382" s="66"/>
      <c r="I382" s="66"/>
      <c r="J382" s="66"/>
      <c r="K382" s="66"/>
      <c r="L382" s="66"/>
      <c r="M382" s="66"/>
      <c r="N382" s="66"/>
      <c r="O382" s="66"/>
      <c r="P382" s="66"/>
      <c r="Q382" s="23"/>
      <c r="AB382" s="23"/>
      <c r="AC382" s="23"/>
      <c r="AD382" s="23"/>
      <c r="AE382" s="7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71"/>
      <c r="AV382" s="10"/>
      <c r="AW382" s="23"/>
      <c r="BB382" s="66"/>
      <c r="BC382" s="66"/>
      <c r="BD382" s="66"/>
      <c r="BE382" s="66"/>
      <c r="BF382" s="66"/>
      <c r="BG382" s="66"/>
      <c r="BH382" s="66"/>
      <c r="BI382" s="66"/>
      <c r="BJ382" s="66"/>
      <c r="BK382" s="66"/>
      <c r="BL382" s="66"/>
      <c r="BM382" s="66"/>
      <c r="BN382" s="66"/>
      <c r="BO382" s="66"/>
      <c r="BP382" s="66"/>
      <c r="BQ382" s="66"/>
      <c r="BR382" s="66"/>
      <c r="BS382" s="66"/>
      <c r="BT382" s="66"/>
      <c r="BU382" s="66"/>
      <c r="BV382" s="66"/>
      <c r="BW382" s="66"/>
    </row>
    <row r="383" spans="1:75" ht="15.75" customHeight="1">
      <c r="A383" s="65"/>
      <c r="B383" s="66"/>
      <c r="C383" s="66"/>
      <c r="D383" s="66"/>
      <c r="E383" s="66"/>
      <c r="F383" s="65"/>
      <c r="G383" s="65"/>
      <c r="H383" s="66"/>
      <c r="I383" s="66"/>
      <c r="J383" s="66"/>
      <c r="K383" s="66"/>
      <c r="L383" s="66"/>
      <c r="M383" s="66"/>
      <c r="N383" s="66"/>
      <c r="O383" s="66"/>
      <c r="P383" s="66"/>
      <c r="Q383" s="23"/>
      <c r="AB383" s="23"/>
      <c r="AC383" s="23"/>
      <c r="AD383" s="23"/>
      <c r="AE383" s="7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71"/>
      <c r="AV383" s="10"/>
      <c r="AW383" s="23"/>
      <c r="BB383" s="66"/>
      <c r="BC383" s="66"/>
      <c r="BD383" s="66"/>
      <c r="BE383" s="66"/>
      <c r="BF383" s="66"/>
      <c r="BG383" s="66"/>
      <c r="BH383" s="66"/>
      <c r="BI383" s="66"/>
      <c r="BJ383" s="66"/>
      <c r="BK383" s="66"/>
      <c r="BL383" s="66"/>
      <c r="BM383" s="66"/>
      <c r="BN383" s="66"/>
      <c r="BO383" s="66"/>
      <c r="BP383" s="66"/>
      <c r="BQ383" s="66"/>
      <c r="BR383" s="66"/>
      <c r="BS383" s="66"/>
      <c r="BT383" s="66"/>
      <c r="BU383" s="66"/>
      <c r="BV383" s="66"/>
      <c r="BW383" s="66"/>
    </row>
    <row r="384" spans="1:75" ht="15.75" customHeight="1">
      <c r="A384" s="65"/>
      <c r="B384" s="66"/>
      <c r="C384" s="66"/>
      <c r="D384" s="66"/>
      <c r="E384" s="66"/>
      <c r="F384" s="65"/>
      <c r="G384" s="65"/>
      <c r="H384" s="66"/>
      <c r="I384" s="66"/>
      <c r="J384" s="66"/>
      <c r="K384" s="66"/>
      <c r="L384" s="66"/>
      <c r="M384" s="66"/>
      <c r="N384" s="66"/>
      <c r="O384" s="66"/>
      <c r="P384" s="66"/>
      <c r="Q384" s="23"/>
      <c r="AB384" s="23"/>
      <c r="AC384" s="23"/>
      <c r="AD384" s="23"/>
      <c r="AE384" s="7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71"/>
      <c r="AV384" s="10"/>
      <c r="AW384" s="23"/>
      <c r="BB384" s="66"/>
      <c r="BC384" s="66"/>
      <c r="BD384" s="66"/>
      <c r="BE384" s="66"/>
      <c r="BF384" s="66"/>
      <c r="BG384" s="66"/>
      <c r="BH384" s="66"/>
      <c r="BI384" s="66"/>
      <c r="BJ384" s="66"/>
      <c r="BK384" s="66"/>
      <c r="BL384" s="66"/>
      <c r="BM384" s="66"/>
      <c r="BN384" s="66"/>
      <c r="BO384" s="66"/>
      <c r="BP384" s="66"/>
      <c r="BQ384" s="66"/>
      <c r="BR384" s="66"/>
      <c r="BS384" s="66"/>
      <c r="BT384" s="66"/>
      <c r="BU384" s="66"/>
      <c r="BV384" s="66"/>
      <c r="BW384" s="66"/>
    </row>
    <row r="385" spans="1:75" ht="15.75" customHeight="1">
      <c r="A385" s="65"/>
      <c r="B385" s="66"/>
      <c r="C385" s="66"/>
      <c r="D385" s="66"/>
      <c r="E385" s="66"/>
      <c r="F385" s="65"/>
      <c r="G385" s="65"/>
      <c r="H385" s="66"/>
      <c r="I385" s="66"/>
      <c r="J385" s="66"/>
      <c r="K385" s="66"/>
      <c r="L385" s="66"/>
      <c r="M385" s="66"/>
      <c r="N385" s="66"/>
      <c r="O385" s="66"/>
      <c r="P385" s="66"/>
      <c r="Q385" s="23"/>
      <c r="AB385" s="23"/>
      <c r="AC385" s="23"/>
      <c r="AD385" s="23"/>
      <c r="AE385" s="7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71"/>
      <c r="AV385" s="10"/>
      <c r="AW385" s="23"/>
      <c r="BB385" s="66"/>
      <c r="BC385" s="66"/>
      <c r="BD385" s="66"/>
      <c r="BE385" s="66"/>
      <c r="BF385" s="66"/>
      <c r="BG385" s="66"/>
      <c r="BH385" s="66"/>
      <c r="BI385" s="66"/>
      <c r="BJ385" s="66"/>
      <c r="BK385" s="66"/>
      <c r="BL385" s="66"/>
      <c r="BM385" s="66"/>
      <c r="BN385" s="66"/>
      <c r="BO385" s="66"/>
      <c r="BP385" s="66"/>
      <c r="BQ385" s="66"/>
      <c r="BR385" s="66"/>
      <c r="BS385" s="66"/>
      <c r="BT385" s="66"/>
      <c r="BU385" s="66"/>
      <c r="BV385" s="66"/>
      <c r="BW385" s="66"/>
    </row>
    <row r="386" spans="1:75" ht="15.75" customHeight="1">
      <c r="A386" s="65"/>
      <c r="B386" s="66"/>
      <c r="C386" s="66"/>
      <c r="D386" s="66"/>
      <c r="E386" s="66"/>
      <c r="F386" s="65"/>
      <c r="G386" s="65"/>
      <c r="H386" s="66"/>
      <c r="I386" s="66"/>
      <c r="J386" s="66"/>
      <c r="K386" s="66"/>
      <c r="L386" s="66"/>
      <c r="M386" s="66"/>
      <c r="N386" s="66"/>
      <c r="O386" s="66"/>
      <c r="P386" s="66"/>
      <c r="Q386" s="23"/>
      <c r="AB386" s="23"/>
      <c r="AC386" s="23"/>
      <c r="AD386" s="23"/>
      <c r="AE386" s="7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71"/>
      <c r="AV386" s="10"/>
      <c r="AW386" s="23"/>
      <c r="BB386" s="66"/>
      <c r="BC386" s="66"/>
      <c r="BD386" s="66"/>
      <c r="BE386" s="66"/>
      <c r="BF386" s="66"/>
      <c r="BG386" s="66"/>
      <c r="BH386" s="66"/>
      <c r="BI386" s="66"/>
      <c r="BJ386" s="66"/>
      <c r="BK386" s="66"/>
      <c r="BL386" s="66"/>
      <c r="BM386" s="66"/>
      <c r="BN386" s="66"/>
      <c r="BO386" s="66"/>
      <c r="BP386" s="66"/>
      <c r="BQ386" s="66"/>
      <c r="BR386" s="66"/>
      <c r="BS386" s="66"/>
      <c r="BT386" s="66"/>
      <c r="BU386" s="66"/>
      <c r="BV386" s="66"/>
      <c r="BW386" s="66"/>
    </row>
    <row r="387" spans="1:75" ht="15.75" customHeight="1">
      <c r="A387" s="65"/>
      <c r="B387" s="66"/>
      <c r="C387" s="66"/>
      <c r="D387" s="66"/>
      <c r="E387" s="66"/>
      <c r="F387" s="65"/>
      <c r="G387" s="65"/>
      <c r="H387" s="66"/>
      <c r="I387" s="66"/>
      <c r="J387" s="66"/>
      <c r="K387" s="66"/>
      <c r="L387" s="66"/>
      <c r="M387" s="66"/>
      <c r="N387" s="66"/>
      <c r="O387" s="66"/>
      <c r="P387" s="66"/>
      <c r="Q387" s="23"/>
      <c r="AB387" s="23"/>
      <c r="AC387" s="23"/>
      <c r="AD387" s="23"/>
      <c r="AE387" s="7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71"/>
      <c r="AV387" s="10"/>
      <c r="AW387" s="23"/>
      <c r="BB387" s="66"/>
      <c r="BC387" s="66"/>
      <c r="BD387" s="66"/>
      <c r="BE387" s="66"/>
      <c r="BF387" s="66"/>
      <c r="BG387" s="66"/>
      <c r="BH387" s="66"/>
      <c r="BI387" s="66"/>
      <c r="BJ387" s="66"/>
      <c r="BK387" s="66"/>
      <c r="BL387" s="66"/>
      <c r="BM387" s="66"/>
      <c r="BN387" s="66"/>
      <c r="BO387" s="66"/>
      <c r="BP387" s="66"/>
      <c r="BQ387" s="66"/>
      <c r="BR387" s="66"/>
      <c r="BS387" s="66"/>
      <c r="BT387" s="66"/>
      <c r="BU387" s="66"/>
      <c r="BV387" s="66"/>
      <c r="BW387" s="66"/>
    </row>
    <row r="388" spans="1:75" ht="15.75" customHeight="1">
      <c r="A388" s="65"/>
      <c r="B388" s="66"/>
      <c r="C388" s="66"/>
      <c r="D388" s="66"/>
      <c r="E388" s="66"/>
      <c r="F388" s="65"/>
      <c r="G388" s="65"/>
      <c r="H388" s="66"/>
      <c r="I388" s="66"/>
      <c r="J388" s="66"/>
      <c r="K388" s="66"/>
      <c r="L388" s="66"/>
      <c r="M388" s="66"/>
      <c r="N388" s="66"/>
      <c r="O388" s="66"/>
      <c r="P388" s="66"/>
      <c r="Q388" s="23"/>
      <c r="AB388" s="23"/>
      <c r="AC388" s="23"/>
      <c r="AD388" s="23"/>
      <c r="AE388" s="7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71"/>
      <c r="AV388" s="10"/>
      <c r="AW388" s="23"/>
      <c r="BB388" s="66"/>
      <c r="BC388" s="66"/>
      <c r="BD388" s="66"/>
      <c r="BE388" s="66"/>
      <c r="BF388" s="66"/>
      <c r="BG388" s="66"/>
      <c r="BH388" s="66"/>
      <c r="BI388" s="66"/>
      <c r="BJ388" s="66"/>
      <c r="BK388" s="66"/>
      <c r="BL388" s="66"/>
      <c r="BM388" s="66"/>
      <c r="BN388" s="66"/>
      <c r="BO388" s="66"/>
      <c r="BP388" s="66"/>
      <c r="BQ388" s="66"/>
      <c r="BR388" s="66"/>
      <c r="BS388" s="66"/>
      <c r="BT388" s="66"/>
      <c r="BU388" s="66"/>
      <c r="BV388" s="66"/>
      <c r="BW388" s="66"/>
    </row>
    <row r="389" spans="1:75" ht="15.75" customHeight="1">
      <c r="A389" s="65"/>
      <c r="B389" s="66"/>
      <c r="C389" s="66"/>
      <c r="D389" s="66"/>
      <c r="E389" s="66"/>
      <c r="F389" s="65"/>
      <c r="G389" s="65"/>
      <c r="H389" s="66"/>
      <c r="I389" s="66"/>
      <c r="J389" s="66"/>
      <c r="K389" s="66"/>
      <c r="L389" s="66"/>
      <c r="M389" s="66"/>
      <c r="N389" s="66"/>
      <c r="O389" s="66"/>
      <c r="P389" s="66"/>
      <c r="Q389" s="23"/>
      <c r="AB389" s="23"/>
      <c r="AC389" s="23"/>
      <c r="AD389" s="23"/>
      <c r="AE389" s="7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71"/>
      <c r="AV389" s="10"/>
      <c r="AW389" s="23"/>
      <c r="BB389" s="66"/>
      <c r="BC389" s="66"/>
      <c r="BD389" s="66"/>
      <c r="BE389" s="66"/>
      <c r="BF389" s="66"/>
      <c r="BG389" s="66"/>
      <c r="BH389" s="66"/>
      <c r="BI389" s="66"/>
      <c r="BJ389" s="66"/>
      <c r="BK389" s="66"/>
      <c r="BL389" s="66"/>
      <c r="BM389" s="66"/>
      <c r="BN389" s="66"/>
      <c r="BO389" s="66"/>
      <c r="BP389" s="66"/>
      <c r="BQ389" s="66"/>
      <c r="BR389" s="66"/>
      <c r="BS389" s="66"/>
      <c r="BT389" s="66"/>
      <c r="BU389" s="66"/>
      <c r="BV389" s="66"/>
      <c r="BW389" s="66"/>
    </row>
    <row r="390" spans="1:75" ht="15.75" customHeight="1">
      <c r="A390" s="65"/>
      <c r="B390" s="66"/>
      <c r="C390" s="66"/>
      <c r="D390" s="66"/>
      <c r="E390" s="66"/>
      <c r="F390" s="65"/>
      <c r="G390" s="65"/>
      <c r="H390" s="66"/>
      <c r="I390" s="66"/>
      <c r="J390" s="66"/>
      <c r="K390" s="66"/>
      <c r="L390" s="66"/>
      <c r="M390" s="66"/>
      <c r="N390" s="66"/>
      <c r="O390" s="66"/>
      <c r="P390" s="66"/>
      <c r="Q390" s="23"/>
      <c r="AB390" s="23"/>
      <c r="AC390" s="23"/>
      <c r="AD390" s="23"/>
      <c r="AE390" s="7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71"/>
      <c r="AV390" s="10"/>
      <c r="AW390" s="23"/>
      <c r="BB390" s="66"/>
      <c r="BC390" s="66"/>
      <c r="BD390" s="66"/>
      <c r="BE390" s="66"/>
      <c r="BF390" s="66"/>
      <c r="BG390" s="66"/>
      <c r="BH390" s="66"/>
      <c r="BI390" s="66"/>
      <c r="BJ390" s="66"/>
      <c r="BK390" s="66"/>
      <c r="BL390" s="66"/>
      <c r="BM390" s="66"/>
      <c r="BN390" s="66"/>
      <c r="BO390" s="66"/>
      <c r="BP390" s="66"/>
      <c r="BQ390" s="66"/>
      <c r="BR390" s="66"/>
      <c r="BS390" s="66"/>
      <c r="BT390" s="66"/>
      <c r="BU390" s="66"/>
      <c r="BV390" s="66"/>
      <c r="BW390" s="66"/>
    </row>
    <row r="391" spans="1:75" ht="15.75" customHeight="1">
      <c r="A391" s="65"/>
      <c r="B391" s="66"/>
      <c r="C391" s="66"/>
      <c r="D391" s="66"/>
      <c r="E391" s="66"/>
      <c r="F391" s="65"/>
      <c r="G391" s="65"/>
      <c r="H391" s="66"/>
      <c r="I391" s="66"/>
      <c r="J391" s="66"/>
      <c r="K391" s="66"/>
      <c r="L391" s="66"/>
      <c r="M391" s="66"/>
      <c r="N391" s="66"/>
      <c r="O391" s="66"/>
      <c r="P391" s="66"/>
      <c r="Q391" s="23"/>
      <c r="AB391" s="23"/>
      <c r="AC391" s="23"/>
      <c r="AD391" s="23"/>
      <c r="AE391" s="7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71"/>
      <c r="AV391" s="10"/>
      <c r="AW391" s="23"/>
      <c r="BB391" s="66"/>
      <c r="BC391" s="66"/>
      <c r="BD391" s="66"/>
      <c r="BE391" s="66"/>
      <c r="BF391" s="66"/>
      <c r="BG391" s="66"/>
      <c r="BH391" s="66"/>
      <c r="BI391" s="66"/>
      <c r="BJ391" s="66"/>
      <c r="BK391" s="66"/>
      <c r="BL391" s="66"/>
      <c r="BM391" s="66"/>
      <c r="BN391" s="66"/>
      <c r="BO391" s="66"/>
      <c r="BP391" s="66"/>
      <c r="BQ391" s="66"/>
      <c r="BR391" s="66"/>
      <c r="BS391" s="66"/>
      <c r="BT391" s="66"/>
      <c r="BU391" s="66"/>
      <c r="BV391" s="66"/>
      <c r="BW391" s="66"/>
    </row>
    <row r="392" spans="1:75" ht="15.75" customHeight="1">
      <c r="A392" s="65"/>
      <c r="B392" s="66"/>
      <c r="C392" s="66"/>
      <c r="D392" s="66"/>
      <c r="E392" s="66"/>
      <c r="F392" s="65"/>
      <c r="G392" s="65"/>
      <c r="H392" s="66"/>
      <c r="I392" s="66"/>
      <c r="J392" s="66"/>
      <c r="K392" s="66"/>
      <c r="L392" s="66"/>
      <c r="M392" s="66"/>
      <c r="N392" s="66"/>
      <c r="O392" s="66"/>
      <c r="P392" s="66"/>
      <c r="Q392" s="23"/>
      <c r="AB392" s="23"/>
      <c r="AC392" s="23"/>
      <c r="AD392" s="23"/>
      <c r="AE392" s="7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71"/>
      <c r="AV392" s="10"/>
      <c r="AW392" s="23"/>
      <c r="BB392" s="66"/>
      <c r="BC392" s="66"/>
      <c r="BD392" s="66"/>
      <c r="BE392" s="66"/>
      <c r="BF392" s="66"/>
      <c r="BG392" s="66"/>
      <c r="BH392" s="66"/>
      <c r="BI392" s="66"/>
      <c r="BJ392" s="66"/>
      <c r="BK392" s="66"/>
      <c r="BL392" s="66"/>
      <c r="BM392" s="66"/>
      <c r="BN392" s="66"/>
      <c r="BO392" s="66"/>
      <c r="BP392" s="66"/>
      <c r="BQ392" s="66"/>
      <c r="BR392" s="66"/>
      <c r="BS392" s="66"/>
      <c r="BT392" s="66"/>
      <c r="BU392" s="66"/>
      <c r="BV392" s="66"/>
      <c r="BW392" s="66"/>
    </row>
    <row r="393" spans="1:75" ht="15.75" customHeight="1">
      <c r="A393" s="65"/>
      <c r="B393" s="66"/>
      <c r="C393" s="66"/>
      <c r="D393" s="66"/>
      <c r="E393" s="66"/>
      <c r="F393" s="65"/>
      <c r="G393" s="65"/>
      <c r="H393" s="66"/>
      <c r="I393" s="66"/>
      <c r="J393" s="66"/>
      <c r="K393" s="66"/>
      <c r="L393" s="66"/>
      <c r="M393" s="66"/>
      <c r="N393" s="66"/>
      <c r="O393" s="66"/>
      <c r="P393" s="66"/>
      <c r="Q393" s="23"/>
      <c r="AB393" s="23"/>
      <c r="AC393" s="23"/>
      <c r="AD393" s="23"/>
      <c r="AE393" s="7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71"/>
      <c r="AV393" s="10"/>
      <c r="AW393" s="23"/>
      <c r="BB393" s="66"/>
      <c r="BC393" s="66"/>
      <c r="BD393" s="66"/>
      <c r="BE393" s="66"/>
      <c r="BF393" s="66"/>
      <c r="BG393" s="66"/>
      <c r="BH393" s="66"/>
      <c r="BI393" s="66"/>
      <c r="BJ393" s="66"/>
      <c r="BK393" s="66"/>
      <c r="BL393" s="66"/>
      <c r="BM393" s="66"/>
      <c r="BN393" s="66"/>
      <c r="BO393" s="66"/>
      <c r="BP393" s="66"/>
      <c r="BQ393" s="66"/>
      <c r="BR393" s="66"/>
      <c r="BS393" s="66"/>
      <c r="BT393" s="66"/>
      <c r="BU393" s="66"/>
      <c r="BV393" s="66"/>
      <c r="BW393" s="66"/>
    </row>
    <row r="394" spans="1:75" ht="15.75" customHeight="1">
      <c r="A394" s="65"/>
      <c r="B394" s="66"/>
      <c r="C394" s="66"/>
      <c r="D394" s="66"/>
      <c r="E394" s="66"/>
      <c r="F394" s="65"/>
      <c r="G394" s="65"/>
      <c r="H394" s="66"/>
      <c r="I394" s="66"/>
      <c r="J394" s="66"/>
      <c r="K394" s="66"/>
      <c r="L394" s="66"/>
      <c r="M394" s="66"/>
      <c r="N394" s="66"/>
      <c r="O394" s="66"/>
      <c r="P394" s="66"/>
      <c r="Q394" s="23"/>
      <c r="AB394" s="23"/>
      <c r="AC394" s="23"/>
      <c r="AD394" s="23"/>
      <c r="AE394" s="7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71"/>
      <c r="AV394" s="10"/>
      <c r="AW394" s="23"/>
      <c r="BB394" s="66"/>
      <c r="BC394" s="66"/>
      <c r="BD394" s="66"/>
      <c r="BE394" s="66"/>
      <c r="BF394" s="66"/>
      <c r="BG394" s="66"/>
      <c r="BH394" s="66"/>
      <c r="BI394" s="66"/>
      <c r="BJ394" s="66"/>
      <c r="BK394" s="66"/>
      <c r="BL394" s="66"/>
      <c r="BM394" s="66"/>
      <c r="BN394" s="66"/>
      <c r="BO394" s="66"/>
      <c r="BP394" s="66"/>
      <c r="BQ394" s="66"/>
      <c r="BR394" s="66"/>
      <c r="BS394" s="66"/>
      <c r="BT394" s="66"/>
      <c r="BU394" s="66"/>
      <c r="BV394" s="66"/>
      <c r="BW394" s="66"/>
    </row>
    <row r="395" spans="1:75" ht="15.75" customHeight="1">
      <c r="A395" s="65"/>
      <c r="B395" s="66"/>
      <c r="C395" s="66"/>
      <c r="D395" s="66"/>
      <c r="E395" s="66"/>
      <c r="F395" s="65"/>
      <c r="G395" s="65"/>
      <c r="H395" s="66"/>
      <c r="I395" s="66"/>
      <c r="J395" s="66"/>
      <c r="K395" s="66"/>
      <c r="L395" s="66"/>
      <c r="M395" s="66"/>
      <c r="N395" s="66"/>
      <c r="O395" s="66"/>
      <c r="P395" s="66"/>
      <c r="Q395" s="23"/>
      <c r="AB395" s="23"/>
      <c r="AC395" s="23"/>
      <c r="AD395" s="23"/>
      <c r="AE395" s="7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71"/>
      <c r="AV395" s="10"/>
      <c r="AW395" s="23"/>
      <c r="BB395" s="66"/>
      <c r="BC395" s="66"/>
      <c r="BD395" s="66"/>
      <c r="BE395" s="66"/>
      <c r="BF395" s="66"/>
      <c r="BG395" s="66"/>
      <c r="BH395" s="66"/>
      <c r="BI395" s="66"/>
      <c r="BJ395" s="66"/>
      <c r="BK395" s="66"/>
      <c r="BL395" s="66"/>
      <c r="BM395" s="66"/>
      <c r="BN395" s="66"/>
      <c r="BO395" s="66"/>
      <c r="BP395" s="66"/>
      <c r="BQ395" s="66"/>
      <c r="BR395" s="66"/>
      <c r="BS395" s="66"/>
      <c r="BT395" s="66"/>
      <c r="BU395" s="66"/>
      <c r="BV395" s="66"/>
      <c r="BW395" s="66"/>
    </row>
    <row r="396" spans="1:75" ht="15.75" customHeight="1">
      <c r="A396" s="65"/>
      <c r="B396" s="66"/>
      <c r="C396" s="66"/>
      <c r="D396" s="66"/>
      <c r="E396" s="66"/>
      <c r="F396" s="65"/>
      <c r="G396" s="65"/>
      <c r="H396" s="66"/>
      <c r="I396" s="66"/>
      <c r="J396" s="66"/>
      <c r="K396" s="66"/>
      <c r="L396" s="66"/>
      <c r="M396" s="66"/>
      <c r="N396" s="66"/>
      <c r="O396" s="66"/>
      <c r="P396" s="66"/>
      <c r="Q396" s="23"/>
      <c r="AB396" s="23"/>
      <c r="AC396" s="23"/>
      <c r="AD396" s="23"/>
      <c r="AE396" s="7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71"/>
      <c r="AV396" s="10"/>
      <c r="AW396" s="23"/>
      <c r="BB396" s="66"/>
      <c r="BC396" s="66"/>
      <c r="BD396" s="66"/>
      <c r="BE396" s="66"/>
      <c r="BF396" s="66"/>
      <c r="BG396" s="66"/>
      <c r="BH396" s="66"/>
      <c r="BI396" s="66"/>
      <c r="BJ396" s="66"/>
      <c r="BK396" s="66"/>
      <c r="BL396" s="66"/>
      <c r="BM396" s="66"/>
      <c r="BN396" s="66"/>
      <c r="BO396" s="66"/>
      <c r="BP396" s="66"/>
      <c r="BQ396" s="66"/>
      <c r="BR396" s="66"/>
      <c r="BS396" s="66"/>
      <c r="BT396" s="66"/>
      <c r="BU396" s="66"/>
      <c r="BV396" s="66"/>
      <c r="BW396" s="66"/>
    </row>
    <row r="397" spans="1:75" ht="15.75" customHeight="1">
      <c r="A397" s="65"/>
      <c r="B397" s="66"/>
      <c r="C397" s="66"/>
      <c r="D397" s="66"/>
      <c r="E397" s="66"/>
      <c r="F397" s="65"/>
      <c r="G397" s="65"/>
      <c r="H397" s="66"/>
      <c r="I397" s="66"/>
      <c r="J397" s="66"/>
      <c r="K397" s="66"/>
      <c r="L397" s="66"/>
      <c r="M397" s="66"/>
      <c r="N397" s="66"/>
      <c r="O397" s="66"/>
      <c r="P397" s="66"/>
      <c r="Q397" s="23"/>
      <c r="AB397" s="23"/>
      <c r="AC397" s="23"/>
      <c r="AD397" s="23"/>
      <c r="AE397" s="7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71"/>
      <c r="AV397" s="10"/>
      <c r="AW397" s="23"/>
      <c r="BB397" s="66"/>
      <c r="BC397" s="66"/>
      <c r="BD397" s="66"/>
      <c r="BE397" s="66"/>
      <c r="BF397" s="66"/>
      <c r="BG397" s="66"/>
      <c r="BH397" s="66"/>
      <c r="BI397" s="66"/>
      <c r="BJ397" s="66"/>
      <c r="BK397" s="66"/>
      <c r="BL397" s="66"/>
      <c r="BM397" s="66"/>
      <c r="BN397" s="66"/>
      <c r="BO397" s="66"/>
      <c r="BP397" s="66"/>
      <c r="BQ397" s="66"/>
      <c r="BR397" s="66"/>
      <c r="BS397" s="66"/>
      <c r="BT397" s="66"/>
      <c r="BU397" s="66"/>
      <c r="BV397" s="66"/>
      <c r="BW397" s="66"/>
    </row>
    <row r="398" spans="1:75" ht="15.75" customHeight="1">
      <c r="A398" s="65"/>
      <c r="B398" s="66"/>
      <c r="C398" s="66"/>
      <c r="D398" s="66"/>
      <c r="E398" s="66"/>
      <c r="F398" s="65"/>
      <c r="G398" s="65"/>
      <c r="H398" s="66"/>
      <c r="I398" s="66"/>
      <c r="J398" s="66"/>
      <c r="K398" s="66"/>
      <c r="L398" s="66"/>
      <c r="M398" s="66"/>
      <c r="N398" s="66"/>
      <c r="O398" s="66"/>
      <c r="P398" s="66"/>
      <c r="Q398" s="23"/>
      <c r="AB398" s="23"/>
      <c r="AC398" s="23"/>
      <c r="AD398" s="23"/>
      <c r="AE398" s="7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71"/>
      <c r="AV398" s="10"/>
      <c r="AW398" s="23"/>
      <c r="BB398" s="66"/>
      <c r="BC398" s="66"/>
      <c r="BD398" s="66"/>
      <c r="BE398" s="66"/>
      <c r="BF398" s="66"/>
      <c r="BG398" s="66"/>
      <c r="BH398" s="66"/>
      <c r="BI398" s="66"/>
      <c r="BJ398" s="66"/>
      <c r="BK398" s="66"/>
      <c r="BL398" s="66"/>
      <c r="BM398" s="66"/>
      <c r="BN398" s="66"/>
      <c r="BO398" s="66"/>
      <c r="BP398" s="66"/>
      <c r="BQ398" s="66"/>
      <c r="BR398" s="66"/>
      <c r="BS398" s="66"/>
      <c r="BT398" s="66"/>
      <c r="BU398" s="66"/>
      <c r="BV398" s="66"/>
      <c r="BW398" s="66"/>
    </row>
    <row r="399" spans="1:75" ht="15.75" customHeight="1">
      <c r="A399" s="65"/>
      <c r="B399" s="66"/>
      <c r="C399" s="66"/>
      <c r="D399" s="66"/>
      <c r="E399" s="66"/>
      <c r="F399" s="65"/>
      <c r="G399" s="65"/>
      <c r="H399" s="66"/>
      <c r="I399" s="66"/>
      <c r="J399" s="66"/>
      <c r="K399" s="66"/>
      <c r="L399" s="66"/>
      <c r="M399" s="66"/>
      <c r="N399" s="66"/>
      <c r="O399" s="66"/>
      <c r="P399" s="66"/>
      <c r="Q399" s="23"/>
      <c r="AB399" s="23"/>
      <c r="AC399" s="23"/>
      <c r="AD399" s="23"/>
      <c r="AE399" s="7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71"/>
      <c r="AV399" s="10"/>
      <c r="AW399" s="23"/>
      <c r="BB399" s="66"/>
      <c r="BC399" s="66"/>
      <c r="BD399" s="66"/>
      <c r="BE399" s="66"/>
      <c r="BF399" s="66"/>
      <c r="BG399" s="66"/>
      <c r="BH399" s="66"/>
      <c r="BI399" s="66"/>
      <c r="BJ399" s="66"/>
      <c r="BK399" s="66"/>
      <c r="BL399" s="66"/>
      <c r="BM399" s="66"/>
      <c r="BN399" s="66"/>
      <c r="BO399" s="66"/>
      <c r="BP399" s="66"/>
      <c r="BQ399" s="66"/>
      <c r="BR399" s="66"/>
      <c r="BS399" s="66"/>
      <c r="BT399" s="66"/>
      <c r="BU399" s="66"/>
      <c r="BV399" s="66"/>
      <c r="BW399" s="66"/>
    </row>
    <row r="400" spans="1:75" ht="15.75" customHeight="1">
      <c r="A400" s="65"/>
      <c r="B400" s="66"/>
      <c r="C400" s="66"/>
      <c r="D400" s="66"/>
      <c r="E400" s="66"/>
      <c r="F400" s="65"/>
      <c r="G400" s="65"/>
      <c r="H400" s="66"/>
      <c r="I400" s="66"/>
      <c r="J400" s="66"/>
      <c r="K400" s="66"/>
      <c r="L400" s="66"/>
      <c r="M400" s="66"/>
      <c r="N400" s="66"/>
      <c r="O400" s="66"/>
      <c r="P400" s="66"/>
      <c r="Q400" s="23"/>
      <c r="AB400" s="23"/>
      <c r="AC400" s="23"/>
      <c r="AD400" s="23"/>
      <c r="AE400" s="7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71"/>
      <c r="AV400" s="10"/>
      <c r="AW400" s="23"/>
      <c r="BB400" s="66"/>
      <c r="BC400" s="66"/>
      <c r="BD400" s="66"/>
      <c r="BE400" s="66"/>
      <c r="BF400" s="66"/>
      <c r="BG400" s="66"/>
      <c r="BH400" s="66"/>
      <c r="BI400" s="66"/>
      <c r="BJ400" s="66"/>
      <c r="BK400" s="66"/>
      <c r="BL400" s="66"/>
      <c r="BM400" s="66"/>
      <c r="BN400" s="66"/>
      <c r="BO400" s="66"/>
      <c r="BP400" s="66"/>
      <c r="BQ400" s="66"/>
      <c r="BR400" s="66"/>
      <c r="BS400" s="66"/>
      <c r="BT400" s="66"/>
      <c r="BU400" s="66"/>
      <c r="BV400" s="66"/>
      <c r="BW400" s="66"/>
    </row>
    <row r="401" spans="1:75" ht="15.75" customHeight="1">
      <c r="A401" s="65"/>
      <c r="B401" s="66"/>
      <c r="C401" s="66"/>
      <c r="D401" s="66"/>
      <c r="E401" s="66"/>
      <c r="F401" s="65"/>
      <c r="G401" s="65"/>
      <c r="H401" s="66"/>
      <c r="I401" s="66"/>
      <c r="J401" s="66"/>
      <c r="K401" s="66"/>
      <c r="L401" s="66"/>
      <c r="M401" s="66"/>
      <c r="N401" s="66"/>
      <c r="O401" s="66"/>
      <c r="P401" s="66"/>
      <c r="Q401" s="23"/>
      <c r="AB401" s="23"/>
      <c r="AC401" s="23"/>
      <c r="AD401" s="23"/>
      <c r="AE401" s="7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71"/>
      <c r="AV401" s="10"/>
      <c r="AW401" s="23"/>
      <c r="BB401" s="66"/>
      <c r="BC401" s="66"/>
      <c r="BD401" s="66"/>
      <c r="BE401" s="66"/>
      <c r="BF401" s="66"/>
      <c r="BG401" s="66"/>
      <c r="BH401" s="66"/>
      <c r="BI401" s="66"/>
      <c r="BJ401" s="66"/>
      <c r="BK401" s="66"/>
      <c r="BL401" s="66"/>
      <c r="BM401" s="66"/>
      <c r="BN401" s="66"/>
      <c r="BO401" s="66"/>
      <c r="BP401" s="66"/>
      <c r="BQ401" s="66"/>
      <c r="BR401" s="66"/>
      <c r="BS401" s="66"/>
      <c r="BT401" s="66"/>
      <c r="BU401" s="66"/>
      <c r="BV401" s="66"/>
      <c r="BW401" s="66"/>
    </row>
    <row r="402" spans="1:75" ht="15.75" customHeight="1">
      <c r="A402" s="65"/>
      <c r="B402" s="66"/>
      <c r="C402" s="66"/>
      <c r="D402" s="66"/>
      <c r="E402" s="66"/>
      <c r="F402" s="65"/>
      <c r="G402" s="65"/>
      <c r="H402" s="66"/>
      <c r="I402" s="66"/>
      <c r="J402" s="66"/>
      <c r="K402" s="66"/>
      <c r="L402" s="66"/>
      <c r="M402" s="66"/>
      <c r="N402" s="66"/>
      <c r="O402" s="66"/>
      <c r="P402" s="66"/>
      <c r="Q402" s="23"/>
      <c r="AB402" s="23"/>
      <c r="AC402" s="23"/>
      <c r="AD402" s="23"/>
      <c r="AE402" s="7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71"/>
      <c r="AV402" s="10"/>
      <c r="AW402" s="23"/>
      <c r="BB402" s="66"/>
      <c r="BC402" s="66"/>
      <c r="BD402" s="66"/>
      <c r="BE402" s="66"/>
      <c r="BF402" s="66"/>
      <c r="BG402" s="66"/>
      <c r="BH402" s="66"/>
      <c r="BI402" s="66"/>
      <c r="BJ402" s="66"/>
      <c r="BK402" s="66"/>
      <c r="BL402" s="66"/>
      <c r="BM402" s="66"/>
      <c r="BN402" s="66"/>
      <c r="BO402" s="66"/>
      <c r="BP402" s="66"/>
      <c r="BQ402" s="66"/>
      <c r="BR402" s="66"/>
      <c r="BS402" s="66"/>
      <c r="BT402" s="66"/>
      <c r="BU402" s="66"/>
      <c r="BV402" s="66"/>
      <c r="BW402" s="66"/>
    </row>
    <row r="403" spans="1:75" ht="15.75" customHeight="1">
      <c r="A403" s="65"/>
      <c r="B403" s="66"/>
      <c r="C403" s="66"/>
      <c r="D403" s="66"/>
      <c r="E403" s="66"/>
      <c r="F403" s="65"/>
      <c r="G403" s="65"/>
      <c r="H403" s="66"/>
      <c r="I403" s="66"/>
      <c r="J403" s="66"/>
      <c r="K403" s="66"/>
      <c r="L403" s="66"/>
      <c r="M403" s="66"/>
      <c r="N403" s="66"/>
      <c r="O403" s="66"/>
      <c r="P403" s="66"/>
      <c r="Q403" s="23"/>
      <c r="AB403" s="23"/>
      <c r="AC403" s="23"/>
      <c r="AD403" s="23"/>
      <c r="AE403" s="7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71"/>
      <c r="AV403" s="10"/>
      <c r="AW403" s="23"/>
      <c r="BB403" s="66"/>
      <c r="BC403" s="66"/>
      <c r="BD403" s="66"/>
      <c r="BE403" s="66"/>
      <c r="BF403" s="66"/>
      <c r="BG403" s="66"/>
      <c r="BH403" s="66"/>
      <c r="BI403" s="66"/>
      <c r="BJ403" s="66"/>
      <c r="BK403" s="66"/>
      <c r="BL403" s="66"/>
      <c r="BM403" s="66"/>
      <c r="BN403" s="66"/>
      <c r="BO403" s="66"/>
      <c r="BP403" s="66"/>
      <c r="BQ403" s="66"/>
      <c r="BR403" s="66"/>
      <c r="BS403" s="66"/>
      <c r="BT403" s="66"/>
      <c r="BU403" s="66"/>
      <c r="BV403" s="66"/>
      <c r="BW403" s="66"/>
    </row>
    <row r="404" spans="1:75" ht="15.75" customHeight="1">
      <c r="A404" s="65"/>
      <c r="B404" s="66"/>
      <c r="C404" s="66"/>
      <c r="D404" s="66"/>
      <c r="E404" s="66"/>
      <c r="F404" s="65"/>
      <c r="G404" s="65"/>
      <c r="H404" s="66"/>
      <c r="I404" s="66"/>
      <c r="J404" s="66"/>
      <c r="K404" s="66"/>
      <c r="L404" s="66"/>
      <c r="M404" s="66"/>
      <c r="N404" s="66"/>
      <c r="O404" s="66"/>
      <c r="P404" s="66"/>
      <c r="Q404" s="23"/>
      <c r="AB404" s="23"/>
      <c r="AC404" s="23"/>
      <c r="AD404" s="23"/>
      <c r="AE404" s="7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71"/>
      <c r="AV404" s="10"/>
      <c r="AW404" s="23"/>
      <c r="BB404" s="66"/>
      <c r="BC404" s="66"/>
      <c r="BD404" s="66"/>
      <c r="BE404" s="66"/>
      <c r="BF404" s="66"/>
      <c r="BG404" s="66"/>
      <c r="BH404" s="66"/>
      <c r="BI404" s="66"/>
      <c r="BJ404" s="66"/>
      <c r="BK404" s="66"/>
      <c r="BL404" s="66"/>
      <c r="BM404" s="66"/>
      <c r="BN404" s="66"/>
      <c r="BO404" s="66"/>
      <c r="BP404" s="66"/>
      <c r="BQ404" s="66"/>
      <c r="BR404" s="66"/>
      <c r="BS404" s="66"/>
      <c r="BT404" s="66"/>
      <c r="BU404" s="66"/>
      <c r="BV404" s="66"/>
      <c r="BW404" s="66"/>
    </row>
    <row r="405" spans="1:75" ht="15.75" customHeight="1">
      <c r="A405" s="65"/>
      <c r="B405" s="66"/>
      <c r="C405" s="66"/>
      <c r="D405" s="66"/>
      <c r="E405" s="66"/>
      <c r="F405" s="65"/>
      <c r="G405" s="65"/>
      <c r="H405" s="66"/>
      <c r="I405" s="66"/>
      <c r="J405" s="66"/>
      <c r="K405" s="66"/>
      <c r="L405" s="66"/>
      <c r="M405" s="66"/>
      <c r="N405" s="66"/>
      <c r="O405" s="66"/>
      <c r="P405" s="66"/>
      <c r="Q405" s="23"/>
      <c r="AB405" s="23"/>
      <c r="AC405" s="23"/>
      <c r="AD405" s="23"/>
      <c r="AE405" s="7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71"/>
      <c r="AV405" s="10"/>
      <c r="AW405" s="23"/>
      <c r="BB405" s="66"/>
      <c r="BC405" s="66"/>
      <c r="BD405" s="66"/>
      <c r="BE405" s="66"/>
      <c r="BF405" s="66"/>
      <c r="BG405" s="66"/>
      <c r="BH405" s="66"/>
      <c r="BI405" s="66"/>
      <c r="BJ405" s="66"/>
      <c r="BK405" s="66"/>
      <c r="BL405" s="66"/>
      <c r="BM405" s="66"/>
      <c r="BN405" s="66"/>
      <c r="BO405" s="66"/>
      <c r="BP405" s="66"/>
      <c r="BQ405" s="66"/>
      <c r="BR405" s="66"/>
      <c r="BS405" s="66"/>
      <c r="BT405" s="66"/>
      <c r="BU405" s="66"/>
      <c r="BV405" s="66"/>
      <c r="BW405" s="66"/>
    </row>
    <row r="406" spans="1:75" ht="15.75" customHeight="1">
      <c r="A406" s="65"/>
      <c r="B406" s="66"/>
      <c r="C406" s="66"/>
      <c r="D406" s="66"/>
      <c r="E406" s="66"/>
      <c r="F406" s="65"/>
      <c r="G406" s="65"/>
      <c r="H406" s="66"/>
      <c r="I406" s="66"/>
      <c r="J406" s="66"/>
      <c r="K406" s="66"/>
      <c r="L406" s="66"/>
      <c r="M406" s="66"/>
      <c r="N406" s="66"/>
      <c r="O406" s="66"/>
      <c r="P406" s="66"/>
      <c r="Q406" s="23"/>
      <c r="AB406" s="23"/>
      <c r="AC406" s="23"/>
      <c r="AD406" s="23"/>
      <c r="AE406" s="7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71"/>
      <c r="AV406" s="10"/>
      <c r="AW406" s="23"/>
      <c r="BB406" s="66"/>
      <c r="BC406" s="66"/>
      <c r="BD406" s="66"/>
      <c r="BE406" s="66"/>
      <c r="BF406" s="66"/>
      <c r="BG406" s="66"/>
      <c r="BH406" s="66"/>
      <c r="BI406" s="66"/>
      <c r="BJ406" s="66"/>
      <c r="BK406" s="66"/>
      <c r="BL406" s="66"/>
      <c r="BM406" s="66"/>
      <c r="BN406" s="66"/>
      <c r="BO406" s="66"/>
      <c r="BP406" s="66"/>
      <c r="BQ406" s="66"/>
      <c r="BR406" s="66"/>
      <c r="BS406" s="66"/>
      <c r="BT406" s="66"/>
      <c r="BU406" s="66"/>
      <c r="BV406" s="66"/>
      <c r="BW406" s="66"/>
    </row>
    <row r="407" spans="1:75" ht="15.75" customHeight="1">
      <c r="A407" s="65"/>
      <c r="B407" s="66"/>
      <c r="C407" s="66"/>
      <c r="D407" s="66"/>
      <c r="E407" s="66"/>
      <c r="F407" s="65"/>
      <c r="G407" s="65"/>
      <c r="H407" s="66"/>
      <c r="I407" s="66"/>
      <c r="J407" s="66"/>
      <c r="K407" s="66"/>
      <c r="L407" s="66"/>
      <c r="M407" s="66"/>
      <c r="N407" s="66"/>
      <c r="O407" s="66"/>
      <c r="P407" s="66"/>
      <c r="Q407" s="23"/>
      <c r="AB407" s="23"/>
      <c r="AC407" s="23"/>
      <c r="AD407" s="23"/>
      <c r="AE407" s="7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71"/>
      <c r="AV407" s="10"/>
      <c r="AW407" s="23"/>
      <c r="BB407" s="66"/>
      <c r="BC407" s="66"/>
      <c r="BD407" s="66"/>
      <c r="BE407" s="66"/>
      <c r="BF407" s="66"/>
      <c r="BG407" s="66"/>
      <c r="BH407" s="66"/>
      <c r="BI407" s="66"/>
      <c r="BJ407" s="66"/>
      <c r="BK407" s="66"/>
      <c r="BL407" s="66"/>
      <c r="BM407" s="66"/>
      <c r="BN407" s="66"/>
      <c r="BO407" s="66"/>
      <c r="BP407" s="66"/>
      <c r="BQ407" s="66"/>
      <c r="BR407" s="66"/>
      <c r="BS407" s="66"/>
      <c r="BT407" s="66"/>
      <c r="BU407" s="66"/>
      <c r="BV407" s="66"/>
      <c r="BW407" s="66"/>
    </row>
    <row r="408" spans="1:75" ht="15.75" customHeight="1">
      <c r="A408" s="65"/>
      <c r="B408" s="66"/>
      <c r="C408" s="66"/>
      <c r="D408" s="66"/>
      <c r="E408" s="66"/>
      <c r="F408" s="65"/>
      <c r="G408" s="65"/>
      <c r="H408" s="66"/>
      <c r="I408" s="66"/>
      <c r="J408" s="66"/>
      <c r="K408" s="66"/>
      <c r="L408" s="66"/>
      <c r="M408" s="66"/>
      <c r="N408" s="66"/>
      <c r="O408" s="66"/>
      <c r="P408" s="66"/>
      <c r="Q408" s="23"/>
      <c r="AB408" s="23"/>
      <c r="AC408" s="23"/>
      <c r="AD408" s="23"/>
      <c r="AE408" s="7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71"/>
      <c r="AV408" s="10"/>
      <c r="AW408" s="23"/>
      <c r="BB408" s="66"/>
      <c r="BC408" s="66"/>
      <c r="BD408" s="66"/>
      <c r="BE408" s="66"/>
      <c r="BF408" s="66"/>
      <c r="BG408" s="66"/>
      <c r="BH408" s="66"/>
      <c r="BI408" s="66"/>
      <c r="BJ408" s="66"/>
      <c r="BK408" s="66"/>
      <c r="BL408" s="66"/>
      <c r="BM408" s="66"/>
      <c r="BN408" s="66"/>
      <c r="BO408" s="66"/>
      <c r="BP408" s="66"/>
      <c r="BQ408" s="66"/>
      <c r="BR408" s="66"/>
      <c r="BS408" s="66"/>
      <c r="BT408" s="66"/>
      <c r="BU408" s="66"/>
      <c r="BV408" s="66"/>
      <c r="BW408" s="66"/>
    </row>
    <row r="409" spans="1:75" ht="15.75" customHeight="1">
      <c r="A409" s="65"/>
      <c r="B409" s="66"/>
      <c r="C409" s="66"/>
      <c r="D409" s="66"/>
      <c r="E409" s="66"/>
      <c r="F409" s="65"/>
      <c r="G409" s="65"/>
      <c r="H409" s="66"/>
      <c r="I409" s="66"/>
      <c r="J409" s="66"/>
      <c r="K409" s="66"/>
      <c r="L409" s="66"/>
      <c r="M409" s="66"/>
      <c r="N409" s="66"/>
      <c r="O409" s="66"/>
      <c r="P409" s="66"/>
      <c r="Q409" s="23"/>
      <c r="AB409" s="23"/>
      <c r="AC409" s="23"/>
      <c r="AD409" s="23"/>
      <c r="AE409" s="7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71"/>
      <c r="AV409" s="10"/>
      <c r="AW409" s="23"/>
      <c r="BB409" s="66"/>
      <c r="BC409" s="66"/>
      <c r="BD409" s="66"/>
      <c r="BE409" s="66"/>
      <c r="BF409" s="66"/>
      <c r="BG409" s="66"/>
      <c r="BH409" s="66"/>
      <c r="BI409" s="66"/>
      <c r="BJ409" s="66"/>
      <c r="BK409" s="66"/>
      <c r="BL409" s="66"/>
      <c r="BM409" s="66"/>
      <c r="BN409" s="66"/>
      <c r="BO409" s="66"/>
      <c r="BP409" s="66"/>
      <c r="BQ409" s="66"/>
      <c r="BR409" s="66"/>
      <c r="BS409" s="66"/>
      <c r="BT409" s="66"/>
      <c r="BU409" s="66"/>
      <c r="BV409" s="66"/>
      <c r="BW409" s="66"/>
    </row>
    <row r="410" spans="1:75" ht="15.75" customHeight="1">
      <c r="A410" s="65"/>
      <c r="B410" s="66"/>
      <c r="C410" s="66"/>
      <c r="D410" s="66"/>
      <c r="E410" s="66"/>
      <c r="F410" s="65"/>
      <c r="G410" s="65"/>
      <c r="H410" s="66"/>
      <c r="I410" s="66"/>
      <c r="J410" s="66"/>
      <c r="K410" s="66"/>
      <c r="L410" s="66"/>
      <c r="M410" s="66"/>
      <c r="N410" s="66"/>
      <c r="O410" s="66"/>
      <c r="P410" s="66"/>
      <c r="Q410" s="23"/>
      <c r="AB410" s="23"/>
      <c r="AC410" s="23"/>
      <c r="AD410" s="23"/>
      <c r="AE410" s="7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71"/>
      <c r="AV410" s="10"/>
      <c r="AW410" s="23"/>
      <c r="BB410" s="66"/>
      <c r="BC410" s="66"/>
      <c r="BD410" s="66"/>
      <c r="BE410" s="66"/>
      <c r="BF410" s="66"/>
      <c r="BG410" s="66"/>
      <c r="BH410" s="66"/>
      <c r="BI410" s="66"/>
      <c r="BJ410" s="66"/>
      <c r="BK410" s="66"/>
      <c r="BL410" s="66"/>
      <c r="BM410" s="66"/>
      <c r="BN410" s="66"/>
      <c r="BO410" s="66"/>
      <c r="BP410" s="66"/>
      <c r="BQ410" s="66"/>
      <c r="BR410" s="66"/>
      <c r="BS410" s="66"/>
      <c r="BT410" s="66"/>
      <c r="BU410" s="66"/>
      <c r="BV410" s="66"/>
      <c r="BW410" s="66"/>
    </row>
    <row r="411" spans="1:75" ht="15.75" customHeight="1">
      <c r="A411" s="65"/>
      <c r="B411" s="66"/>
      <c r="C411" s="66"/>
      <c r="D411" s="66"/>
      <c r="E411" s="66"/>
      <c r="F411" s="65"/>
      <c r="G411" s="65"/>
      <c r="H411" s="66"/>
      <c r="I411" s="66"/>
      <c r="J411" s="66"/>
      <c r="K411" s="66"/>
      <c r="L411" s="66"/>
      <c r="M411" s="66"/>
      <c r="N411" s="66"/>
      <c r="O411" s="66"/>
      <c r="P411" s="66"/>
      <c r="Q411" s="23"/>
      <c r="AB411" s="23"/>
      <c r="AC411" s="23"/>
      <c r="AD411" s="23"/>
      <c r="AE411" s="7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71"/>
      <c r="AV411" s="10"/>
      <c r="AW411" s="23"/>
      <c r="BB411" s="66"/>
      <c r="BC411" s="66"/>
      <c r="BD411" s="66"/>
      <c r="BE411" s="66"/>
      <c r="BF411" s="66"/>
      <c r="BG411" s="66"/>
      <c r="BH411" s="66"/>
      <c r="BI411" s="66"/>
      <c r="BJ411" s="66"/>
      <c r="BK411" s="66"/>
      <c r="BL411" s="66"/>
      <c r="BM411" s="66"/>
      <c r="BN411" s="66"/>
      <c r="BO411" s="66"/>
      <c r="BP411" s="66"/>
      <c r="BQ411" s="66"/>
      <c r="BR411" s="66"/>
      <c r="BS411" s="66"/>
      <c r="BT411" s="66"/>
      <c r="BU411" s="66"/>
      <c r="BV411" s="66"/>
      <c r="BW411" s="66"/>
    </row>
    <row r="412" spans="1:75" ht="15.75" customHeight="1">
      <c r="A412" s="65"/>
      <c r="B412" s="66"/>
      <c r="C412" s="66"/>
      <c r="D412" s="66"/>
      <c r="E412" s="66"/>
      <c r="F412" s="65"/>
      <c r="G412" s="65"/>
      <c r="H412" s="66"/>
      <c r="I412" s="66"/>
      <c r="J412" s="66"/>
      <c r="K412" s="66"/>
      <c r="L412" s="66"/>
      <c r="M412" s="66"/>
      <c r="N412" s="66"/>
      <c r="O412" s="66"/>
      <c r="P412" s="66"/>
      <c r="Q412" s="23"/>
      <c r="AB412" s="23"/>
      <c r="AC412" s="23"/>
      <c r="AD412" s="23"/>
      <c r="AE412" s="7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71"/>
      <c r="AV412" s="10"/>
      <c r="AW412" s="23"/>
      <c r="BB412" s="66"/>
      <c r="BC412" s="66"/>
      <c r="BD412" s="66"/>
      <c r="BE412" s="66"/>
      <c r="BF412" s="66"/>
      <c r="BG412" s="66"/>
      <c r="BH412" s="66"/>
      <c r="BI412" s="66"/>
      <c r="BJ412" s="66"/>
      <c r="BK412" s="66"/>
      <c r="BL412" s="66"/>
      <c r="BM412" s="66"/>
      <c r="BN412" s="66"/>
      <c r="BO412" s="66"/>
      <c r="BP412" s="66"/>
      <c r="BQ412" s="66"/>
      <c r="BR412" s="66"/>
      <c r="BS412" s="66"/>
      <c r="BT412" s="66"/>
      <c r="BU412" s="66"/>
      <c r="BV412" s="66"/>
      <c r="BW412" s="66"/>
    </row>
    <row r="413" spans="1:75" ht="15.75" customHeight="1">
      <c r="A413" s="65"/>
      <c r="B413" s="66"/>
      <c r="C413" s="66"/>
      <c r="D413" s="66"/>
      <c r="E413" s="66"/>
      <c r="F413" s="65"/>
      <c r="G413" s="65"/>
      <c r="H413" s="66"/>
      <c r="I413" s="66"/>
      <c r="J413" s="66"/>
      <c r="K413" s="66"/>
      <c r="L413" s="66"/>
      <c r="M413" s="66"/>
      <c r="N413" s="66"/>
      <c r="O413" s="66"/>
      <c r="P413" s="66"/>
      <c r="Q413" s="23"/>
      <c r="AB413" s="23"/>
      <c r="AC413" s="23"/>
      <c r="AD413" s="23"/>
      <c r="AE413" s="7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71"/>
      <c r="AV413" s="10"/>
      <c r="AW413" s="23"/>
      <c r="BB413" s="66"/>
      <c r="BC413" s="66"/>
      <c r="BD413" s="66"/>
      <c r="BE413" s="66"/>
      <c r="BF413" s="66"/>
      <c r="BG413" s="66"/>
      <c r="BH413" s="66"/>
      <c r="BI413" s="66"/>
      <c r="BJ413" s="66"/>
      <c r="BK413" s="66"/>
      <c r="BL413" s="66"/>
      <c r="BM413" s="66"/>
      <c r="BN413" s="66"/>
      <c r="BO413" s="66"/>
      <c r="BP413" s="66"/>
      <c r="BQ413" s="66"/>
      <c r="BR413" s="66"/>
      <c r="BS413" s="66"/>
      <c r="BT413" s="66"/>
      <c r="BU413" s="66"/>
      <c r="BV413" s="66"/>
      <c r="BW413" s="66"/>
    </row>
    <row r="414" spans="1:75" ht="15.75" customHeight="1">
      <c r="A414" s="65"/>
      <c r="B414" s="66"/>
      <c r="C414" s="66"/>
      <c r="D414" s="66"/>
      <c r="E414" s="66"/>
      <c r="F414" s="65"/>
      <c r="G414" s="65"/>
      <c r="H414" s="66"/>
      <c r="I414" s="66"/>
      <c r="J414" s="66"/>
      <c r="K414" s="66"/>
      <c r="L414" s="66"/>
      <c r="M414" s="66"/>
      <c r="N414" s="66"/>
      <c r="O414" s="66"/>
      <c r="P414" s="66"/>
      <c r="Q414" s="23"/>
      <c r="AB414" s="23"/>
      <c r="AC414" s="23"/>
      <c r="AD414" s="23"/>
      <c r="AE414" s="7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71"/>
      <c r="AV414" s="10"/>
      <c r="AW414" s="23"/>
      <c r="BB414" s="66"/>
      <c r="BC414" s="66"/>
      <c r="BD414" s="66"/>
      <c r="BE414" s="66"/>
      <c r="BF414" s="66"/>
      <c r="BG414" s="66"/>
      <c r="BH414" s="66"/>
      <c r="BI414" s="66"/>
      <c r="BJ414" s="66"/>
      <c r="BK414" s="66"/>
      <c r="BL414" s="66"/>
      <c r="BM414" s="66"/>
      <c r="BN414" s="66"/>
      <c r="BO414" s="66"/>
      <c r="BP414" s="66"/>
      <c r="BQ414" s="66"/>
      <c r="BR414" s="66"/>
      <c r="BS414" s="66"/>
      <c r="BT414" s="66"/>
      <c r="BU414" s="66"/>
      <c r="BV414" s="66"/>
      <c r="BW414" s="66"/>
    </row>
    <row r="415" spans="1:75" ht="15.75" customHeight="1">
      <c r="A415" s="65"/>
      <c r="B415" s="66"/>
      <c r="C415" s="66"/>
      <c r="D415" s="66"/>
      <c r="E415" s="66"/>
      <c r="F415" s="65"/>
      <c r="G415" s="65"/>
      <c r="H415" s="66"/>
      <c r="I415" s="66"/>
      <c r="J415" s="66"/>
      <c r="K415" s="66"/>
      <c r="L415" s="66"/>
      <c r="M415" s="66"/>
      <c r="N415" s="66"/>
      <c r="O415" s="66"/>
      <c r="P415" s="66"/>
      <c r="Q415" s="23"/>
      <c r="AB415" s="23"/>
      <c r="AC415" s="23"/>
      <c r="AD415" s="23"/>
      <c r="AE415" s="7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71"/>
      <c r="AV415" s="10"/>
      <c r="AW415" s="23"/>
      <c r="BB415" s="66"/>
      <c r="BC415" s="66"/>
      <c r="BD415" s="66"/>
      <c r="BE415" s="66"/>
      <c r="BF415" s="66"/>
      <c r="BG415" s="66"/>
      <c r="BH415" s="66"/>
      <c r="BI415" s="66"/>
      <c r="BJ415" s="66"/>
      <c r="BK415" s="66"/>
      <c r="BL415" s="66"/>
      <c r="BM415" s="66"/>
      <c r="BN415" s="66"/>
      <c r="BO415" s="66"/>
      <c r="BP415" s="66"/>
      <c r="BQ415" s="66"/>
      <c r="BR415" s="66"/>
      <c r="BS415" s="66"/>
      <c r="BT415" s="66"/>
      <c r="BU415" s="66"/>
      <c r="BV415" s="66"/>
      <c r="BW415" s="66"/>
    </row>
    <row r="416" spans="1:75" ht="15.75" customHeight="1">
      <c r="A416" s="65"/>
      <c r="B416" s="66"/>
      <c r="C416" s="66"/>
      <c r="D416" s="66"/>
      <c r="E416" s="66"/>
      <c r="F416" s="65"/>
      <c r="G416" s="65"/>
      <c r="H416" s="66"/>
      <c r="I416" s="66"/>
      <c r="J416" s="66"/>
      <c r="K416" s="66"/>
      <c r="L416" s="66"/>
      <c r="M416" s="66"/>
      <c r="N416" s="66"/>
      <c r="O416" s="66"/>
      <c r="P416" s="66"/>
      <c r="Q416" s="23"/>
      <c r="AB416" s="23"/>
      <c r="AC416" s="23"/>
      <c r="AD416" s="23"/>
      <c r="AE416" s="7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71"/>
      <c r="AV416" s="10"/>
      <c r="AW416" s="23"/>
      <c r="BB416" s="66"/>
      <c r="BC416" s="66"/>
      <c r="BD416" s="66"/>
      <c r="BE416" s="66"/>
      <c r="BF416" s="66"/>
      <c r="BG416" s="66"/>
      <c r="BH416" s="66"/>
      <c r="BI416" s="66"/>
      <c r="BJ416" s="66"/>
      <c r="BK416" s="66"/>
      <c r="BL416" s="66"/>
      <c r="BM416" s="66"/>
      <c r="BN416" s="66"/>
      <c r="BO416" s="66"/>
      <c r="BP416" s="66"/>
      <c r="BQ416" s="66"/>
      <c r="BR416" s="66"/>
      <c r="BS416" s="66"/>
      <c r="BT416" s="66"/>
      <c r="BU416" s="66"/>
      <c r="BV416" s="66"/>
      <c r="BW416" s="66"/>
    </row>
    <row r="417" spans="1:75" ht="15.75" customHeight="1">
      <c r="A417" s="65"/>
      <c r="B417" s="66"/>
      <c r="C417" s="66"/>
      <c r="D417" s="66"/>
      <c r="E417" s="66"/>
      <c r="F417" s="65"/>
      <c r="G417" s="65"/>
      <c r="H417" s="66"/>
      <c r="I417" s="66"/>
      <c r="J417" s="66"/>
      <c r="K417" s="66"/>
      <c r="L417" s="66"/>
      <c r="M417" s="66"/>
      <c r="N417" s="66"/>
      <c r="O417" s="66"/>
      <c r="P417" s="66"/>
      <c r="Q417" s="23"/>
      <c r="AB417" s="23"/>
      <c r="AC417" s="23"/>
      <c r="AD417" s="23"/>
      <c r="AE417" s="7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71"/>
      <c r="AV417" s="10"/>
      <c r="AW417" s="23"/>
      <c r="BB417" s="66"/>
      <c r="BC417" s="66"/>
      <c r="BD417" s="66"/>
      <c r="BE417" s="66"/>
      <c r="BF417" s="66"/>
      <c r="BG417" s="66"/>
      <c r="BH417" s="66"/>
      <c r="BI417" s="66"/>
      <c r="BJ417" s="66"/>
      <c r="BK417" s="66"/>
      <c r="BL417" s="66"/>
      <c r="BM417" s="66"/>
      <c r="BN417" s="66"/>
      <c r="BO417" s="66"/>
      <c r="BP417" s="66"/>
      <c r="BQ417" s="66"/>
      <c r="BR417" s="66"/>
      <c r="BS417" s="66"/>
      <c r="BT417" s="66"/>
      <c r="BU417" s="66"/>
      <c r="BV417" s="66"/>
      <c r="BW417" s="66"/>
    </row>
    <row r="418" spans="1:75" ht="15.75" customHeight="1">
      <c r="A418" s="65"/>
      <c r="B418" s="66"/>
      <c r="C418" s="66"/>
      <c r="D418" s="66"/>
      <c r="E418" s="66"/>
      <c r="F418" s="65"/>
      <c r="G418" s="65"/>
      <c r="H418" s="66"/>
      <c r="I418" s="66"/>
      <c r="J418" s="66"/>
      <c r="K418" s="66"/>
      <c r="L418" s="66"/>
      <c r="M418" s="66"/>
      <c r="N418" s="66"/>
      <c r="O418" s="66"/>
      <c r="P418" s="66"/>
      <c r="Q418" s="23"/>
      <c r="AB418" s="23"/>
      <c r="AC418" s="23"/>
      <c r="AD418" s="23"/>
      <c r="AE418" s="7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71"/>
      <c r="AV418" s="10"/>
      <c r="AW418" s="23"/>
      <c r="BB418" s="66"/>
      <c r="BC418" s="66"/>
      <c r="BD418" s="66"/>
      <c r="BE418" s="66"/>
      <c r="BF418" s="66"/>
      <c r="BG418" s="66"/>
      <c r="BH418" s="66"/>
      <c r="BI418" s="66"/>
      <c r="BJ418" s="66"/>
      <c r="BK418" s="66"/>
      <c r="BL418" s="66"/>
      <c r="BM418" s="66"/>
      <c r="BN418" s="66"/>
      <c r="BO418" s="66"/>
      <c r="BP418" s="66"/>
      <c r="BQ418" s="66"/>
      <c r="BR418" s="66"/>
      <c r="BS418" s="66"/>
      <c r="BT418" s="66"/>
      <c r="BU418" s="66"/>
      <c r="BV418" s="66"/>
      <c r="BW418" s="66"/>
    </row>
    <row r="419" spans="1:75" ht="15.75" customHeight="1">
      <c r="A419" s="65"/>
      <c r="B419" s="66"/>
      <c r="C419" s="66"/>
      <c r="D419" s="66"/>
      <c r="E419" s="66"/>
      <c r="F419" s="65"/>
      <c r="G419" s="65"/>
      <c r="H419" s="66"/>
      <c r="I419" s="66"/>
      <c r="J419" s="66"/>
      <c r="K419" s="66"/>
      <c r="L419" s="66"/>
      <c r="M419" s="66"/>
      <c r="N419" s="66"/>
      <c r="O419" s="66"/>
      <c r="P419" s="66"/>
      <c r="Q419" s="23"/>
      <c r="AB419" s="23"/>
      <c r="AC419" s="23"/>
      <c r="AD419" s="23"/>
      <c r="AE419" s="7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71"/>
      <c r="AV419" s="10"/>
      <c r="AW419" s="23"/>
      <c r="BB419" s="66"/>
      <c r="BC419" s="66"/>
      <c r="BD419" s="66"/>
      <c r="BE419" s="66"/>
      <c r="BF419" s="66"/>
      <c r="BG419" s="66"/>
      <c r="BH419" s="66"/>
      <c r="BI419" s="66"/>
      <c r="BJ419" s="66"/>
      <c r="BK419" s="66"/>
      <c r="BL419" s="66"/>
      <c r="BM419" s="66"/>
      <c r="BN419" s="66"/>
      <c r="BO419" s="66"/>
      <c r="BP419" s="66"/>
      <c r="BQ419" s="66"/>
      <c r="BR419" s="66"/>
      <c r="BS419" s="66"/>
      <c r="BT419" s="66"/>
      <c r="BU419" s="66"/>
      <c r="BV419" s="66"/>
      <c r="BW419" s="66"/>
    </row>
    <row r="420" spans="1:75" ht="15.75" customHeight="1">
      <c r="A420" s="65"/>
      <c r="B420" s="66"/>
      <c r="C420" s="66"/>
      <c r="D420" s="66"/>
      <c r="E420" s="66"/>
      <c r="F420" s="65"/>
      <c r="G420" s="65"/>
      <c r="H420" s="66"/>
      <c r="I420" s="66"/>
      <c r="J420" s="66"/>
      <c r="K420" s="66"/>
      <c r="L420" s="66"/>
      <c r="M420" s="66"/>
      <c r="N420" s="66"/>
      <c r="O420" s="66"/>
      <c r="P420" s="66"/>
      <c r="Q420" s="23"/>
      <c r="AB420" s="23"/>
      <c r="AC420" s="23"/>
      <c r="AD420" s="23"/>
      <c r="AE420" s="7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71"/>
      <c r="AV420" s="10"/>
      <c r="AW420" s="23"/>
      <c r="BB420" s="66"/>
      <c r="BC420" s="66"/>
      <c r="BD420" s="66"/>
      <c r="BE420" s="66"/>
      <c r="BF420" s="66"/>
      <c r="BG420" s="66"/>
      <c r="BH420" s="66"/>
      <c r="BI420" s="66"/>
      <c r="BJ420" s="66"/>
      <c r="BK420" s="66"/>
      <c r="BL420" s="66"/>
      <c r="BM420" s="66"/>
      <c r="BN420" s="66"/>
      <c r="BO420" s="66"/>
      <c r="BP420" s="66"/>
      <c r="BQ420" s="66"/>
      <c r="BR420" s="66"/>
      <c r="BS420" s="66"/>
      <c r="BT420" s="66"/>
      <c r="BU420" s="66"/>
      <c r="BV420" s="66"/>
      <c r="BW420" s="66"/>
    </row>
    <row r="421" spans="1:75" ht="15.75" customHeight="1">
      <c r="A421" s="65"/>
      <c r="B421" s="66"/>
      <c r="C421" s="66"/>
      <c r="D421" s="66"/>
      <c r="E421" s="66"/>
      <c r="F421" s="65"/>
      <c r="G421" s="65"/>
      <c r="H421" s="66"/>
      <c r="I421" s="66"/>
      <c r="J421" s="66"/>
      <c r="K421" s="66"/>
      <c r="L421" s="66"/>
      <c r="M421" s="66"/>
      <c r="N421" s="66"/>
      <c r="O421" s="66"/>
      <c r="P421" s="66"/>
      <c r="Q421" s="23"/>
      <c r="AB421" s="23"/>
      <c r="AC421" s="23"/>
      <c r="AD421" s="23"/>
      <c r="AE421" s="7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71"/>
      <c r="AV421" s="10"/>
      <c r="AW421" s="23"/>
      <c r="BB421" s="66"/>
      <c r="BC421" s="66"/>
      <c r="BD421" s="66"/>
      <c r="BE421" s="66"/>
      <c r="BF421" s="66"/>
      <c r="BG421" s="66"/>
      <c r="BH421" s="66"/>
      <c r="BI421" s="66"/>
      <c r="BJ421" s="66"/>
      <c r="BK421" s="66"/>
      <c r="BL421" s="66"/>
      <c r="BM421" s="66"/>
      <c r="BN421" s="66"/>
      <c r="BO421" s="66"/>
      <c r="BP421" s="66"/>
      <c r="BQ421" s="66"/>
      <c r="BR421" s="66"/>
      <c r="BS421" s="66"/>
      <c r="BT421" s="66"/>
      <c r="BU421" s="66"/>
      <c r="BV421" s="66"/>
      <c r="BW421" s="66"/>
    </row>
    <row r="422" spans="1:75" ht="15.75" customHeight="1">
      <c r="A422" s="65"/>
      <c r="B422" s="66"/>
      <c r="C422" s="66"/>
      <c r="D422" s="66"/>
      <c r="E422" s="66"/>
      <c r="F422" s="65"/>
      <c r="G422" s="65"/>
      <c r="H422" s="66"/>
      <c r="I422" s="66"/>
      <c r="J422" s="66"/>
      <c r="K422" s="66"/>
      <c r="L422" s="66"/>
      <c r="M422" s="66"/>
      <c r="N422" s="66"/>
      <c r="O422" s="66"/>
      <c r="P422" s="66"/>
      <c r="Q422" s="23"/>
      <c r="AB422" s="23"/>
      <c r="AC422" s="23"/>
      <c r="AD422" s="23"/>
      <c r="AE422" s="7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71"/>
      <c r="AV422" s="10"/>
      <c r="AW422" s="23"/>
      <c r="BB422" s="66"/>
      <c r="BC422" s="66"/>
      <c r="BD422" s="66"/>
      <c r="BE422" s="66"/>
      <c r="BF422" s="66"/>
      <c r="BG422" s="66"/>
      <c r="BH422" s="66"/>
      <c r="BI422" s="66"/>
      <c r="BJ422" s="66"/>
      <c r="BK422" s="66"/>
      <c r="BL422" s="66"/>
      <c r="BM422" s="66"/>
      <c r="BN422" s="66"/>
      <c r="BO422" s="66"/>
      <c r="BP422" s="66"/>
      <c r="BQ422" s="66"/>
      <c r="BR422" s="66"/>
      <c r="BS422" s="66"/>
      <c r="BT422" s="66"/>
      <c r="BU422" s="66"/>
      <c r="BV422" s="66"/>
      <c r="BW422" s="66"/>
    </row>
    <row r="423" spans="1:75" ht="15.75" customHeight="1">
      <c r="A423" s="65"/>
      <c r="B423" s="66"/>
      <c r="C423" s="66"/>
      <c r="D423" s="66"/>
      <c r="E423" s="66"/>
      <c r="F423" s="65"/>
      <c r="G423" s="65"/>
      <c r="H423" s="66"/>
      <c r="I423" s="66"/>
      <c r="J423" s="66"/>
      <c r="K423" s="66"/>
      <c r="L423" s="66"/>
      <c r="M423" s="66"/>
      <c r="N423" s="66"/>
      <c r="O423" s="66"/>
      <c r="P423" s="66"/>
      <c r="Q423" s="23"/>
      <c r="AB423" s="23"/>
      <c r="AC423" s="23"/>
      <c r="AD423" s="23"/>
      <c r="AE423" s="7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71"/>
      <c r="AV423" s="10"/>
      <c r="AW423" s="23"/>
      <c r="BB423" s="66"/>
      <c r="BC423" s="66"/>
      <c r="BD423" s="66"/>
      <c r="BE423" s="66"/>
      <c r="BF423" s="66"/>
      <c r="BG423" s="66"/>
      <c r="BH423" s="66"/>
      <c r="BI423" s="66"/>
      <c r="BJ423" s="66"/>
      <c r="BK423" s="66"/>
      <c r="BL423" s="66"/>
      <c r="BM423" s="66"/>
      <c r="BN423" s="66"/>
      <c r="BO423" s="66"/>
      <c r="BP423" s="66"/>
      <c r="BQ423" s="66"/>
      <c r="BR423" s="66"/>
      <c r="BS423" s="66"/>
      <c r="BT423" s="66"/>
      <c r="BU423" s="66"/>
      <c r="BV423" s="66"/>
      <c r="BW423" s="66"/>
    </row>
    <row r="424" spans="1:75" ht="15.75" customHeight="1">
      <c r="A424" s="65"/>
      <c r="B424" s="66"/>
      <c r="C424" s="66"/>
      <c r="D424" s="66"/>
      <c r="E424" s="66"/>
      <c r="F424" s="65"/>
      <c r="G424" s="65"/>
      <c r="H424" s="66"/>
      <c r="I424" s="66"/>
      <c r="J424" s="66"/>
      <c r="K424" s="66"/>
      <c r="L424" s="66"/>
      <c r="M424" s="66"/>
      <c r="N424" s="66"/>
      <c r="O424" s="66"/>
      <c r="P424" s="66"/>
      <c r="Q424" s="23"/>
      <c r="AB424" s="23"/>
      <c r="AC424" s="23"/>
      <c r="AD424" s="23"/>
      <c r="AE424" s="7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71"/>
      <c r="AV424" s="10"/>
      <c r="AW424" s="23"/>
      <c r="BB424" s="66"/>
      <c r="BC424" s="66"/>
      <c r="BD424" s="66"/>
      <c r="BE424" s="66"/>
      <c r="BF424" s="66"/>
      <c r="BG424" s="66"/>
      <c r="BH424" s="66"/>
      <c r="BI424" s="66"/>
      <c r="BJ424" s="66"/>
      <c r="BK424" s="66"/>
      <c r="BL424" s="66"/>
      <c r="BM424" s="66"/>
      <c r="BN424" s="66"/>
      <c r="BO424" s="66"/>
      <c r="BP424" s="66"/>
      <c r="BQ424" s="66"/>
      <c r="BR424" s="66"/>
      <c r="BS424" s="66"/>
      <c r="BT424" s="66"/>
      <c r="BU424" s="66"/>
      <c r="BV424" s="66"/>
      <c r="BW424" s="66"/>
    </row>
    <row r="425" spans="1:75" ht="15.75" customHeight="1">
      <c r="A425" s="65"/>
      <c r="B425" s="66"/>
      <c r="C425" s="66"/>
      <c r="D425" s="66"/>
      <c r="E425" s="66"/>
      <c r="F425" s="65"/>
      <c r="G425" s="65"/>
      <c r="H425" s="66"/>
      <c r="I425" s="66"/>
      <c r="J425" s="66"/>
      <c r="K425" s="66"/>
      <c r="L425" s="66"/>
      <c r="M425" s="66"/>
      <c r="N425" s="66"/>
      <c r="O425" s="66"/>
      <c r="P425" s="66"/>
      <c r="Q425" s="23"/>
      <c r="AB425" s="23"/>
      <c r="AC425" s="23"/>
      <c r="AD425" s="23"/>
      <c r="AE425" s="7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71"/>
      <c r="AV425" s="10"/>
      <c r="AW425" s="23"/>
      <c r="BB425" s="66"/>
      <c r="BC425" s="66"/>
      <c r="BD425" s="66"/>
      <c r="BE425" s="66"/>
      <c r="BF425" s="66"/>
      <c r="BG425" s="66"/>
      <c r="BH425" s="66"/>
      <c r="BI425" s="66"/>
      <c r="BJ425" s="66"/>
      <c r="BK425" s="66"/>
      <c r="BL425" s="66"/>
      <c r="BM425" s="66"/>
      <c r="BN425" s="66"/>
      <c r="BO425" s="66"/>
      <c r="BP425" s="66"/>
      <c r="BQ425" s="66"/>
      <c r="BR425" s="66"/>
      <c r="BS425" s="66"/>
      <c r="BT425" s="66"/>
      <c r="BU425" s="66"/>
      <c r="BV425" s="66"/>
      <c r="BW425" s="66"/>
    </row>
    <row r="426" spans="1:75" ht="15.75" customHeight="1">
      <c r="A426" s="65"/>
      <c r="B426" s="66"/>
      <c r="C426" s="66"/>
      <c r="D426" s="66"/>
      <c r="E426" s="66"/>
      <c r="F426" s="65"/>
      <c r="G426" s="65"/>
      <c r="H426" s="66"/>
      <c r="I426" s="66"/>
      <c r="J426" s="66"/>
      <c r="K426" s="66"/>
      <c r="L426" s="66"/>
      <c r="M426" s="66"/>
      <c r="N426" s="66"/>
      <c r="O426" s="66"/>
      <c r="P426" s="66"/>
      <c r="Q426" s="23"/>
      <c r="AB426" s="23"/>
      <c r="AC426" s="23"/>
      <c r="AD426" s="23"/>
      <c r="AE426" s="7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71"/>
      <c r="AV426" s="10"/>
      <c r="AW426" s="23"/>
      <c r="BB426" s="66"/>
      <c r="BC426" s="66"/>
      <c r="BD426" s="66"/>
      <c r="BE426" s="66"/>
      <c r="BF426" s="66"/>
      <c r="BG426" s="66"/>
      <c r="BH426" s="66"/>
      <c r="BI426" s="66"/>
      <c r="BJ426" s="66"/>
      <c r="BK426" s="66"/>
      <c r="BL426" s="66"/>
      <c r="BM426" s="66"/>
      <c r="BN426" s="66"/>
      <c r="BO426" s="66"/>
      <c r="BP426" s="66"/>
      <c r="BQ426" s="66"/>
      <c r="BR426" s="66"/>
      <c r="BS426" s="66"/>
      <c r="BT426" s="66"/>
      <c r="BU426" s="66"/>
      <c r="BV426" s="66"/>
      <c r="BW426" s="66"/>
    </row>
    <row r="427" spans="1:75" ht="15.75" customHeight="1">
      <c r="A427" s="65"/>
      <c r="B427" s="66"/>
      <c r="C427" s="66"/>
      <c r="D427" s="66"/>
      <c r="E427" s="66"/>
      <c r="F427" s="65"/>
      <c r="G427" s="65"/>
      <c r="H427" s="66"/>
      <c r="I427" s="66"/>
      <c r="J427" s="66"/>
      <c r="K427" s="66"/>
      <c r="L427" s="66"/>
      <c r="M427" s="66"/>
      <c r="N427" s="66"/>
      <c r="O427" s="66"/>
      <c r="P427" s="66"/>
      <c r="Q427" s="23"/>
      <c r="AB427" s="23"/>
      <c r="AC427" s="23"/>
      <c r="AD427" s="23"/>
      <c r="AE427" s="7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71"/>
      <c r="AV427" s="10"/>
      <c r="AW427" s="23"/>
      <c r="BB427" s="66"/>
      <c r="BC427" s="66"/>
      <c r="BD427" s="66"/>
      <c r="BE427" s="66"/>
      <c r="BF427" s="66"/>
      <c r="BG427" s="66"/>
      <c r="BH427" s="66"/>
      <c r="BI427" s="66"/>
      <c r="BJ427" s="66"/>
      <c r="BK427" s="66"/>
      <c r="BL427" s="66"/>
      <c r="BM427" s="66"/>
      <c r="BN427" s="66"/>
      <c r="BO427" s="66"/>
      <c r="BP427" s="66"/>
      <c r="BQ427" s="66"/>
      <c r="BR427" s="66"/>
      <c r="BS427" s="66"/>
      <c r="BT427" s="66"/>
      <c r="BU427" s="66"/>
      <c r="BV427" s="66"/>
      <c r="BW427" s="66"/>
    </row>
    <row r="428" spans="1:75" ht="15.75" customHeight="1">
      <c r="A428" s="65"/>
      <c r="B428" s="66"/>
      <c r="C428" s="66"/>
      <c r="D428" s="66"/>
      <c r="E428" s="66"/>
      <c r="F428" s="65"/>
      <c r="G428" s="65"/>
      <c r="H428" s="66"/>
      <c r="I428" s="66"/>
      <c r="J428" s="66"/>
      <c r="K428" s="66"/>
      <c r="L428" s="66"/>
      <c r="M428" s="66"/>
      <c r="N428" s="66"/>
      <c r="O428" s="66"/>
      <c r="P428" s="66"/>
      <c r="Q428" s="23"/>
      <c r="AB428" s="23"/>
      <c r="AC428" s="23"/>
      <c r="AD428" s="23"/>
      <c r="AE428" s="7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71"/>
      <c r="AV428" s="10"/>
      <c r="AW428" s="23"/>
      <c r="BB428" s="66"/>
      <c r="BC428" s="66"/>
      <c r="BD428" s="66"/>
      <c r="BE428" s="66"/>
      <c r="BF428" s="66"/>
      <c r="BG428" s="66"/>
      <c r="BH428" s="66"/>
      <c r="BI428" s="66"/>
      <c r="BJ428" s="66"/>
      <c r="BK428" s="66"/>
      <c r="BL428" s="66"/>
      <c r="BM428" s="66"/>
      <c r="BN428" s="66"/>
      <c r="BO428" s="66"/>
      <c r="BP428" s="66"/>
      <c r="BQ428" s="66"/>
      <c r="BR428" s="66"/>
      <c r="BS428" s="66"/>
      <c r="BT428" s="66"/>
      <c r="BU428" s="66"/>
      <c r="BV428" s="66"/>
      <c r="BW428" s="66"/>
    </row>
    <row r="429" spans="1:75" ht="15.75" customHeight="1">
      <c r="A429" s="65"/>
      <c r="B429" s="66"/>
      <c r="C429" s="66"/>
      <c r="D429" s="66"/>
      <c r="E429" s="66"/>
      <c r="F429" s="65"/>
      <c r="G429" s="65"/>
      <c r="H429" s="66"/>
      <c r="I429" s="66"/>
      <c r="J429" s="66"/>
      <c r="K429" s="66"/>
      <c r="L429" s="66"/>
      <c r="M429" s="66"/>
      <c r="N429" s="66"/>
      <c r="O429" s="66"/>
      <c r="P429" s="66"/>
      <c r="Q429" s="23"/>
      <c r="AB429" s="23"/>
      <c r="AC429" s="23"/>
      <c r="AD429" s="23"/>
      <c r="AE429" s="7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71"/>
      <c r="AV429" s="10"/>
      <c r="AW429" s="23"/>
      <c r="BB429" s="66"/>
      <c r="BC429" s="66"/>
      <c r="BD429" s="66"/>
      <c r="BE429" s="66"/>
      <c r="BF429" s="66"/>
      <c r="BG429" s="66"/>
      <c r="BH429" s="66"/>
      <c r="BI429" s="66"/>
      <c r="BJ429" s="66"/>
      <c r="BK429" s="66"/>
      <c r="BL429" s="66"/>
      <c r="BM429" s="66"/>
      <c r="BN429" s="66"/>
      <c r="BO429" s="66"/>
      <c r="BP429" s="66"/>
      <c r="BQ429" s="66"/>
      <c r="BR429" s="66"/>
      <c r="BS429" s="66"/>
      <c r="BT429" s="66"/>
      <c r="BU429" s="66"/>
      <c r="BV429" s="66"/>
      <c r="BW429" s="66"/>
    </row>
    <row r="430" spans="1:75" ht="15.75" customHeight="1">
      <c r="A430" s="65"/>
      <c r="B430" s="66"/>
      <c r="C430" s="66"/>
      <c r="D430" s="66"/>
      <c r="E430" s="66"/>
      <c r="F430" s="65"/>
      <c r="G430" s="65"/>
      <c r="H430" s="66"/>
      <c r="I430" s="66"/>
      <c r="J430" s="66"/>
      <c r="K430" s="66"/>
      <c r="L430" s="66"/>
      <c r="M430" s="66"/>
      <c r="N430" s="66"/>
      <c r="O430" s="66"/>
      <c r="P430" s="66"/>
      <c r="Q430" s="23"/>
      <c r="AB430" s="23"/>
      <c r="AC430" s="23"/>
      <c r="AD430" s="23"/>
      <c r="AE430" s="7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71"/>
      <c r="AV430" s="10"/>
      <c r="AW430" s="23"/>
      <c r="BB430" s="66"/>
      <c r="BC430" s="66"/>
      <c r="BD430" s="66"/>
      <c r="BE430" s="66"/>
      <c r="BF430" s="66"/>
      <c r="BG430" s="66"/>
      <c r="BH430" s="66"/>
      <c r="BI430" s="66"/>
      <c r="BJ430" s="66"/>
      <c r="BK430" s="66"/>
      <c r="BL430" s="66"/>
      <c r="BM430" s="66"/>
      <c r="BN430" s="66"/>
      <c r="BO430" s="66"/>
      <c r="BP430" s="66"/>
      <c r="BQ430" s="66"/>
      <c r="BR430" s="66"/>
      <c r="BS430" s="66"/>
      <c r="BT430" s="66"/>
      <c r="BU430" s="66"/>
      <c r="BV430" s="66"/>
      <c r="BW430" s="66"/>
    </row>
    <row r="431" spans="1:75" ht="15.75" customHeight="1">
      <c r="A431" s="65"/>
      <c r="B431" s="66"/>
      <c r="C431" s="66"/>
      <c r="D431" s="66"/>
      <c r="E431" s="66"/>
      <c r="F431" s="65"/>
      <c r="G431" s="65"/>
      <c r="H431" s="66"/>
      <c r="I431" s="66"/>
      <c r="J431" s="66"/>
      <c r="K431" s="66"/>
      <c r="L431" s="66"/>
      <c r="M431" s="66"/>
      <c r="N431" s="66"/>
      <c r="O431" s="66"/>
      <c r="P431" s="66"/>
      <c r="Q431" s="23"/>
      <c r="AB431" s="23"/>
      <c r="AC431" s="23"/>
      <c r="AD431" s="23"/>
      <c r="AE431" s="7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71"/>
      <c r="AV431" s="10"/>
      <c r="AW431" s="23"/>
      <c r="BB431" s="66"/>
      <c r="BC431" s="66"/>
      <c r="BD431" s="66"/>
      <c r="BE431" s="66"/>
      <c r="BF431" s="66"/>
      <c r="BG431" s="66"/>
      <c r="BH431" s="66"/>
      <c r="BI431" s="66"/>
      <c r="BJ431" s="66"/>
      <c r="BK431" s="66"/>
      <c r="BL431" s="66"/>
      <c r="BM431" s="66"/>
      <c r="BN431" s="66"/>
      <c r="BO431" s="66"/>
      <c r="BP431" s="66"/>
      <c r="BQ431" s="66"/>
      <c r="BR431" s="66"/>
      <c r="BS431" s="66"/>
      <c r="BT431" s="66"/>
      <c r="BU431" s="66"/>
      <c r="BV431" s="66"/>
      <c r="BW431" s="66"/>
    </row>
    <row r="432" spans="1:75" ht="15.75" customHeight="1">
      <c r="A432" s="65"/>
      <c r="B432" s="66"/>
      <c r="C432" s="66"/>
      <c r="D432" s="66"/>
      <c r="E432" s="66"/>
      <c r="F432" s="65"/>
      <c r="G432" s="65"/>
      <c r="H432" s="66"/>
      <c r="I432" s="66"/>
      <c r="J432" s="66"/>
      <c r="K432" s="66"/>
      <c r="L432" s="66"/>
      <c r="M432" s="66"/>
      <c r="N432" s="66"/>
      <c r="O432" s="66"/>
      <c r="P432" s="66"/>
      <c r="Q432" s="23"/>
      <c r="AB432" s="23"/>
      <c r="AC432" s="23"/>
      <c r="AD432" s="23"/>
      <c r="AE432" s="7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71"/>
      <c r="AV432" s="10"/>
      <c r="AW432" s="23"/>
      <c r="BB432" s="66"/>
      <c r="BC432" s="66"/>
      <c r="BD432" s="66"/>
      <c r="BE432" s="66"/>
      <c r="BF432" s="66"/>
      <c r="BG432" s="66"/>
      <c r="BH432" s="66"/>
      <c r="BI432" s="66"/>
      <c r="BJ432" s="66"/>
      <c r="BK432" s="66"/>
      <c r="BL432" s="66"/>
      <c r="BM432" s="66"/>
      <c r="BN432" s="66"/>
      <c r="BO432" s="66"/>
      <c r="BP432" s="66"/>
      <c r="BQ432" s="66"/>
      <c r="BR432" s="66"/>
      <c r="BS432" s="66"/>
      <c r="BT432" s="66"/>
      <c r="BU432" s="66"/>
      <c r="BV432" s="66"/>
      <c r="BW432" s="66"/>
    </row>
    <row r="433" spans="1:75" ht="15.75" customHeight="1">
      <c r="A433" s="65"/>
      <c r="B433" s="66"/>
      <c r="C433" s="66"/>
      <c r="D433" s="66"/>
      <c r="E433" s="66"/>
      <c r="F433" s="65"/>
      <c r="G433" s="65"/>
      <c r="H433" s="66"/>
      <c r="I433" s="66"/>
      <c r="J433" s="66"/>
      <c r="K433" s="66"/>
      <c r="L433" s="66"/>
      <c r="M433" s="66"/>
      <c r="N433" s="66"/>
      <c r="O433" s="66"/>
      <c r="P433" s="66"/>
      <c r="Q433" s="23"/>
      <c r="AB433" s="23"/>
      <c r="AC433" s="23"/>
      <c r="AD433" s="23"/>
      <c r="AE433" s="7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71"/>
      <c r="AV433" s="10"/>
      <c r="AW433" s="23"/>
      <c r="BB433" s="66"/>
      <c r="BC433" s="66"/>
      <c r="BD433" s="66"/>
      <c r="BE433" s="66"/>
      <c r="BF433" s="66"/>
      <c r="BG433" s="66"/>
      <c r="BH433" s="66"/>
      <c r="BI433" s="66"/>
      <c r="BJ433" s="66"/>
      <c r="BK433" s="66"/>
      <c r="BL433" s="66"/>
      <c r="BM433" s="66"/>
      <c r="BN433" s="66"/>
      <c r="BO433" s="66"/>
      <c r="BP433" s="66"/>
      <c r="BQ433" s="66"/>
      <c r="BR433" s="66"/>
      <c r="BS433" s="66"/>
      <c r="BT433" s="66"/>
      <c r="BU433" s="66"/>
      <c r="BV433" s="66"/>
      <c r="BW433" s="66"/>
    </row>
    <row r="434" spans="1:75" ht="15.75" customHeight="1">
      <c r="A434" s="65"/>
      <c r="B434" s="66"/>
      <c r="C434" s="66"/>
      <c r="D434" s="66"/>
      <c r="E434" s="66"/>
      <c r="F434" s="65"/>
      <c r="G434" s="65"/>
      <c r="H434" s="66"/>
      <c r="I434" s="66"/>
      <c r="J434" s="66"/>
      <c r="K434" s="66"/>
      <c r="L434" s="66"/>
      <c r="M434" s="66"/>
      <c r="N434" s="66"/>
      <c r="O434" s="66"/>
      <c r="P434" s="66"/>
      <c r="Q434" s="23"/>
      <c r="AB434" s="23"/>
      <c r="AC434" s="23"/>
      <c r="AD434" s="23"/>
      <c r="AE434" s="7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71"/>
      <c r="AV434" s="10"/>
      <c r="AW434" s="23"/>
      <c r="BB434" s="66"/>
      <c r="BC434" s="66"/>
      <c r="BD434" s="66"/>
      <c r="BE434" s="66"/>
      <c r="BF434" s="66"/>
      <c r="BG434" s="66"/>
      <c r="BH434" s="66"/>
      <c r="BI434" s="66"/>
      <c r="BJ434" s="66"/>
      <c r="BK434" s="66"/>
      <c r="BL434" s="66"/>
      <c r="BM434" s="66"/>
      <c r="BN434" s="66"/>
      <c r="BO434" s="66"/>
      <c r="BP434" s="66"/>
      <c r="BQ434" s="66"/>
      <c r="BR434" s="66"/>
      <c r="BS434" s="66"/>
      <c r="BT434" s="66"/>
      <c r="BU434" s="66"/>
      <c r="BV434" s="66"/>
      <c r="BW434" s="66"/>
    </row>
    <row r="435" spans="1:75" ht="15.75" customHeight="1">
      <c r="A435" s="65"/>
      <c r="B435" s="66"/>
      <c r="C435" s="66"/>
      <c r="D435" s="66"/>
      <c r="E435" s="66"/>
      <c r="F435" s="65"/>
      <c r="G435" s="65"/>
      <c r="H435" s="66"/>
      <c r="I435" s="66"/>
      <c r="J435" s="66"/>
      <c r="K435" s="66"/>
      <c r="L435" s="66"/>
      <c r="M435" s="66"/>
      <c r="N435" s="66"/>
      <c r="O435" s="66"/>
      <c r="P435" s="66"/>
      <c r="Q435" s="23"/>
      <c r="AB435" s="23"/>
      <c r="AC435" s="23"/>
      <c r="AD435" s="23"/>
      <c r="AE435" s="7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71"/>
      <c r="AV435" s="10"/>
      <c r="AW435" s="23"/>
      <c r="BB435" s="66"/>
      <c r="BC435" s="66"/>
      <c r="BD435" s="66"/>
      <c r="BE435" s="66"/>
      <c r="BF435" s="66"/>
      <c r="BG435" s="66"/>
      <c r="BH435" s="66"/>
      <c r="BI435" s="66"/>
      <c r="BJ435" s="66"/>
      <c r="BK435" s="66"/>
      <c r="BL435" s="66"/>
      <c r="BM435" s="66"/>
      <c r="BN435" s="66"/>
      <c r="BO435" s="66"/>
      <c r="BP435" s="66"/>
      <c r="BQ435" s="66"/>
      <c r="BR435" s="66"/>
      <c r="BS435" s="66"/>
      <c r="BT435" s="66"/>
      <c r="BU435" s="66"/>
      <c r="BV435" s="66"/>
      <c r="BW435" s="66"/>
    </row>
    <row r="436" spans="1:75" ht="15.75" customHeight="1">
      <c r="A436" s="65"/>
      <c r="B436" s="66"/>
      <c r="C436" s="66"/>
      <c r="D436" s="66"/>
      <c r="E436" s="66"/>
      <c r="F436" s="65"/>
      <c r="G436" s="65"/>
      <c r="H436" s="66"/>
      <c r="I436" s="66"/>
      <c r="J436" s="66"/>
      <c r="K436" s="66"/>
      <c r="L436" s="66"/>
      <c r="M436" s="66"/>
      <c r="N436" s="66"/>
      <c r="O436" s="66"/>
      <c r="P436" s="66"/>
      <c r="Q436" s="23"/>
      <c r="AB436" s="23"/>
      <c r="AC436" s="23"/>
      <c r="AD436" s="23"/>
      <c r="AE436" s="7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71"/>
      <c r="AV436" s="10"/>
      <c r="AW436" s="23"/>
      <c r="BB436" s="66"/>
      <c r="BC436" s="66"/>
      <c r="BD436" s="66"/>
      <c r="BE436" s="66"/>
      <c r="BF436" s="66"/>
      <c r="BG436" s="66"/>
      <c r="BH436" s="66"/>
      <c r="BI436" s="66"/>
      <c r="BJ436" s="66"/>
      <c r="BK436" s="66"/>
      <c r="BL436" s="66"/>
      <c r="BM436" s="66"/>
      <c r="BN436" s="66"/>
      <c r="BO436" s="66"/>
      <c r="BP436" s="66"/>
      <c r="BQ436" s="66"/>
      <c r="BR436" s="66"/>
      <c r="BS436" s="66"/>
      <c r="BT436" s="66"/>
      <c r="BU436" s="66"/>
      <c r="BV436" s="66"/>
      <c r="BW436" s="66"/>
    </row>
    <row r="437" spans="1:75" ht="15.75" customHeight="1">
      <c r="A437" s="65"/>
      <c r="B437" s="66"/>
      <c r="C437" s="66"/>
      <c r="D437" s="66"/>
      <c r="E437" s="66"/>
      <c r="F437" s="65"/>
      <c r="G437" s="65"/>
      <c r="H437" s="66"/>
      <c r="I437" s="66"/>
      <c r="J437" s="66"/>
      <c r="K437" s="66"/>
      <c r="L437" s="66"/>
      <c r="M437" s="66"/>
      <c r="N437" s="66"/>
      <c r="O437" s="66"/>
      <c r="P437" s="66"/>
      <c r="Q437" s="23"/>
      <c r="AB437" s="23"/>
      <c r="AC437" s="23"/>
      <c r="AD437" s="23"/>
      <c r="AE437" s="7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71"/>
      <c r="AV437" s="10"/>
      <c r="AW437" s="23"/>
      <c r="BB437" s="66"/>
      <c r="BC437" s="66"/>
      <c r="BD437" s="66"/>
      <c r="BE437" s="66"/>
      <c r="BF437" s="66"/>
      <c r="BG437" s="66"/>
      <c r="BH437" s="66"/>
      <c r="BI437" s="66"/>
      <c r="BJ437" s="66"/>
      <c r="BK437" s="66"/>
      <c r="BL437" s="66"/>
      <c r="BM437" s="66"/>
      <c r="BN437" s="66"/>
      <c r="BO437" s="66"/>
      <c r="BP437" s="66"/>
      <c r="BQ437" s="66"/>
      <c r="BR437" s="66"/>
      <c r="BS437" s="66"/>
      <c r="BT437" s="66"/>
      <c r="BU437" s="66"/>
      <c r="BV437" s="66"/>
      <c r="BW437" s="66"/>
    </row>
    <row r="438" spans="1:75" ht="15.75" customHeight="1">
      <c r="A438" s="65"/>
      <c r="B438" s="66"/>
      <c r="C438" s="66"/>
      <c r="D438" s="66"/>
      <c r="E438" s="66"/>
      <c r="F438" s="65"/>
      <c r="G438" s="65"/>
      <c r="H438" s="66"/>
      <c r="I438" s="66"/>
      <c r="J438" s="66"/>
      <c r="K438" s="66"/>
      <c r="L438" s="66"/>
      <c r="M438" s="66"/>
      <c r="N438" s="66"/>
      <c r="O438" s="66"/>
      <c r="P438" s="66"/>
      <c r="Q438" s="23"/>
      <c r="AB438" s="23"/>
      <c r="AC438" s="23"/>
      <c r="AD438" s="23"/>
      <c r="AE438" s="7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71"/>
      <c r="AV438" s="10"/>
      <c r="AW438" s="23"/>
      <c r="BB438" s="66"/>
      <c r="BC438" s="66"/>
      <c r="BD438" s="66"/>
      <c r="BE438" s="66"/>
      <c r="BF438" s="66"/>
      <c r="BG438" s="66"/>
      <c r="BH438" s="66"/>
      <c r="BI438" s="66"/>
      <c r="BJ438" s="66"/>
      <c r="BK438" s="66"/>
      <c r="BL438" s="66"/>
      <c r="BM438" s="66"/>
      <c r="BN438" s="66"/>
      <c r="BO438" s="66"/>
      <c r="BP438" s="66"/>
      <c r="BQ438" s="66"/>
      <c r="BR438" s="66"/>
      <c r="BS438" s="66"/>
      <c r="BT438" s="66"/>
      <c r="BU438" s="66"/>
      <c r="BV438" s="66"/>
      <c r="BW438" s="66"/>
    </row>
    <row r="439" spans="1:75" ht="15.75" customHeight="1">
      <c r="A439" s="65"/>
      <c r="B439" s="66"/>
      <c r="C439" s="66"/>
      <c r="D439" s="66"/>
      <c r="E439" s="66"/>
      <c r="F439" s="65"/>
      <c r="G439" s="65"/>
      <c r="H439" s="66"/>
      <c r="I439" s="66"/>
      <c r="J439" s="66"/>
      <c r="K439" s="66"/>
      <c r="L439" s="66"/>
      <c r="M439" s="66"/>
      <c r="N439" s="66"/>
      <c r="O439" s="66"/>
      <c r="P439" s="66"/>
      <c r="Q439" s="23"/>
      <c r="AB439" s="23"/>
      <c r="AC439" s="23"/>
      <c r="AD439" s="23"/>
      <c r="AE439" s="7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71"/>
      <c r="AV439" s="10"/>
      <c r="AW439" s="23"/>
      <c r="BB439" s="66"/>
      <c r="BC439" s="66"/>
      <c r="BD439" s="66"/>
      <c r="BE439" s="66"/>
      <c r="BF439" s="66"/>
      <c r="BG439" s="66"/>
      <c r="BH439" s="66"/>
      <c r="BI439" s="66"/>
      <c r="BJ439" s="66"/>
      <c r="BK439" s="66"/>
      <c r="BL439" s="66"/>
      <c r="BM439" s="66"/>
      <c r="BN439" s="66"/>
      <c r="BO439" s="66"/>
      <c r="BP439" s="66"/>
      <c r="BQ439" s="66"/>
      <c r="BR439" s="66"/>
      <c r="BS439" s="66"/>
      <c r="BT439" s="66"/>
      <c r="BU439" s="66"/>
      <c r="BV439" s="66"/>
      <c r="BW439" s="66"/>
    </row>
    <row r="440" spans="1:75" ht="15.75" customHeight="1">
      <c r="A440" s="65"/>
      <c r="B440" s="66"/>
      <c r="C440" s="66"/>
      <c r="D440" s="66"/>
      <c r="E440" s="66"/>
      <c r="F440" s="65"/>
      <c r="G440" s="65"/>
      <c r="H440" s="66"/>
      <c r="I440" s="66"/>
      <c r="J440" s="66"/>
      <c r="K440" s="66"/>
      <c r="L440" s="66"/>
      <c r="M440" s="66"/>
      <c r="N440" s="66"/>
      <c r="O440" s="66"/>
      <c r="P440" s="66"/>
      <c r="Q440" s="23"/>
      <c r="AB440" s="23"/>
      <c r="AC440" s="23"/>
      <c r="AD440" s="23"/>
      <c r="AE440" s="7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71"/>
      <c r="AV440" s="10"/>
      <c r="AW440" s="23"/>
      <c r="BB440" s="66"/>
      <c r="BC440" s="66"/>
      <c r="BD440" s="66"/>
      <c r="BE440" s="66"/>
      <c r="BF440" s="66"/>
      <c r="BG440" s="66"/>
      <c r="BH440" s="66"/>
      <c r="BI440" s="66"/>
      <c r="BJ440" s="66"/>
      <c r="BK440" s="66"/>
      <c r="BL440" s="66"/>
      <c r="BM440" s="66"/>
      <c r="BN440" s="66"/>
      <c r="BO440" s="66"/>
      <c r="BP440" s="66"/>
      <c r="BQ440" s="66"/>
      <c r="BR440" s="66"/>
      <c r="BS440" s="66"/>
      <c r="BT440" s="66"/>
      <c r="BU440" s="66"/>
      <c r="BV440" s="66"/>
      <c r="BW440" s="66"/>
    </row>
    <row r="441" spans="1:75" ht="15.75" customHeight="1">
      <c r="A441" s="65"/>
      <c r="B441" s="66"/>
      <c r="C441" s="66"/>
      <c r="D441" s="66"/>
      <c r="E441" s="66"/>
      <c r="F441" s="65"/>
      <c r="G441" s="65"/>
      <c r="H441" s="66"/>
      <c r="I441" s="66"/>
      <c r="J441" s="66"/>
      <c r="K441" s="66"/>
      <c r="L441" s="66"/>
      <c r="M441" s="66"/>
      <c r="N441" s="66"/>
      <c r="O441" s="66"/>
      <c r="P441" s="66"/>
      <c r="Q441" s="23"/>
      <c r="AB441" s="23"/>
      <c r="AC441" s="23"/>
      <c r="AD441" s="23"/>
      <c r="AE441" s="7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71"/>
      <c r="AV441" s="10"/>
      <c r="AW441" s="23"/>
      <c r="BB441" s="66"/>
      <c r="BC441" s="66"/>
      <c r="BD441" s="66"/>
      <c r="BE441" s="66"/>
      <c r="BF441" s="66"/>
      <c r="BG441" s="66"/>
      <c r="BH441" s="66"/>
      <c r="BI441" s="66"/>
      <c r="BJ441" s="66"/>
      <c r="BK441" s="66"/>
      <c r="BL441" s="66"/>
      <c r="BM441" s="66"/>
      <c r="BN441" s="66"/>
      <c r="BO441" s="66"/>
      <c r="BP441" s="66"/>
      <c r="BQ441" s="66"/>
      <c r="BR441" s="66"/>
      <c r="BS441" s="66"/>
      <c r="BT441" s="66"/>
      <c r="BU441" s="66"/>
      <c r="BV441" s="66"/>
      <c r="BW441" s="66"/>
    </row>
    <row r="442" spans="1:75" ht="15.75" customHeight="1">
      <c r="A442" s="65"/>
      <c r="B442" s="66"/>
      <c r="C442" s="66"/>
      <c r="D442" s="66"/>
      <c r="E442" s="66"/>
      <c r="F442" s="65"/>
      <c r="G442" s="65"/>
      <c r="H442" s="66"/>
      <c r="I442" s="66"/>
      <c r="J442" s="66"/>
      <c r="K442" s="66"/>
      <c r="L442" s="66"/>
      <c r="M442" s="66"/>
      <c r="N442" s="66"/>
      <c r="O442" s="66"/>
      <c r="P442" s="66"/>
      <c r="Q442" s="23"/>
      <c r="AB442" s="23"/>
      <c r="AC442" s="23"/>
      <c r="AD442" s="23"/>
      <c r="AE442" s="7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71"/>
      <c r="AV442" s="10"/>
      <c r="AW442" s="23"/>
      <c r="BB442" s="66"/>
      <c r="BC442" s="66"/>
      <c r="BD442" s="66"/>
      <c r="BE442" s="66"/>
      <c r="BF442" s="66"/>
      <c r="BG442" s="66"/>
      <c r="BH442" s="66"/>
      <c r="BI442" s="66"/>
      <c r="BJ442" s="66"/>
      <c r="BK442" s="66"/>
      <c r="BL442" s="66"/>
      <c r="BM442" s="66"/>
      <c r="BN442" s="66"/>
      <c r="BO442" s="66"/>
      <c r="BP442" s="66"/>
      <c r="BQ442" s="66"/>
      <c r="BR442" s="66"/>
      <c r="BS442" s="66"/>
      <c r="BT442" s="66"/>
      <c r="BU442" s="66"/>
      <c r="BV442" s="66"/>
      <c r="BW442" s="66"/>
    </row>
    <row r="443" spans="1:75" ht="15.75" customHeight="1">
      <c r="A443" s="65"/>
      <c r="B443" s="66"/>
      <c r="C443" s="66"/>
      <c r="D443" s="66"/>
      <c r="E443" s="66"/>
      <c r="F443" s="65"/>
      <c r="G443" s="65"/>
      <c r="H443" s="66"/>
      <c r="I443" s="66"/>
      <c r="J443" s="66"/>
      <c r="K443" s="66"/>
      <c r="L443" s="66"/>
      <c r="M443" s="66"/>
      <c r="N443" s="66"/>
      <c r="O443" s="66"/>
      <c r="P443" s="66"/>
      <c r="Q443" s="23"/>
      <c r="AB443" s="23"/>
      <c r="AC443" s="23"/>
      <c r="AD443" s="23"/>
      <c r="AE443" s="7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71"/>
      <c r="AV443" s="10"/>
      <c r="AW443" s="23"/>
      <c r="BB443" s="66"/>
      <c r="BC443" s="66"/>
      <c r="BD443" s="66"/>
      <c r="BE443" s="66"/>
      <c r="BF443" s="66"/>
      <c r="BG443" s="66"/>
      <c r="BH443" s="66"/>
      <c r="BI443" s="66"/>
      <c r="BJ443" s="66"/>
      <c r="BK443" s="66"/>
      <c r="BL443" s="66"/>
      <c r="BM443" s="66"/>
      <c r="BN443" s="66"/>
      <c r="BO443" s="66"/>
      <c r="BP443" s="66"/>
      <c r="BQ443" s="66"/>
      <c r="BR443" s="66"/>
      <c r="BS443" s="66"/>
      <c r="BT443" s="66"/>
      <c r="BU443" s="66"/>
      <c r="BV443" s="66"/>
      <c r="BW443" s="66"/>
    </row>
    <row r="444" spans="1:75" ht="15.75" customHeight="1">
      <c r="A444" s="65"/>
      <c r="B444" s="66"/>
      <c r="C444" s="66"/>
      <c r="D444" s="66"/>
      <c r="E444" s="66"/>
      <c r="F444" s="65"/>
      <c r="G444" s="65"/>
      <c r="H444" s="66"/>
      <c r="I444" s="66"/>
      <c r="J444" s="66"/>
      <c r="K444" s="66"/>
      <c r="L444" s="66"/>
      <c r="M444" s="66"/>
      <c r="N444" s="66"/>
      <c r="O444" s="66"/>
      <c r="P444" s="66"/>
      <c r="Q444" s="23"/>
      <c r="AB444" s="23"/>
      <c r="AC444" s="23"/>
      <c r="AD444" s="23"/>
      <c r="AE444" s="7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71"/>
      <c r="AV444" s="10"/>
      <c r="AW444" s="23"/>
      <c r="BB444" s="66"/>
      <c r="BC444" s="66"/>
      <c r="BD444" s="66"/>
      <c r="BE444" s="66"/>
      <c r="BF444" s="66"/>
      <c r="BG444" s="66"/>
      <c r="BH444" s="66"/>
      <c r="BI444" s="66"/>
      <c r="BJ444" s="66"/>
      <c r="BK444" s="66"/>
      <c r="BL444" s="66"/>
      <c r="BM444" s="66"/>
      <c r="BN444" s="66"/>
      <c r="BO444" s="66"/>
      <c r="BP444" s="66"/>
      <c r="BQ444" s="66"/>
      <c r="BR444" s="66"/>
      <c r="BS444" s="66"/>
      <c r="BT444" s="66"/>
      <c r="BU444" s="66"/>
      <c r="BV444" s="66"/>
      <c r="BW444" s="66"/>
    </row>
    <row r="445" spans="1:75" ht="15.75" customHeight="1">
      <c r="A445" s="65"/>
      <c r="B445" s="66"/>
      <c r="C445" s="66"/>
      <c r="D445" s="66"/>
      <c r="E445" s="66"/>
      <c r="F445" s="65"/>
      <c r="G445" s="65"/>
      <c r="H445" s="66"/>
      <c r="I445" s="66"/>
      <c r="J445" s="66"/>
      <c r="K445" s="66"/>
      <c r="L445" s="66"/>
      <c r="M445" s="66"/>
      <c r="N445" s="66"/>
      <c r="O445" s="66"/>
      <c r="P445" s="66"/>
      <c r="Q445" s="23"/>
      <c r="AB445" s="23"/>
      <c r="AC445" s="23"/>
      <c r="AD445" s="23"/>
      <c r="AE445" s="7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71"/>
      <c r="AV445" s="10"/>
      <c r="AW445" s="23"/>
      <c r="BB445" s="66"/>
      <c r="BC445" s="66"/>
      <c r="BD445" s="66"/>
      <c r="BE445" s="66"/>
      <c r="BF445" s="66"/>
      <c r="BG445" s="66"/>
      <c r="BH445" s="66"/>
      <c r="BI445" s="66"/>
      <c r="BJ445" s="66"/>
      <c r="BK445" s="66"/>
      <c r="BL445" s="66"/>
      <c r="BM445" s="66"/>
      <c r="BN445" s="66"/>
      <c r="BO445" s="66"/>
      <c r="BP445" s="66"/>
      <c r="BQ445" s="66"/>
      <c r="BR445" s="66"/>
      <c r="BS445" s="66"/>
      <c r="BT445" s="66"/>
      <c r="BU445" s="66"/>
      <c r="BV445" s="66"/>
      <c r="BW445" s="66"/>
    </row>
    <row r="446" spans="1:75" ht="15.75" customHeight="1">
      <c r="A446" s="65"/>
      <c r="B446" s="66"/>
      <c r="C446" s="66"/>
      <c r="D446" s="66"/>
      <c r="E446" s="66"/>
      <c r="F446" s="65"/>
      <c r="G446" s="65"/>
      <c r="H446" s="66"/>
      <c r="I446" s="66"/>
      <c r="J446" s="66"/>
      <c r="K446" s="66"/>
      <c r="L446" s="66"/>
      <c r="M446" s="66"/>
      <c r="N446" s="66"/>
      <c r="O446" s="66"/>
      <c r="P446" s="66"/>
      <c r="Q446" s="23"/>
      <c r="AB446" s="23"/>
      <c r="AC446" s="23"/>
      <c r="AD446" s="23"/>
      <c r="AE446" s="7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71"/>
      <c r="AV446" s="10"/>
      <c r="AW446" s="23"/>
      <c r="BB446" s="66"/>
      <c r="BC446" s="66"/>
      <c r="BD446" s="66"/>
      <c r="BE446" s="66"/>
      <c r="BF446" s="66"/>
      <c r="BG446" s="66"/>
      <c r="BH446" s="66"/>
      <c r="BI446" s="66"/>
      <c r="BJ446" s="66"/>
      <c r="BK446" s="66"/>
      <c r="BL446" s="66"/>
      <c r="BM446" s="66"/>
      <c r="BN446" s="66"/>
      <c r="BO446" s="66"/>
      <c r="BP446" s="66"/>
      <c r="BQ446" s="66"/>
      <c r="BR446" s="66"/>
      <c r="BS446" s="66"/>
      <c r="BT446" s="66"/>
      <c r="BU446" s="66"/>
      <c r="BV446" s="66"/>
      <c r="BW446" s="66"/>
    </row>
    <row r="447" spans="1:75" ht="15.75" customHeight="1">
      <c r="A447" s="65"/>
      <c r="B447" s="66"/>
      <c r="C447" s="66"/>
      <c r="D447" s="66"/>
      <c r="E447" s="66"/>
      <c r="F447" s="65"/>
      <c r="G447" s="65"/>
      <c r="H447" s="66"/>
      <c r="I447" s="66"/>
      <c r="J447" s="66"/>
      <c r="K447" s="66"/>
      <c r="L447" s="66"/>
      <c r="M447" s="66"/>
      <c r="N447" s="66"/>
      <c r="O447" s="66"/>
      <c r="P447" s="66"/>
      <c r="Q447" s="23"/>
      <c r="AB447" s="23"/>
      <c r="AC447" s="23"/>
      <c r="AD447" s="23"/>
      <c r="AE447" s="7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71"/>
      <c r="AV447" s="10"/>
      <c r="AW447" s="23"/>
      <c r="BB447" s="66"/>
      <c r="BC447" s="66"/>
      <c r="BD447" s="66"/>
      <c r="BE447" s="66"/>
      <c r="BF447" s="66"/>
      <c r="BG447" s="66"/>
      <c r="BH447" s="66"/>
      <c r="BI447" s="66"/>
      <c r="BJ447" s="66"/>
      <c r="BK447" s="66"/>
      <c r="BL447" s="66"/>
      <c r="BM447" s="66"/>
      <c r="BN447" s="66"/>
      <c r="BO447" s="66"/>
      <c r="BP447" s="66"/>
      <c r="BQ447" s="66"/>
      <c r="BR447" s="66"/>
      <c r="BS447" s="66"/>
      <c r="BT447" s="66"/>
      <c r="BU447" s="66"/>
      <c r="BV447" s="66"/>
      <c r="BW447" s="66"/>
    </row>
    <row r="448" spans="1:75" ht="15.75" customHeight="1">
      <c r="A448" s="65"/>
      <c r="B448" s="66"/>
      <c r="C448" s="66"/>
      <c r="D448" s="66"/>
      <c r="E448" s="66"/>
      <c r="F448" s="65"/>
      <c r="G448" s="65"/>
      <c r="H448" s="66"/>
      <c r="I448" s="66"/>
      <c r="J448" s="66"/>
      <c r="K448" s="66"/>
      <c r="L448" s="66"/>
      <c r="M448" s="66"/>
      <c r="N448" s="66"/>
      <c r="O448" s="66"/>
      <c r="P448" s="66"/>
      <c r="Q448" s="23"/>
      <c r="AB448" s="23"/>
      <c r="AC448" s="23"/>
      <c r="AD448" s="23"/>
      <c r="AE448" s="7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71"/>
      <c r="AV448" s="10"/>
      <c r="AW448" s="23"/>
      <c r="BB448" s="66"/>
      <c r="BC448" s="66"/>
      <c r="BD448" s="66"/>
      <c r="BE448" s="66"/>
      <c r="BF448" s="66"/>
      <c r="BG448" s="66"/>
      <c r="BH448" s="66"/>
      <c r="BI448" s="66"/>
      <c r="BJ448" s="66"/>
      <c r="BK448" s="66"/>
      <c r="BL448" s="66"/>
      <c r="BM448" s="66"/>
      <c r="BN448" s="66"/>
      <c r="BO448" s="66"/>
      <c r="BP448" s="66"/>
      <c r="BQ448" s="66"/>
      <c r="BR448" s="66"/>
      <c r="BS448" s="66"/>
      <c r="BT448" s="66"/>
      <c r="BU448" s="66"/>
      <c r="BV448" s="66"/>
      <c r="BW448" s="66"/>
    </row>
    <row r="449" spans="1:75" ht="15.75" customHeight="1">
      <c r="A449" s="65"/>
      <c r="B449" s="66"/>
      <c r="C449" s="66"/>
      <c r="D449" s="66"/>
      <c r="E449" s="66"/>
      <c r="F449" s="65"/>
      <c r="G449" s="65"/>
      <c r="H449" s="66"/>
      <c r="I449" s="66"/>
      <c r="J449" s="66"/>
      <c r="K449" s="66"/>
      <c r="L449" s="66"/>
      <c r="M449" s="66"/>
      <c r="N449" s="66"/>
      <c r="O449" s="66"/>
      <c r="P449" s="66"/>
      <c r="Q449" s="23"/>
      <c r="AB449" s="23"/>
      <c r="AC449" s="23"/>
      <c r="AD449" s="23"/>
      <c r="AE449" s="7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71"/>
      <c r="AV449" s="10"/>
      <c r="AW449" s="23"/>
      <c r="BB449" s="66"/>
      <c r="BC449" s="66"/>
      <c r="BD449" s="66"/>
      <c r="BE449" s="66"/>
      <c r="BF449" s="66"/>
      <c r="BG449" s="66"/>
      <c r="BH449" s="66"/>
      <c r="BI449" s="66"/>
      <c r="BJ449" s="66"/>
      <c r="BK449" s="66"/>
      <c r="BL449" s="66"/>
      <c r="BM449" s="66"/>
      <c r="BN449" s="66"/>
      <c r="BO449" s="66"/>
      <c r="BP449" s="66"/>
      <c r="BQ449" s="66"/>
      <c r="BR449" s="66"/>
      <c r="BS449" s="66"/>
      <c r="BT449" s="66"/>
      <c r="BU449" s="66"/>
      <c r="BV449" s="66"/>
      <c r="BW449" s="66"/>
    </row>
    <row r="450" spans="1:75" ht="15.75" customHeight="1">
      <c r="A450" s="65"/>
      <c r="B450" s="66"/>
      <c r="C450" s="66"/>
      <c r="D450" s="66"/>
      <c r="E450" s="66"/>
      <c r="F450" s="65"/>
      <c r="G450" s="65"/>
      <c r="H450" s="66"/>
      <c r="I450" s="66"/>
      <c r="J450" s="66"/>
      <c r="K450" s="66"/>
      <c r="L450" s="66"/>
      <c r="M450" s="66"/>
      <c r="N450" s="66"/>
      <c r="O450" s="66"/>
      <c r="P450" s="66"/>
      <c r="Q450" s="23"/>
      <c r="AB450" s="23"/>
      <c r="AC450" s="23"/>
      <c r="AD450" s="23"/>
      <c r="AE450" s="7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71"/>
      <c r="AV450" s="10"/>
      <c r="AW450" s="23"/>
      <c r="BB450" s="66"/>
      <c r="BC450" s="66"/>
      <c r="BD450" s="66"/>
      <c r="BE450" s="66"/>
      <c r="BF450" s="66"/>
      <c r="BG450" s="66"/>
      <c r="BH450" s="66"/>
      <c r="BI450" s="66"/>
      <c r="BJ450" s="66"/>
      <c r="BK450" s="66"/>
      <c r="BL450" s="66"/>
      <c r="BM450" s="66"/>
      <c r="BN450" s="66"/>
      <c r="BO450" s="66"/>
      <c r="BP450" s="66"/>
      <c r="BQ450" s="66"/>
      <c r="BR450" s="66"/>
      <c r="BS450" s="66"/>
      <c r="BT450" s="66"/>
      <c r="BU450" s="66"/>
      <c r="BV450" s="66"/>
      <c r="BW450" s="66"/>
    </row>
    <row r="451" spans="1:75" ht="15.75" customHeight="1">
      <c r="A451" s="65"/>
      <c r="B451" s="66"/>
      <c r="C451" s="66"/>
      <c r="D451" s="66"/>
      <c r="E451" s="66"/>
      <c r="F451" s="65"/>
      <c r="G451" s="65"/>
      <c r="H451" s="66"/>
      <c r="I451" s="66"/>
      <c r="J451" s="66"/>
      <c r="K451" s="66"/>
      <c r="L451" s="66"/>
      <c r="M451" s="66"/>
      <c r="N451" s="66"/>
      <c r="O451" s="66"/>
      <c r="P451" s="66"/>
      <c r="Q451" s="23"/>
      <c r="AB451" s="23"/>
      <c r="AC451" s="23"/>
      <c r="AD451" s="23"/>
      <c r="AE451" s="7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71"/>
      <c r="AV451" s="10"/>
      <c r="AW451" s="23"/>
      <c r="BB451" s="66"/>
      <c r="BC451" s="66"/>
      <c r="BD451" s="66"/>
      <c r="BE451" s="66"/>
      <c r="BF451" s="66"/>
      <c r="BG451" s="66"/>
      <c r="BH451" s="66"/>
      <c r="BI451" s="66"/>
      <c r="BJ451" s="66"/>
      <c r="BK451" s="66"/>
      <c r="BL451" s="66"/>
      <c r="BM451" s="66"/>
      <c r="BN451" s="66"/>
      <c r="BO451" s="66"/>
      <c r="BP451" s="66"/>
      <c r="BQ451" s="66"/>
      <c r="BR451" s="66"/>
      <c r="BS451" s="66"/>
      <c r="BT451" s="66"/>
      <c r="BU451" s="66"/>
      <c r="BV451" s="66"/>
      <c r="BW451" s="66"/>
    </row>
    <row r="452" spans="1:75" ht="15.75" customHeight="1">
      <c r="A452" s="65"/>
      <c r="B452" s="66"/>
      <c r="C452" s="66"/>
      <c r="D452" s="66"/>
      <c r="E452" s="66"/>
      <c r="F452" s="65"/>
      <c r="G452" s="65"/>
      <c r="H452" s="66"/>
      <c r="I452" s="66"/>
      <c r="J452" s="66"/>
      <c r="K452" s="66"/>
      <c r="L452" s="66"/>
      <c r="M452" s="66"/>
      <c r="N452" s="66"/>
      <c r="O452" s="66"/>
      <c r="P452" s="66"/>
      <c r="Q452" s="23"/>
      <c r="AB452" s="23"/>
      <c r="AC452" s="23"/>
      <c r="AD452" s="23"/>
      <c r="AE452" s="7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71"/>
      <c r="AV452" s="10"/>
      <c r="AW452" s="23"/>
      <c r="BB452" s="66"/>
      <c r="BC452" s="66"/>
      <c r="BD452" s="66"/>
      <c r="BE452" s="66"/>
      <c r="BF452" s="66"/>
      <c r="BG452" s="66"/>
      <c r="BH452" s="66"/>
      <c r="BI452" s="66"/>
      <c r="BJ452" s="66"/>
      <c r="BK452" s="66"/>
      <c r="BL452" s="66"/>
      <c r="BM452" s="66"/>
      <c r="BN452" s="66"/>
      <c r="BO452" s="66"/>
      <c r="BP452" s="66"/>
      <c r="BQ452" s="66"/>
      <c r="BR452" s="66"/>
      <c r="BS452" s="66"/>
      <c r="BT452" s="66"/>
      <c r="BU452" s="66"/>
      <c r="BV452" s="66"/>
      <c r="BW452" s="66"/>
    </row>
    <row r="453" spans="1:75" ht="15.75" customHeight="1">
      <c r="A453" s="65"/>
      <c r="B453" s="66"/>
      <c r="C453" s="66"/>
      <c r="D453" s="66"/>
      <c r="E453" s="66"/>
      <c r="F453" s="65"/>
      <c r="G453" s="65"/>
      <c r="H453" s="66"/>
      <c r="I453" s="66"/>
      <c r="J453" s="66"/>
      <c r="K453" s="66"/>
      <c r="L453" s="66"/>
      <c r="M453" s="66"/>
      <c r="N453" s="66"/>
      <c r="O453" s="66"/>
      <c r="P453" s="66"/>
      <c r="Q453" s="23"/>
      <c r="AB453" s="23"/>
      <c r="AC453" s="23"/>
      <c r="AD453" s="23"/>
      <c r="AE453" s="7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71"/>
      <c r="AV453" s="10"/>
      <c r="AW453" s="23"/>
      <c r="BB453" s="66"/>
      <c r="BC453" s="66"/>
      <c r="BD453" s="66"/>
      <c r="BE453" s="66"/>
      <c r="BF453" s="66"/>
      <c r="BG453" s="66"/>
      <c r="BH453" s="66"/>
      <c r="BI453" s="66"/>
      <c r="BJ453" s="66"/>
      <c r="BK453" s="66"/>
      <c r="BL453" s="66"/>
      <c r="BM453" s="66"/>
      <c r="BN453" s="66"/>
      <c r="BO453" s="66"/>
      <c r="BP453" s="66"/>
      <c r="BQ453" s="66"/>
      <c r="BR453" s="66"/>
      <c r="BS453" s="66"/>
      <c r="BT453" s="66"/>
      <c r="BU453" s="66"/>
      <c r="BV453" s="66"/>
      <c r="BW453" s="66"/>
    </row>
    <row r="454" spans="1:75" ht="15.75" customHeight="1">
      <c r="A454" s="65"/>
      <c r="B454" s="66"/>
      <c r="C454" s="66"/>
      <c r="D454" s="66"/>
      <c r="E454" s="66"/>
      <c r="F454" s="65"/>
      <c r="G454" s="65"/>
      <c r="H454" s="66"/>
      <c r="I454" s="66"/>
      <c r="J454" s="66"/>
      <c r="K454" s="66"/>
      <c r="L454" s="66"/>
      <c r="M454" s="66"/>
      <c r="N454" s="66"/>
      <c r="O454" s="66"/>
      <c r="P454" s="66"/>
      <c r="Q454" s="23"/>
      <c r="AB454" s="23"/>
      <c r="AC454" s="23"/>
      <c r="AD454" s="23"/>
      <c r="AE454" s="7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71"/>
      <c r="AV454" s="10"/>
      <c r="AW454" s="23"/>
      <c r="BB454" s="66"/>
      <c r="BC454" s="66"/>
      <c r="BD454" s="66"/>
      <c r="BE454" s="66"/>
      <c r="BF454" s="66"/>
      <c r="BG454" s="66"/>
      <c r="BH454" s="66"/>
      <c r="BI454" s="66"/>
      <c r="BJ454" s="66"/>
      <c r="BK454" s="66"/>
      <c r="BL454" s="66"/>
      <c r="BM454" s="66"/>
      <c r="BN454" s="66"/>
      <c r="BO454" s="66"/>
      <c r="BP454" s="66"/>
      <c r="BQ454" s="66"/>
      <c r="BR454" s="66"/>
      <c r="BS454" s="66"/>
      <c r="BT454" s="66"/>
      <c r="BU454" s="66"/>
      <c r="BV454" s="66"/>
      <c r="BW454" s="66"/>
    </row>
    <row r="455" spans="1:75" ht="15.75" customHeight="1">
      <c r="A455" s="65"/>
      <c r="B455" s="66"/>
      <c r="C455" s="66"/>
      <c r="D455" s="66"/>
      <c r="E455" s="66"/>
      <c r="F455" s="65"/>
      <c r="G455" s="65"/>
      <c r="H455" s="66"/>
      <c r="I455" s="66"/>
      <c r="J455" s="66"/>
      <c r="K455" s="66"/>
      <c r="L455" s="66"/>
      <c r="M455" s="66"/>
      <c r="N455" s="66"/>
      <c r="O455" s="66"/>
      <c r="P455" s="66"/>
      <c r="Q455" s="23"/>
      <c r="AB455" s="23"/>
      <c r="AC455" s="23"/>
      <c r="AD455" s="23"/>
      <c r="AE455" s="7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71"/>
      <c r="AV455" s="10"/>
      <c r="AW455" s="23"/>
      <c r="BB455" s="66"/>
      <c r="BC455" s="66"/>
      <c r="BD455" s="66"/>
      <c r="BE455" s="66"/>
      <c r="BF455" s="66"/>
      <c r="BG455" s="66"/>
      <c r="BH455" s="66"/>
      <c r="BI455" s="66"/>
      <c r="BJ455" s="66"/>
      <c r="BK455" s="66"/>
      <c r="BL455" s="66"/>
      <c r="BM455" s="66"/>
      <c r="BN455" s="66"/>
      <c r="BO455" s="66"/>
      <c r="BP455" s="66"/>
      <c r="BQ455" s="66"/>
      <c r="BR455" s="66"/>
      <c r="BS455" s="66"/>
      <c r="BT455" s="66"/>
      <c r="BU455" s="66"/>
      <c r="BV455" s="66"/>
      <c r="BW455" s="66"/>
    </row>
    <row r="456" spans="1:75" ht="15.75" customHeight="1">
      <c r="A456" s="65"/>
      <c r="B456" s="66"/>
      <c r="C456" s="66"/>
      <c r="D456" s="66"/>
      <c r="E456" s="66"/>
      <c r="F456" s="65"/>
      <c r="G456" s="65"/>
      <c r="H456" s="66"/>
      <c r="I456" s="66"/>
      <c r="J456" s="66"/>
      <c r="K456" s="66"/>
      <c r="L456" s="66"/>
      <c r="M456" s="66"/>
      <c r="N456" s="66"/>
      <c r="O456" s="66"/>
      <c r="P456" s="66"/>
      <c r="Q456" s="23"/>
      <c r="AB456" s="23"/>
      <c r="AC456" s="23"/>
      <c r="AD456" s="23"/>
      <c r="AE456" s="7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71"/>
      <c r="AV456" s="10"/>
      <c r="AW456" s="23"/>
      <c r="BB456" s="66"/>
      <c r="BC456" s="66"/>
      <c r="BD456" s="66"/>
      <c r="BE456" s="66"/>
      <c r="BF456" s="66"/>
      <c r="BG456" s="66"/>
      <c r="BH456" s="66"/>
      <c r="BI456" s="66"/>
      <c r="BJ456" s="66"/>
      <c r="BK456" s="66"/>
      <c r="BL456" s="66"/>
      <c r="BM456" s="66"/>
      <c r="BN456" s="66"/>
      <c r="BO456" s="66"/>
      <c r="BP456" s="66"/>
      <c r="BQ456" s="66"/>
      <c r="BR456" s="66"/>
      <c r="BS456" s="66"/>
      <c r="BT456" s="66"/>
      <c r="BU456" s="66"/>
      <c r="BV456" s="66"/>
      <c r="BW456" s="66"/>
    </row>
    <row r="457" spans="1:75" ht="15.75" customHeight="1">
      <c r="A457" s="65"/>
      <c r="B457" s="66"/>
      <c r="C457" s="66"/>
      <c r="D457" s="66"/>
      <c r="E457" s="66"/>
      <c r="F457" s="65"/>
      <c r="G457" s="65"/>
      <c r="H457" s="66"/>
      <c r="I457" s="66"/>
      <c r="J457" s="66"/>
      <c r="K457" s="66"/>
      <c r="L457" s="66"/>
      <c r="M457" s="66"/>
      <c r="N457" s="66"/>
      <c r="O457" s="66"/>
      <c r="P457" s="66"/>
      <c r="Q457" s="23"/>
      <c r="AB457" s="23"/>
      <c r="AC457" s="23"/>
      <c r="AD457" s="23"/>
      <c r="AE457" s="7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71"/>
      <c r="AV457" s="10"/>
      <c r="AW457" s="23"/>
      <c r="BB457" s="66"/>
      <c r="BC457" s="66"/>
      <c r="BD457" s="66"/>
      <c r="BE457" s="66"/>
      <c r="BF457" s="66"/>
      <c r="BG457" s="66"/>
      <c r="BH457" s="66"/>
      <c r="BI457" s="66"/>
      <c r="BJ457" s="66"/>
      <c r="BK457" s="66"/>
      <c r="BL457" s="66"/>
      <c r="BM457" s="66"/>
      <c r="BN457" s="66"/>
      <c r="BO457" s="66"/>
      <c r="BP457" s="66"/>
      <c r="BQ457" s="66"/>
      <c r="BR457" s="66"/>
      <c r="BS457" s="66"/>
      <c r="BT457" s="66"/>
      <c r="BU457" s="66"/>
      <c r="BV457" s="66"/>
      <c r="BW457" s="66"/>
    </row>
    <row r="458" spans="1:75" ht="15.75" customHeight="1">
      <c r="A458" s="65"/>
      <c r="B458" s="66"/>
      <c r="C458" s="66"/>
      <c r="D458" s="66"/>
      <c r="E458" s="66"/>
      <c r="F458" s="65"/>
      <c r="G458" s="65"/>
      <c r="H458" s="66"/>
      <c r="I458" s="66"/>
      <c r="J458" s="66"/>
      <c r="K458" s="66"/>
      <c r="L458" s="66"/>
      <c r="M458" s="66"/>
      <c r="N458" s="66"/>
      <c r="O458" s="66"/>
      <c r="P458" s="66"/>
      <c r="Q458" s="23"/>
      <c r="AB458" s="23"/>
      <c r="AC458" s="23"/>
      <c r="AD458" s="23"/>
      <c r="AE458" s="7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71"/>
      <c r="AV458" s="10"/>
      <c r="AW458" s="23"/>
      <c r="BB458" s="66"/>
      <c r="BC458" s="66"/>
      <c r="BD458" s="66"/>
      <c r="BE458" s="66"/>
      <c r="BF458" s="66"/>
      <c r="BG458" s="66"/>
      <c r="BH458" s="66"/>
      <c r="BI458" s="66"/>
      <c r="BJ458" s="66"/>
      <c r="BK458" s="66"/>
      <c r="BL458" s="66"/>
      <c r="BM458" s="66"/>
      <c r="BN458" s="66"/>
      <c r="BO458" s="66"/>
      <c r="BP458" s="66"/>
      <c r="BQ458" s="66"/>
      <c r="BR458" s="66"/>
      <c r="BS458" s="66"/>
      <c r="BT458" s="66"/>
      <c r="BU458" s="66"/>
      <c r="BV458" s="66"/>
      <c r="BW458" s="66"/>
    </row>
    <row r="459" spans="1:75" ht="15.75" customHeight="1">
      <c r="A459" s="65"/>
      <c r="B459" s="66"/>
      <c r="C459" s="66"/>
      <c r="D459" s="66"/>
      <c r="E459" s="66"/>
      <c r="F459" s="65"/>
      <c r="G459" s="65"/>
      <c r="H459" s="66"/>
      <c r="I459" s="66"/>
      <c r="J459" s="66"/>
      <c r="K459" s="66"/>
      <c r="L459" s="66"/>
      <c r="M459" s="66"/>
      <c r="N459" s="66"/>
      <c r="O459" s="66"/>
      <c r="P459" s="66"/>
      <c r="Q459" s="23"/>
      <c r="AB459" s="23"/>
      <c r="AC459" s="23"/>
      <c r="AD459" s="23"/>
      <c r="AE459" s="7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71"/>
      <c r="AV459" s="10"/>
      <c r="AW459" s="23"/>
      <c r="BB459" s="66"/>
      <c r="BC459" s="66"/>
      <c r="BD459" s="66"/>
      <c r="BE459" s="66"/>
      <c r="BF459" s="66"/>
      <c r="BG459" s="66"/>
      <c r="BH459" s="66"/>
      <c r="BI459" s="66"/>
      <c r="BJ459" s="66"/>
      <c r="BK459" s="66"/>
      <c r="BL459" s="66"/>
      <c r="BM459" s="66"/>
      <c r="BN459" s="66"/>
      <c r="BO459" s="66"/>
      <c r="BP459" s="66"/>
      <c r="BQ459" s="66"/>
      <c r="BR459" s="66"/>
      <c r="BS459" s="66"/>
      <c r="BT459" s="66"/>
      <c r="BU459" s="66"/>
      <c r="BV459" s="66"/>
      <c r="BW459" s="66"/>
    </row>
    <row r="460" spans="1:75" ht="15.75" customHeight="1">
      <c r="A460" s="65"/>
      <c r="B460" s="66"/>
      <c r="C460" s="66"/>
      <c r="D460" s="66"/>
      <c r="E460" s="66"/>
      <c r="F460" s="65"/>
      <c r="G460" s="65"/>
      <c r="H460" s="66"/>
      <c r="I460" s="66"/>
      <c r="J460" s="66"/>
      <c r="K460" s="66"/>
      <c r="L460" s="66"/>
      <c r="M460" s="66"/>
      <c r="N460" s="66"/>
      <c r="O460" s="66"/>
      <c r="P460" s="66"/>
      <c r="Q460" s="23"/>
      <c r="AB460" s="23"/>
      <c r="AC460" s="23"/>
      <c r="AD460" s="23"/>
      <c r="AE460" s="7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71"/>
      <c r="AV460" s="10"/>
      <c r="AW460" s="23"/>
      <c r="BB460" s="66"/>
      <c r="BC460" s="66"/>
      <c r="BD460" s="66"/>
      <c r="BE460" s="66"/>
      <c r="BF460" s="66"/>
      <c r="BG460" s="66"/>
      <c r="BH460" s="66"/>
      <c r="BI460" s="66"/>
      <c r="BJ460" s="66"/>
      <c r="BK460" s="66"/>
      <c r="BL460" s="66"/>
      <c r="BM460" s="66"/>
      <c r="BN460" s="66"/>
      <c r="BO460" s="66"/>
      <c r="BP460" s="66"/>
      <c r="BQ460" s="66"/>
      <c r="BR460" s="66"/>
      <c r="BS460" s="66"/>
      <c r="BT460" s="66"/>
      <c r="BU460" s="66"/>
      <c r="BV460" s="66"/>
      <c r="BW460" s="66"/>
    </row>
    <row r="461" spans="1:75" ht="15.75" customHeight="1">
      <c r="A461" s="65"/>
      <c r="B461" s="66"/>
      <c r="C461" s="66"/>
      <c r="D461" s="66"/>
      <c r="E461" s="66"/>
      <c r="F461" s="65"/>
      <c r="G461" s="65"/>
      <c r="H461" s="66"/>
      <c r="I461" s="66"/>
      <c r="J461" s="66"/>
      <c r="K461" s="66"/>
      <c r="L461" s="66"/>
      <c r="M461" s="66"/>
      <c r="N461" s="66"/>
      <c r="O461" s="66"/>
      <c r="P461" s="66"/>
      <c r="Q461" s="23"/>
      <c r="AB461" s="23"/>
      <c r="AC461" s="23"/>
      <c r="AD461" s="23"/>
      <c r="AE461" s="7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71"/>
      <c r="AV461" s="10"/>
      <c r="AW461" s="23"/>
      <c r="BB461" s="66"/>
      <c r="BC461" s="66"/>
      <c r="BD461" s="66"/>
      <c r="BE461" s="66"/>
      <c r="BF461" s="66"/>
      <c r="BG461" s="66"/>
      <c r="BH461" s="66"/>
      <c r="BI461" s="66"/>
      <c r="BJ461" s="66"/>
      <c r="BK461" s="66"/>
      <c r="BL461" s="66"/>
      <c r="BM461" s="66"/>
      <c r="BN461" s="66"/>
      <c r="BO461" s="66"/>
      <c r="BP461" s="66"/>
      <c r="BQ461" s="66"/>
      <c r="BR461" s="66"/>
      <c r="BS461" s="66"/>
      <c r="BT461" s="66"/>
      <c r="BU461" s="66"/>
      <c r="BV461" s="66"/>
      <c r="BW461" s="66"/>
    </row>
    <row r="462" spans="1:75" ht="15.75" customHeight="1">
      <c r="A462" s="65"/>
      <c r="B462" s="66"/>
      <c r="C462" s="66"/>
      <c r="D462" s="66"/>
      <c r="E462" s="66"/>
      <c r="F462" s="65"/>
      <c r="G462" s="65"/>
      <c r="H462" s="66"/>
      <c r="I462" s="66"/>
      <c r="J462" s="66"/>
      <c r="K462" s="66"/>
      <c r="L462" s="66"/>
      <c r="M462" s="66"/>
      <c r="N462" s="66"/>
      <c r="O462" s="66"/>
      <c r="P462" s="66"/>
      <c r="Q462" s="23"/>
      <c r="AB462" s="23"/>
      <c r="AC462" s="23"/>
      <c r="AD462" s="23"/>
      <c r="AE462" s="7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71"/>
      <c r="AV462" s="10"/>
      <c r="AW462" s="23"/>
      <c r="BB462" s="66"/>
      <c r="BC462" s="66"/>
      <c r="BD462" s="66"/>
      <c r="BE462" s="66"/>
      <c r="BF462" s="66"/>
      <c r="BG462" s="66"/>
      <c r="BH462" s="66"/>
      <c r="BI462" s="66"/>
      <c r="BJ462" s="66"/>
      <c r="BK462" s="66"/>
      <c r="BL462" s="66"/>
      <c r="BM462" s="66"/>
      <c r="BN462" s="66"/>
      <c r="BO462" s="66"/>
      <c r="BP462" s="66"/>
      <c r="BQ462" s="66"/>
      <c r="BR462" s="66"/>
      <c r="BS462" s="66"/>
      <c r="BT462" s="66"/>
      <c r="BU462" s="66"/>
      <c r="BV462" s="66"/>
      <c r="BW462" s="66"/>
    </row>
    <row r="463" spans="1:75" ht="15.75" customHeight="1">
      <c r="A463" s="65"/>
      <c r="B463" s="66"/>
      <c r="C463" s="66"/>
      <c r="D463" s="66"/>
      <c r="E463" s="66"/>
      <c r="F463" s="65"/>
      <c r="G463" s="65"/>
      <c r="H463" s="66"/>
      <c r="I463" s="66"/>
      <c r="J463" s="66"/>
      <c r="K463" s="66"/>
      <c r="L463" s="66"/>
      <c r="M463" s="66"/>
      <c r="N463" s="66"/>
      <c r="O463" s="66"/>
      <c r="P463" s="66"/>
      <c r="Q463" s="23"/>
      <c r="AB463" s="23"/>
      <c r="AC463" s="23"/>
      <c r="AD463" s="23"/>
      <c r="AE463" s="7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71"/>
      <c r="AV463" s="10"/>
      <c r="AW463" s="23"/>
      <c r="BB463" s="66"/>
      <c r="BC463" s="66"/>
      <c r="BD463" s="66"/>
      <c r="BE463" s="66"/>
      <c r="BF463" s="66"/>
      <c r="BG463" s="66"/>
      <c r="BH463" s="66"/>
      <c r="BI463" s="66"/>
      <c r="BJ463" s="66"/>
      <c r="BK463" s="66"/>
      <c r="BL463" s="66"/>
      <c r="BM463" s="66"/>
      <c r="BN463" s="66"/>
      <c r="BO463" s="66"/>
      <c r="BP463" s="66"/>
      <c r="BQ463" s="66"/>
      <c r="BR463" s="66"/>
      <c r="BS463" s="66"/>
      <c r="BT463" s="66"/>
      <c r="BU463" s="66"/>
      <c r="BV463" s="66"/>
      <c r="BW463" s="66"/>
    </row>
    <row r="464" spans="1:75" ht="15.75" customHeight="1">
      <c r="A464" s="65"/>
      <c r="B464" s="66"/>
      <c r="C464" s="66"/>
      <c r="D464" s="66"/>
      <c r="E464" s="66"/>
      <c r="F464" s="65"/>
      <c r="G464" s="65"/>
      <c r="H464" s="66"/>
      <c r="I464" s="66"/>
      <c r="J464" s="66"/>
      <c r="K464" s="66"/>
      <c r="L464" s="66"/>
      <c r="M464" s="66"/>
      <c r="N464" s="66"/>
      <c r="O464" s="66"/>
      <c r="P464" s="66"/>
      <c r="Q464" s="23"/>
      <c r="AB464" s="23"/>
      <c r="AC464" s="23"/>
      <c r="AD464" s="23"/>
      <c r="AE464" s="7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71"/>
      <c r="AV464" s="10"/>
      <c r="AW464" s="23"/>
      <c r="BB464" s="66"/>
      <c r="BC464" s="66"/>
      <c r="BD464" s="66"/>
      <c r="BE464" s="66"/>
      <c r="BF464" s="66"/>
      <c r="BG464" s="66"/>
      <c r="BH464" s="66"/>
      <c r="BI464" s="66"/>
      <c r="BJ464" s="66"/>
      <c r="BK464" s="66"/>
      <c r="BL464" s="66"/>
      <c r="BM464" s="66"/>
      <c r="BN464" s="66"/>
      <c r="BO464" s="66"/>
      <c r="BP464" s="66"/>
      <c r="BQ464" s="66"/>
      <c r="BR464" s="66"/>
      <c r="BS464" s="66"/>
      <c r="BT464" s="66"/>
      <c r="BU464" s="66"/>
      <c r="BV464" s="66"/>
      <c r="BW464" s="66"/>
    </row>
    <row r="465" spans="1:75" ht="15.75" customHeight="1">
      <c r="A465" s="65"/>
      <c r="B465" s="66"/>
      <c r="C465" s="66"/>
      <c r="D465" s="66"/>
      <c r="E465" s="66"/>
      <c r="F465" s="65"/>
      <c r="G465" s="65"/>
      <c r="H465" s="66"/>
      <c r="I465" s="66"/>
      <c r="J465" s="66"/>
      <c r="K465" s="66"/>
      <c r="L465" s="66"/>
      <c r="M465" s="66"/>
      <c r="N465" s="66"/>
      <c r="O465" s="66"/>
      <c r="P465" s="66"/>
      <c r="Q465" s="23"/>
      <c r="AB465" s="23"/>
      <c r="AC465" s="23"/>
      <c r="AD465" s="23"/>
      <c r="AE465" s="7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71"/>
      <c r="AV465" s="10"/>
      <c r="AW465" s="23"/>
      <c r="BB465" s="66"/>
      <c r="BC465" s="66"/>
      <c r="BD465" s="66"/>
      <c r="BE465" s="66"/>
      <c r="BF465" s="66"/>
      <c r="BG465" s="66"/>
      <c r="BH465" s="66"/>
      <c r="BI465" s="66"/>
      <c r="BJ465" s="66"/>
      <c r="BK465" s="66"/>
      <c r="BL465" s="66"/>
      <c r="BM465" s="66"/>
      <c r="BN465" s="66"/>
      <c r="BO465" s="66"/>
      <c r="BP465" s="66"/>
      <c r="BQ465" s="66"/>
      <c r="BR465" s="66"/>
      <c r="BS465" s="66"/>
      <c r="BT465" s="66"/>
      <c r="BU465" s="66"/>
      <c r="BV465" s="66"/>
      <c r="BW465" s="66"/>
    </row>
    <row r="466" spans="1:75" ht="15.75" customHeight="1">
      <c r="A466" s="65"/>
      <c r="B466" s="66"/>
      <c r="C466" s="66"/>
      <c r="D466" s="66"/>
      <c r="E466" s="66"/>
      <c r="F466" s="65"/>
      <c r="G466" s="65"/>
      <c r="H466" s="66"/>
      <c r="I466" s="66"/>
      <c r="J466" s="66"/>
      <c r="K466" s="66"/>
      <c r="L466" s="66"/>
      <c r="M466" s="66"/>
      <c r="N466" s="66"/>
      <c r="O466" s="66"/>
      <c r="P466" s="66"/>
      <c r="Q466" s="23"/>
      <c r="AB466" s="23"/>
      <c r="AC466" s="23"/>
      <c r="AD466" s="23"/>
      <c r="AE466" s="7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71"/>
      <c r="AV466" s="10"/>
      <c r="AW466" s="23"/>
      <c r="BB466" s="66"/>
      <c r="BC466" s="66"/>
      <c r="BD466" s="66"/>
      <c r="BE466" s="66"/>
      <c r="BF466" s="66"/>
      <c r="BG466" s="66"/>
      <c r="BH466" s="66"/>
      <c r="BI466" s="66"/>
      <c r="BJ466" s="66"/>
      <c r="BK466" s="66"/>
      <c r="BL466" s="66"/>
      <c r="BM466" s="66"/>
      <c r="BN466" s="66"/>
      <c r="BO466" s="66"/>
      <c r="BP466" s="66"/>
      <c r="BQ466" s="66"/>
      <c r="BR466" s="66"/>
      <c r="BS466" s="66"/>
      <c r="BT466" s="66"/>
      <c r="BU466" s="66"/>
      <c r="BV466" s="66"/>
      <c r="BW466" s="66"/>
    </row>
    <row r="467" spans="1:75" ht="15.75" customHeight="1">
      <c r="A467" s="65"/>
      <c r="B467" s="66"/>
      <c r="C467" s="66"/>
      <c r="D467" s="66"/>
      <c r="E467" s="66"/>
      <c r="F467" s="65"/>
      <c r="G467" s="65"/>
      <c r="H467" s="66"/>
      <c r="I467" s="66"/>
      <c r="J467" s="66"/>
      <c r="K467" s="66"/>
      <c r="L467" s="66"/>
      <c r="M467" s="66"/>
      <c r="N467" s="66"/>
      <c r="O467" s="66"/>
      <c r="P467" s="66"/>
      <c r="Q467" s="23"/>
      <c r="AB467" s="23"/>
      <c r="AC467" s="23"/>
      <c r="AD467" s="23"/>
      <c r="AE467" s="7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71"/>
      <c r="AV467" s="10"/>
      <c r="AW467" s="23"/>
      <c r="BB467" s="66"/>
      <c r="BC467" s="66"/>
      <c r="BD467" s="66"/>
      <c r="BE467" s="66"/>
      <c r="BF467" s="66"/>
      <c r="BG467" s="66"/>
      <c r="BH467" s="66"/>
      <c r="BI467" s="66"/>
      <c r="BJ467" s="66"/>
      <c r="BK467" s="66"/>
      <c r="BL467" s="66"/>
      <c r="BM467" s="66"/>
      <c r="BN467" s="66"/>
      <c r="BO467" s="66"/>
      <c r="BP467" s="66"/>
      <c r="BQ467" s="66"/>
      <c r="BR467" s="66"/>
      <c r="BS467" s="66"/>
      <c r="BT467" s="66"/>
      <c r="BU467" s="66"/>
      <c r="BV467" s="66"/>
      <c r="BW467" s="66"/>
    </row>
    <row r="468" spans="1:75" ht="15.75" customHeight="1">
      <c r="A468" s="65"/>
      <c r="B468" s="66"/>
      <c r="C468" s="66"/>
      <c r="D468" s="66"/>
      <c r="E468" s="66"/>
      <c r="F468" s="65"/>
      <c r="G468" s="65"/>
      <c r="H468" s="66"/>
      <c r="I468" s="66"/>
      <c r="J468" s="66"/>
      <c r="K468" s="66"/>
      <c r="L468" s="66"/>
      <c r="M468" s="66"/>
      <c r="N468" s="66"/>
      <c r="O468" s="66"/>
      <c r="P468" s="66"/>
      <c r="Q468" s="23"/>
      <c r="AB468" s="23"/>
      <c r="AC468" s="23"/>
      <c r="AD468" s="23"/>
      <c r="AE468" s="7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71"/>
      <c r="AV468" s="10"/>
      <c r="AW468" s="23"/>
      <c r="BB468" s="66"/>
      <c r="BC468" s="66"/>
      <c r="BD468" s="66"/>
      <c r="BE468" s="66"/>
      <c r="BF468" s="66"/>
      <c r="BG468" s="66"/>
      <c r="BH468" s="66"/>
      <c r="BI468" s="66"/>
      <c r="BJ468" s="66"/>
      <c r="BK468" s="66"/>
      <c r="BL468" s="66"/>
      <c r="BM468" s="66"/>
      <c r="BN468" s="66"/>
      <c r="BO468" s="66"/>
      <c r="BP468" s="66"/>
      <c r="BQ468" s="66"/>
      <c r="BR468" s="66"/>
      <c r="BS468" s="66"/>
      <c r="BT468" s="66"/>
      <c r="BU468" s="66"/>
      <c r="BV468" s="66"/>
      <c r="BW468" s="66"/>
    </row>
    <row r="469" spans="1:75" ht="15.75" customHeight="1">
      <c r="A469" s="65"/>
      <c r="B469" s="66"/>
      <c r="C469" s="66"/>
      <c r="D469" s="66"/>
      <c r="E469" s="66"/>
      <c r="F469" s="65"/>
      <c r="G469" s="65"/>
      <c r="H469" s="66"/>
      <c r="I469" s="66"/>
      <c r="J469" s="66"/>
      <c r="K469" s="66"/>
      <c r="L469" s="66"/>
      <c r="M469" s="66"/>
      <c r="N469" s="66"/>
      <c r="O469" s="66"/>
      <c r="P469" s="66"/>
      <c r="Q469" s="23"/>
      <c r="AB469" s="23"/>
      <c r="AC469" s="23"/>
      <c r="AD469" s="23"/>
      <c r="AE469" s="7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71"/>
      <c r="AV469" s="10"/>
      <c r="AW469" s="23"/>
      <c r="BB469" s="66"/>
      <c r="BC469" s="66"/>
      <c r="BD469" s="66"/>
      <c r="BE469" s="66"/>
      <c r="BF469" s="66"/>
      <c r="BG469" s="66"/>
      <c r="BH469" s="66"/>
      <c r="BI469" s="66"/>
      <c r="BJ469" s="66"/>
      <c r="BK469" s="66"/>
      <c r="BL469" s="66"/>
      <c r="BM469" s="66"/>
      <c r="BN469" s="66"/>
      <c r="BO469" s="66"/>
      <c r="BP469" s="66"/>
      <c r="BQ469" s="66"/>
      <c r="BR469" s="66"/>
      <c r="BS469" s="66"/>
      <c r="BT469" s="66"/>
      <c r="BU469" s="66"/>
      <c r="BV469" s="66"/>
      <c r="BW469" s="66"/>
    </row>
    <row r="470" spans="1:75" ht="15.75" customHeight="1">
      <c r="A470" s="65"/>
      <c r="B470" s="66"/>
      <c r="C470" s="66"/>
      <c r="D470" s="66"/>
      <c r="E470" s="66"/>
      <c r="F470" s="65"/>
      <c r="G470" s="65"/>
      <c r="H470" s="66"/>
      <c r="I470" s="66"/>
      <c r="J470" s="66"/>
      <c r="K470" s="66"/>
      <c r="L470" s="66"/>
      <c r="M470" s="66"/>
      <c r="N470" s="66"/>
      <c r="O470" s="66"/>
      <c r="P470" s="66"/>
      <c r="Q470" s="23"/>
      <c r="AB470" s="23"/>
      <c r="AC470" s="23"/>
      <c r="AD470" s="23"/>
      <c r="AE470" s="7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71"/>
      <c r="AV470" s="10"/>
      <c r="AW470" s="23"/>
      <c r="BB470" s="66"/>
      <c r="BC470" s="66"/>
      <c r="BD470" s="66"/>
      <c r="BE470" s="66"/>
      <c r="BF470" s="66"/>
      <c r="BG470" s="66"/>
      <c r="BH470" s="66"/>
      <c r="BI470" s="66"/>
      <c r="BJ470" s="66"/>
      <c r="BK470" s="66"/>
      <c r="BL470" s="66"/>
      <c r="BM470" s="66"/>
      <c r="BN470" s="66"/>
      <c r="BO470" s="66"/>
      <c r="BP470" s="66"/>
      <c r="BQ470" s="66"/>
      <c r="BR470" s="66"/>
      <c r="BS470" s="66"/>
      <c r="BT470" s="66"/>
      <c r="BU470" s="66"/>
      <c r="BV470" s="66"/>
      <c r="BW470" s="66"/>
    </row>
    <row r="471" spans="1:75" ht="15.75" customHeight="1">
      <c r="A471" s="65"/>
      <c r="B471" s="66"/>
      <c r="C471" s="66"/>
      <c r="D471" s="66"/>
      <c r="E471" s="66"/>
      <c r="F471" s="65"/>
      <c r="G471" s="65"/>
      <c r="H471" s="66"/>
      <c r="I471" s="66"/>
      <c r="J471" s="66"/>
      <c r="K471" s="66"/>
      <c r="L471" s="66"/>
      <c r="M471" s="66"/>
      <c r="N471" s="66"/>
      <c r="O471" s="66"/>
      <c r="P471" s="66"/>
      <c r="Q471" s="23"/>
      <c r="AB471" s="23"/>
      <c r="AC471" s="23"/>
      <c r="AD471" s="23"/>
      <c r="AE471" s="7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71"/>
      <c r="AV471" s="10"/>
      <c r="AW471" s="23"/>
      <c r="BB471" s="66"/>
      <c r="BC471" s="66"/>
      <c r="BD471" s="66"/>
      <c r="BE471" s="66"/>
      <c r="BF471" s="66"/>
      <c r="BG471" s="66"/>
      <c r="BH471" s="66"/>
      <c r="BI471" s="66"/>
      <c r="BJ471" s="66"/>
      <c r="BK471" s="66"/>
      <c r="BL471" s="66"/>
      <c r="BM471" s="66"/>
      <c r="BN471" s="66"/>
      <c r="BO471" s="66"/>
      <c r="BP471" s="66"/>
      <c r="BQ471" s="66"/>
      <c r="BR471" s="66"/>
      <c r="BS471" s="66"/>
      <c r="BT471" s="66"/>
      <c r="BU471" s="66"/>
      <c r="BV471" s="66"/>
      <c r="BW471" s="66"/>
    </row>
    <row r="472" spans="1:75" ht="15.75" customHeight="1">
      <c r="A472" s="65"/>
      <c r="B472" s="66"/>
      <c r="C472" s="66"/>
      <c r="D472" s="66"/>
      <c r="E472" s="66"/>
      <c r="F472" s="65"/>
      <c r="G472" s="65"/>
      <c r="H472" s="66"/>
      <c r="I472" s="66"/>
      <c r="J472" s="66"/>
      <c r="K472" s="66"/>
      <c r="L472" s="66"/>
      <c r="M472" s="66"/>
      <c r="N472" s="66"/>
      <c r="O472" s="66"/>
      <c r="P472" s="66"/>
      <c r="Q472" s="23"/>
      <c r="AB472" s="23"/>
      <c r="AC472" s="23"/>
      <c r="AD472" s="23"/>
      <c r="AE472" s="7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71"/>
      <c r="AV472" s="10"/>
      <c r="AW472" s="23"/>
      <c r="BB472" s="66"/>
      <c r="BC472" s="66"/>
      <c r="BD472" s="66"/>
      <c r="BE472" s="66"/>
      <c r="BF472" s="66"/>
      <c r="BG472" s="66"/>
      <c r="BH472" s="66"/>
      <c r="BI472" s="66"/>
      <c r="BJ472" s="66"/>
      <c r="BK472" s="66"/>
      <c r="BL472" s="66"/>
      <c r="BM472" s="66"/>
      <c r="BN472" s="66"/>
      <c r="BO472" s="66"/>
      <c r="BP472" s="66"/>
      <c r="BQ472" s="66"/>
      <c r="BR472" s="66"/>
      <c r="BS472" s="66"/>
      <c r="BT472" s="66"/>
      <c r="BU472" s="66"/>
      <c r="BV472" s="66"/>
      <c r="BW472" s="66"/>
    </row>
    <row r="473" spans="1:75" ht="15.75" customHeight="1">
      <c r="A473" s="65"/>
      <c r="B473" s="66"/>
      <c r="C473" s="66"/>
      <c r="D473" s="66"/>
      <c r="E473" s="66"/>
      <c r="F473" s="65"/>
      <c r="G473" s="65"/>
      <c r="H473" s="66"/>
      <c r="I473" s="66"/>
      <c r="J473" s="66"/>
      <c r="K473" s="66"/>
      <c r="L473" s="66"/>
      <c r="M473" s="66"/>
      <c r="N473" s="66"/>
      <c r="O473" s="66"/>
      <c r="P473" s="66"/>
      <c r="Q473" s="23"/>
      <c r="AB473" s="23"/>
      <c r="AC473" s="23"/>
      <c r="AD473" s="23"/>
      <c r="AE473" s="7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71"/>
      <c r="AV473" s="10"/>
      <c r="AW473" s="23"/>
      <c r="BB473" s="66"/>
      <c r="BC473" s="66"/>
      <c r="BD473" s="66"/>
      <c r="BE473" s="66"/>
      <c r="BF473" s="66"/>
      <c r="BG473" s="66"/>
      <c r="BH473" s="66"/>
      <c r="BI473" s="66"/>
      <c r="BJ473" s="66"/>
      <c r="BK473" s="66"/>
      <c r="BL473" s="66"/>
      <c r="BM473" s="66"/>
      <c r="BN473" s="66"/>
      <c r="BO473" s="66"/>
      <c r="BP473" s="66"/>
      <c r="BQ473" s="66"/>
      <c r="BR473" s="66"/>
      <c r="BS473" s="66"/>
      <c r="BT473" s="66"/>
      <c r="BU473" s="66"/>
      <c r="BV473" s="66"/>
      <c r="BW473" s="66"/>
    </row>
    <row r="474" spans="1:75" ht="15.75" customHeight="1">
      <c r="A474" s="65"/>
      <c r="B474" s="66"/>
      <c r="C474" s="66"/>
      <c r="D474" s="66"/>
      <c r="E474" s="66"/>
      <c r="F474" s="65"/>
      <c r="G474" s="65"/>
      <c r="H474" s="66"/>
      <c r="I474" s="66"/>
      <c r="J474" s="66"/>
      <c r="K474" s="66"/>
      <c r="L474" s="66"/>
      <c r="M474" s="66"/>
      <c r="N474" s="66"/>
      <c r="O474" s="66"/>
      <c r="P474" s="66"/>
      <c r="Q474" s="23"/>
      <c r="AB474" s="23"/>
      <c r="AC474" s="23"/>
      <c r="AD474" s="23"/>
      <c r="AE474" s="7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71"/>
      <c r="AV474" s="10"/>
      <c r="AW474" s="23"/>
      <c r="BB474" s="66"/>
      <c r="BC474" s="66"/>
      <c r="BD474" s="66"/>
      <c r="BE474" s="66"/>
      <c r="BF474" s="66"/>
      <c r="BG474" s="66"/>
      <c r="BH474" s="66"/>
      <c r="BI474" s="66"/>
      <c r="BJ474" s="66"/>
      <c r="BK474" s="66"/>
      <c r="BL474" s="66"/>
      <c r="BM474" s="66"/>
      <c r="BN474" s="66"/>
      <c r="BO474" s="66"/>
      <c r="BP474" s="66"/>
      <c r="BQ474" s="66"/>
      <c r="BR474" s="66"/>
      <c r="BS474" s="66"/>
      <c r="BT474" s="66"/>
      <c r="BU474" s="66"/>
      <c r="BV474" s="66"/>
      <c r="BW474" s="66"/>
    </row>
    <row r="475" spans="1:75" ht="15.75" customHeight="1">
      <c r="A475" s="65"/>
      <c r="B475" s="66"/>
      <c r="C475" s="66"/>
      <c r="D475" s="66"/>
      <c r="E475" s="66"/>
      <c r="F475" s="65"/>
      <c r="G475" s="65"/>
      <c r="H475" s="66"/>
      <c r="I475" s="66"/>
      <c r="J475" s="66"/>
      <c r="K475" s="66"/>
      <c r="L475" s="66"/>
      <c r="M475" s="66"/>
      <c r="N475" s="66"/>
      <c r="O475" s="66"/>
      <c r="P475" s="66"/>
      <c r="Q475" s="23"/>
      <c r="AB475" s="23"/>
      <c r="AC475" s="23"/>
      <c r="AD475" s="23"/>
      <c r="AE475" s="7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71"/>
      <c r="AV475" s="10"/>
      <c r="AW475" s="23"/>
      <c r="BB475" s="66"/>
      <c r="BC475" s="66"/>
      <c r="BD475" s="66"/>
      <c r="BE475" s="66"/>
      <c r="BF475" s="66"/>
      <c r="BG475" s="66"/>
      <c r="BH475" s="66"/>
      <c r="BI475" s="66"/>
      <c r="BJ475" s="66"/>
      <c r="BK475" s="66"/>
      <c r="BL475" s="66"/>
      <c r="BM475" s="66"/>
      <c r="BN475" s="66"/>
      <c r="BO475" s="66"/>
      <c r="BP475" s="66"/>
      <c r="BQ475" s="66"/>
      <c r="BR475" s="66"/>
      <c r="BS475" s="66"/>
      <c r="BT475" s="66"/>
      <c r="BU475" s="66"/>
      <c r="BV475" s="66"/>
      <c r="BW475" s="66"/>
    </row>
    <row r="476" spans="1:75" ht="15.75" customHeight="1">
      <c r="A476" s="65"/>
      <c r="B476" s="66"/>
      <c r="C476" s="66"/>
      <c r="D476" s="66"/>
      <c r="E476" s="66"/>
      <c r="F476" s="65"/>
      <c r="G476" s="65"/>
      <c r="H476" s="66"/>
      <c r="I476" s="66"/>
      <c r="J476" s="66"/>
      <c r="K476" s="66"/>
      <c r="L476" s="66"/>
      <c r="M476" s="66"/>
      <c r="N476" s="66"/>
      <c r="O476" s="66"/>
      <c r="P476" s="66"/>
      <c r="Q476" s="23"/>
      <c r="AB476" s="23"/>
      <c r="AC476" s="23"/>
      <c r="AD476" s="23"/>
      <c r="AE476" s="7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71"/>
      <c r="AV476" s="10"/>
      <c r="AW476" s="23"/>
      <c r="BB476" s="66"/>
      <c r="BC476" s="66"/>
      <c r="BD476" s="66"/>
      <c r="BE476" s="66"/>
      <c r="BF476" s="66"/>
      <c r="BG476" s="66"/>
      <c r="BH476" s="66"/>
      <c r="BI476" s="66"/>
      <c r="BJ476" s="66"/>
      <c r="BK476" s="66"/>
      <c r="BL476" s="66"/>
      <c r="BM476" s="66"/>
      <c r="BN476" s="66"/>
      <c r="BO476" s="66"/>
      <c r="BP476" s="66"/>
      <c r="BQ476" s="66"/>
      <c r="BR476" s="66"/>
      <c r="BS476" s="66"/>
      <c r="BT476" s="66"/>
      <c r="BU476" s="66"/>
      <c r="BV476" s="66"/>
      <c r="BW476" s="66"/>
    </row>
    <row r="477" spans="1:75" ht="15.75" customHeight="1">
      <c r="A477" s="65"/>
      <c r="B477" s="66"/>
      <c r="C477" s="66"/>
      <c r="D477" s="66"/>
      <c r="E477" s="66"/>
      <c r="F477" s="65"/>
      <c r="G477" s="65"/>
      <c r="H477" s="66"/>
      <c r="I477" s="66"/>
      <c r="J477" s="66"/>
      <c r="K477" s="66"/>
      <c r="L477" s="66"/>
      <c r="M477" s="66"/>
      <c r="N477" s="66"/>
      <c r="O477" s="66"/>
      <c r="P477" s="66"/>
      <c r="Q477" s="23"/>
      <c r="AB477" s="23"/>
      <c r="AC477" s="23"/>
      <c r="AD477" s="23"/>
      <c r="AE477" s="7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71"/>
      <c r="AV477" s="10"/>
      <c r="AW477" s="23"/>
      <c r="BB477" s="66"/>
      <c r="BC477" s="66"/>
      <c r="BD477" s="66"/>
      <c r="BE477" s="66"/>
      <c r="BF477" s="66"/>
      <c r="BG477" s="66"/>
      <c r="BH477" s="66"/>
      <c r="BI477" s="66"/>
      <c r="BJ477" s="66"/>
      <c r="BK477" s="66"/>
      <c r="BL477" s="66"/>
      <c r="BM477" s="66"/>
      <c r="BN477" s="66"/>
      <c r="BO477" s="66"/>
      <c r="BP477" s="66"/>
      <c r="BQ477" s="66"/>
      <c r="BR477" s="66"/>
      <c r="BS477" s="66"/>
      <c r="BT477" s="66"/>
      <c r="BU477" s="66"/>
      <c r="BV477" s="66"/>
      <c r="BW477" s="66"/>
    </row>
    <row r="478" spans="1:75" ht="15.75" customHeight="1">
      <c r="A478" s="65"/>
      <c r="B478" s="66"/>
      <c r="C478" s="66"/>
      <c r="D478" s="66"/>
      <c r="E478" s="66"/>
      <c r="F478" s="65"/>
      <c r="G478" s="65"/>
      <c r="H478" s="66"/>
      <c r="I478" s="66"/>
      <c r="J478" s="66"/>
      <c r="K478" s="66"/>
      <c r="L478" s="66"/>
      <c r="M478" s="66"/>
      <c r="N478" s="66"/>
      <c r="O478" s="66"/>
      <c r="P478" s="66"/>
      <c r="Q478" s="23"/>
      <c r="AB478" s="23"/>
      <c r="AC478" s="23"/>
      <c r="AD478" s="23"/>
      <c r="AE478" s="7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71"/>
      <c r="AV478" s="10"/>
      <c r="AW478" s="23"/>
      <c r="BB478" s="66"/>
      <c r="BC478" s="66"/>
      <c r="BD478" s="66"/>
      <c r="BE478" s="66"/>
      <c r="BF478" s="66"/>
      <c r="BG478" s="66"/>
      <c r="BH478" s="66"/>
      <c r="BI478" s="66"/>
      <c r="BJ478" s="66"/>
      <c r="BK478" s="66"/>
      <c r="BL478" s="66"/>
      <c r="BM478" s="66"/>
      <c r="BN478" s="66"/>
      <c r="BO478" s="66"/>
      <c r="BP478" s="66"/>
      <c r="BQ478" s="66"/>
      <c r="BR478" s="66"/>
      <c r="BS478" s="66"/>
      <c r="BT478" s="66"/>
      <c r="BU478" s="66"/>
      <c r="BV478" s="66"/>
      <c r="BW478" s="66"/>
    </row>
    <row r="479" spans="1:75" ht="15.75" customHeight="1">
      <c r="A479" s="65"/>
      <c r="B479" s="66"/>
      <c r="C479" s="66"/>
      <c r="D479" s="66"/>
      <c r="E479" s="66"/>
      <c r="F479" s="65"/>
      <c r="G479" s="65"/>
      <c r="H479" s="66"/>
      <c r="I479" s="66"/>
      <c r="J479" s="66"/>
      <c r="K479" s="66"/>
      <c r="L479" s="66"/>
      <c r="M479" s="66"/>
      <c r="N479" s="66"/>
      <c r="O479" s="66"/>
      <c r="P479" s="66"/>
      <c r="Q479" s="23"/>
      <c r="AB479" s="23"/>
      <c r="AC479" s="23"/>
      <c r="AD479" s="23"/>
      <c r="AE479" s="7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71"/>
      <c r="AV479" s="10"/>
      <c r="AW479" s="23"/>
      <c r="BB479" s="66"/>
      <c r="BC479" s="66"/>
      <c r="BD479" s="66"/>
      <c r="BE479" s="66"/>
      <c r="BF479" s="66"/>
      <c r="BG479" s="66"/>
      <c r="BH479" s="66"/>
      <c r="BI479" s="66"/>
      <c r="BJ479" s="66"/>
      <c r="BK479" s="66"/>
      <c r="BL479" s="66"/>
      <c r="BM479" s="66"/>
      <c r="BN479" s="66"/>
      <c r="BO479" s="66"/>
      <c r="BP479" s="66"/>
      <c r="BQ479" s="66"/>
      <c r="BR479" s="66"/>
      <c r="BS479" s="66"/>
      <c r="BT479" s="66"/>
      <c r="BU479" s="66"/>
      <c r="BV479" s="66"/>
      <c r="BW479" s="66"/>
    </row>
    <row r="480" spans="1:75" ht="15.75" customHeight="1">
      <c r="A480" s="65"/>
      <c r="B480" s="66"/>
      <c r="C480" s="66"/>
      <c r="D480" s="66"/>
      <c r="E480" s="66"/>
      <c r="F480" s="65"/>
      <c r="G480" s="65"/>
      <c r="H480" s="66"/>
      <c r="I480" s="66"/>
      <c r="J480" s="66"/>
      <c r="K480" s="66"/>
      <c r="L480" s="66"/>
      <c r="M480" s="66"/>
      <c r="N480" s="66"/>
      <c r="O480" s="66"/>
      <c r="P480" s="66"/>
      <c r="Q480" s="23"/>
      <c r="AB480" s="23"/>
      <c r="AC480" s="23"/>
      <c r="AD480" s="23"/>
      <c r="AE480" s="7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71"/>
      <c r="AV480" s="10"/>
      <c r="AW480" s="23"/>
      <c r="BB480" s="66"/>
      <c r="BC480" s="66"/>
      <c r="BD480" s="66"/>
      <c r="BE480" s="66"/>
      <c r="BF480" s="66"/>
      <c r="BG480" s="66"/>
      <c r="BH480" s="66"/>
      <c r="BI480" s="66"/>
      <c r="BJ480" s="66"/>
      <c r="BK480" s="66"/>
      <c r="BL480" s="66"/>
      <c r="BM480" s="66"/>
      <c r="BN480" s="66"/>
      <c r="BO480" s="66"/>
      <c r="BP480" s="66"/>
      <c r="BQ480" s="66"/>
      <c r="BR480" s="66"/>
      <c r="BS480" s="66"/>
      <c r="BT480" s="66"/>
      <c r="BU480" s="66"/>
      <c r="BV480" s="66"/>
      <c r="BW480" s="66"/>
    </row>
    <row r="481" spans="1:75" ht="15.75" customHeight="1">
      <c r="A481" s="65"/>
      <c r="B481" s="66"/>
      <c r="C481" s="66"/>
      <c r="D481" s="66"/>
      <c r="E481" s="66"/>
      <c r="F481" s="65"/>
      <c r="G481" s="65"/>
      <c r="H481" s="66"/>
      <c r="I481" s="66"/>
      <c r="J481" s="66"/>
      <c r="K481" s="66"/>
      <c r="L481" s="66"/>
      <c r="M481" s="66"/>
      <c r="N481" s="66"/>
      <c r="O481" s="66"/>
      <c r="P481" s="66"/>
      <c r="Q481" s="23"/>
      <c r="AB481" s="23"/>
      <c r="AC481" s="23"/>
      <c r="AD481" s="23"/>
      <c r="AE481" s="7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71"/>
      <c r="AV481" s="10"/>
      <c r="AW481" s="23"/>
      <c r="BB481" s="66"/>
      <c r="BC481" s="66"/>
      <c r="BD481" s="66"/>
      <c r="BE481" s="66"/>
      <c r="BF481" s="66"/>
      <c r="BG481" s="66"/>
      <c r="BH481" s="66"/>
      <c r="BI481" s="66"/>
      <c r="BJ481" s="66"/>
      <c r="BK481" s="66"/>
      <c r="BL481" s="66"/>
      <c r="BM481" s="66"/>
      <c r="BN481" s="66"/>
      <c r="BO481" s="66"/>
      <c r="BP481" s="66"/>
      <c r="BQ481" s="66"/>
      <c r="BR481" s="66"/>
      <c r="BS481" s="66"/>
      <c r="BT481" s="66"/>
      <c r="BU481" s="66"/>
      <c r="BV481" s="66"/>
      <c r="BW481" s="66"/>
    </row>
    <row r="482" spans="1:75" ht="15.75" customHeight="1">
      <c r="A482" s="65"/>
      <c r="B482" s="66"/>
      <c r="C482" s="66"/>
      <c r="D482" s="66"/>
      <c r="E482" s="66"/>
      <c r="F482" s="65"/>
      <c r="G482" s="65"/>
      <c r="H482" s="66"/>
      <c r="I482" s="66"/>
      <c r="J482" s="66"/>
      <c r="K482" s="66"/>
      <c r="L482" s="66"/>
      <c r="M482" s="66"/>
      <c r="N482" s="66"/>
      <c r="O482" s="66"/>
      <c r="P482" s="66"/>
      <c r="Q482" s="23"/>
      <c r="AB482" s="23"/>
      <c r="AC482" s="23"/>
      <c r="AD482" s="23"/>
      <c r="AE482" s="7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71"/>
      <c r="AV482" s="10"/>
      <c r="AW482" s="23"/>
      <c r="BB482" s="66"/>
      <c r="BC482" s="66"/>
      <c r="BD482" s="66"/>
      <c r="BE482" s="66"/>
      <c r="BF482" s="66"/>
      <c r="BG482" s="66"/>
      <c r="BH482" s="66"/>
      <c r="BI482" s="66"/>
      <c r="BJ482" s="66"/>
      <c r="BK482" s="66"/>
      <c r="BL482" s="66"/>
      <c r="BM482" s="66"/>
      <c r="BN482" s="66"/>
      <c r="BO482" s="66"/>
      <c r="BP482" s="66"/>
      <c r="BQ482" s="66"/>
      <c r="BR482" s="66"/>
      <c r="BS482" s="66"/>
      <c r="BT482" s="66"/>
      <c r="BU482" s="66"/>
      <c r="BV482" s="66"/>
      <c r="BW482" s="66"/>
    </row>
    <row r="483" spans="1:75" ht="15.75" customHeight="1">
      <c r="A483" s="65"/>
      <c r="B483" s="66"/>
      <c r="C483" s="66"/>
      <c r="D483" s="66"/>
      <c r="E483" s="66"/>
      <c r="F483" s="65"/>
      <c r="G483" s="65"/>
      <c r="H483" s="66"/>
      <c r="I483" s="66"/>
      <c r="J483" s="66"/>
      <c r="K483" s="66"/>
      <c r="L483" s="66"/>
      <c r="M483" s="66"/>
      <c r="N483" s="66"/>
      <c r="O483" s="66"/>
      <c r="P483" s="66"/>
      <c r="Q483" s="23"/>
      <c r="AB483" s="23"/>
      <c r="AC483" s="23"/>
      <c r="AD483" s="23"/>
      <c r="AE483" s="7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71"/>
      <c r="AV483" s="10"/>
      <c r="AW483" s="23"/>
      <c r="BB483" s="66"/>
      <c r="BC483" s="66"/>
      <c r="BD483" s="66"/>
      <c r="BE483" s="66"/>
      <c r="BF483" s="66"/>
      <c r="BG483" s="66"/>
      <c r="BH483" s="66"/>
      <c r="BI483" s="66"/>
      <c r="BJ483" s="66"/>
      <c r="BK483" s="66"/>
      <c r="BL483" s="66"/>
      <c r="BM483" s="66"/>
      <c r="BN483" s="66"/>
      <c r="BO483" s="66"/>
      <c r="BP483" s="66"/>
      <c r="BQ483" s="66"/>
      <c r="BR483" s="66"/>
      <c r="BS483" s="66"/>
      <c r="BT483" s="66"/>
      <c r="BU483" s="66"/>
      <c r="BV483" s="66"/>
      <c r="BW483" s="66"/>
    </row>
    <row r="484" spans="1:75" ht="15.75" customHeight="1">
      <c r="A484" s="65"/>
      <c r="B484" s="66"/>
      <c r="C484" s="66"/>
      <c r="D484" s="66"/>
      <c r="E484" s="66"/>
      <c r="F484" s="65"/>
      <c r="G484" s="65"/>
      <c r="H484" s="66"/>
      <c r="I484" s="66"/>
      <c r="J484" s="66"/>
      <c r="K484" s="66"/>
      <c r="L484" s="66"/>
      <c r="M484" s="66"/>
      <c r="N484" s="66"/>
      <c r="O484" s="66"/>
      <c r="P484" s="66"/>
      <c r="Q484" s="23"/>
      <c r="AB484" s="23"/>
      <c r="AC484" s="23"/>
      <c r="AD484" s="23"/>
      <c r="AE484" s="7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71"/>
      <c r="AV484" s="10"/>
      <c r="AW484" s="23"/>
      <c r="BB484" s="66"/>
      <c r="BC484" s="66"/>
      <c r="BD484" s="66"/>
      <c r="BE484" s="66"/>
      <c r="BF484" s="66"/>
      <c r="BG484" s="66"/>
      <c r="BH484" s="66"/>
      <c r="BI484" s="66"/>
      <c r="BJ484" s="66"/>
      <c r="BK484" s="66"/>
      <c r="BL484" s="66"/>
      <c r="BM484" s="66"/>
      <c r="BN484" s="66"/>
      <c r="BO484" s="66"/>
      <c r="BP484" s="66"/>
      <c r="BQ484" s="66"/>
      <c r="BR484" s="66"/>
      <c r="BS484" s="66"/>
      <c r="BT484" s="66"/>
      <c r="BU484" s="66"/>
      <c r="BV484" s="66"/>
      <c r="BW484" s="66"/>
    </row>
    <row r="485" spans="1:75" ht="15.75" customHeight="1">
      <c r="A485" s="65"/>
      <c r="B485" s="66"/>
      <c r="C485" s="66"/>
      <c r="D485" s="66"/>
      <c r="E485" s="66"/>
      <c r="F485" s="65"/>
      <c r="G485" s="65"/>
      <c r="H485" s="66"/>
      <c r="I485" s="66"/>
      <c r="J485" s="66"/>
      <c r="K485" s="66"/>
      <c r="L485" s="66"/>
      <c r="M485" s="66"/>
      <c r="N485" s="66"/>
      <c r="O485" s="66"/>
      <c r="P485" s="66"/>
      <c r="Q485" s="23"/>
      <c r="AB485" s="23"/>
      <c r="AC485" s="23"/>
      <c r="AD485" s="23"/>
      <c r="AE485" s="7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71"/>
      <c r="AV485" s="10"/>
      <c r="AW485" s="23"/>
      <c r="BB485" s="66"/>
      <c r="BC485" s="66"/>
      <c r="BD485" s="66"/>
      <c r="BE485" s="66"/>
      <c r="BF485" s="66"/>
      <c r="BG485" s="66"/>
      <c r="BH485" s="66"/>
      <c r="BI485" s="66"/>
      <c r="BJ485" s="66"/>
      <c r="BK485" s="66"/>
      <c r="BL485" s="66"/>
      <c r="BM485" s="66"/>
      <c r="BN485" s="66"/>
      <c r="BO485" s="66"/>
      <c r="BP485" s="66"/>
      <c r="BQ485" s="66"/>
      <c r="BR485" s="66"/>
      <c r="BS485" s="66"/>
      <c r="BT485" s="66"/>
      <c r="BU485" s="66"/>
      <c r="BV485" s="66"/>
      <c r="BW485" s="66"/>
    </row>
    <row r="486" spans="1:75" ht="15.75" customHeight="1">
      <c r="A486" s="65"/>
      <c r="B486" s="66"/>
      <c r="C486" s="66"/>
      <c r="D486" s="66"/>
      <c r="E486" s="66"/>
      <c r="F486" s="65"/>
      <c r="G486" s="65"/>
      <c r="H486" s="66"/>
      <c r="I486" s="66"/>
      <c r="J486" s="66"/>
      <c r="K486" s="66"/>
      <c r="L486" s="66"/>
      <c r="M486" s="66"/>
      <c r="N486" s="66"/>
      <c r="O486" s="66"/>
      <c r="P486" s="66"/>
      <c r="Q486" s="23"/>
      <c r="AB486" s="23"/>
      <c r="AC486" s="23"/>
      <c r="AD486" s="23"/>
      <c r="AE486" s="7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71"/>
      <c r="AV486" s="10"/>
      <c r="AW486" s="23"/>
      <c r="BB486" s="66"/>
      <c r="BC486" s="66"/>
      <c r="BD486" s="66"/>
      <c r="BE486" s="66"/>
      <c r="BF486" s="66"/>
      <c r="BG486" s="66"/>
      <c r="BH486" s="66"/>
      <c r="BI486" s="66"/>
      <c r="BJ486" s="66"/>
      <c r="BK486" s="66"/>
      <c r="BL486" s="66"/>
      <c r="BM486" s="66"/>
      <c r="BN486" s="66"/>
      <c r="BO486" s="66"/>
      <c r="BP486" s="66"/>
      <c r="BQ486" s="66"/>
      <c r="BR486" s="66"/>
      <c r="BS486" s="66"/>
      <c r="BT486" s="66"/>
      <c r="BU486" s="66"/>
      <c r="BV486" s="66"/>
      <c r="BW486" s="66"/>
    </row>
    <row r="487" spans="1:75" ht="15.75" customHeight="1">
      <c r="A487" s="65"/>
      <c r="B487" s="66"/>
      <c r="C487" s="66"/>
      <c r="D487" s="66"/>
      <c r="E487" s="66"/>
      <c r="F487" s="65"/>
      <c r="G487" s="65"/>
      <c r="H487" s="66"/>
      <c r="I487" s="66"/>
      <c r="J487" s="66"/>
      <c r="K487" s="66"/>
      <c r="L487" s="66"/>
      <c r="M487" s="66"/>
      <c r="N487" s="66"/>
      <c r="O487" s="66"/>
      <c r="P487" s="66"/>
      <c r="Q487" s="23"/>
      <c r="AB487" s="23"/>
      <c r="AC487" s="23"/>
      <c r="AD487" s="23"/>
      <c r="AE487" s="7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71"/>
      <c r="AV487" s="10"/>
      <c r="AW487" s="23"/>
      <c r="BB487" s="66"/>
      <c r="BC487" s="66"/>
      <c r="BD487" s="66"/>
      <c r="BE487" s="66"/>
      <c r="BF487" s="66"/>
      <c r="BG487" s="66"/>
      <c r="BH487" s="66"/>
      <c r="BI487" s="66"/>
      <c r="BJ487" s="66"/>
      <c r="BK487" s="66"/>
      <c r="BL487" s="66"/>
      <c r="BM487" s="66"/>
      <c r="BN487" s="66"/>
      <c r="BO487" s="66"/>
      <c r="BP487" s="66"/>
      <c r="BQ487" s="66"/>
      <c r="BR487" s="66"/>
      <c r="BS487" s="66"/>
      <c r="BT487" s="66"/>
      <c r="BU487" s="66"/>
      <c r="BV487" s="66"/>
      <c r="BW487" s="66"/>
    </row>
    <row r="488" spans="1:75" ht="15.75" customHeight="1">
      <c r="A488" s="65"/>
      <c r="B488" s="66"/>
      <c r="C488" s="66"/>
      <c r="D488" s="66"/>
      <c r="E488" s="66"/>
      <c r="F488" s="65"/>
      <c r="G488" s="65"/>
      <c r="H488" s="66"/>
      <c r="I488" s="66"/>
      <c r="J488" s="66"/>
      <c r="K488" s="66"/>
      <c r="L488" s="66"/>
      <c r="M488" s="66"/>
      <c r="N488" s="66"/>
      <c r="O488" s="66"/>
      <c r="P488" s="66"/>
      <c r="Q488" s="23"/>
      <c r="AB488" s="23"/>
      <c r="AC488" s="23"/>
      <c r="AD488" s="23"/>
      <c r="AE488" s="7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71"/>
      <c r="AV488" s="10"/>
      <c r="AW488" s="23"/>
      <c r="BB488" s="66"/>
      <c r="BC488" s="66"/>
      <c r="BD488" s="66"/>
      <c r="BE488" s="66"/>
      <c r="BF488" s="66"/>
      <c r="BG488" s="66"/>
      <c r="BH488" s="66"/>
      <c r="BI488" s="66"/>
      <c r="BJ488" s="66"/>
      <c r="BK488" s="66"/>
      <c r="BL488" s="66"/>
      <c r="BM488" s="66"/>
      <c r="BN488" s="66"/>
      <c r="BO488" s="66"/>
      <c r="BP488" s="66"/>
      <c r="BQ488" s="66"/>
      <c r="BR488" s="66"/>
      <c r="BS488" s="66"/>
      <c r="BT488" s="66"/>
      <c r="BU488" s="66"/>
      <c r="BV488" s="66"/>
      <c r="BW488" s="66"/>
    </row>
    <row r="489" spans="1:75" ht="15.75" customHeight="1">
      <c r="A489" s="65"/>
      <c r="B489" s="66"/>
      <c r="C489" s="66"/>
      <c r="D489" s="66"/>
      <c r="E489" s="66"/>
      <c r="F489" s="65"/>
      <c r="G489" s="65"/>
      <c r="H489" s="66"/>
      <c r="I489" s="66"/>
      <c r="J489" s="66"/>
      <c r="K489" s="66"/>
      <c r="L489" s="66"/>
      <c r="M489" s="66"/>
      <c r="N489" s="66"/>
      <c r="O489" s="66"/>
      <c r="P489" s="66"/>
      <c r="Q489" s="23"/>
      <c r="AB489" s="23"/>
      <c r="AC489" s="23"/>
      <c r="AD489" s="23"/>
      <c r="AE489" s="7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71"/>
      <c r="AV489" s="10"/>
      <c r="AW489" s="23"/>
      <c r="BB489" s="66"/>
      <c r="BC489" s="66"/>
      <c r="BD489" s="66"/>
      <c r="BE489" s="66"/>
      <c r="BF489" s="66"/>
      <c r="BG489" s="66"/>
      <c r="BH489" s="66"/>
      <c r="BI489" s="66"/>
      <c r="BJ489" s="66"/>
      <c r="BK489" s="66"/>
      <c r="BL489" s="66"/>
      <c r="BM489" s="66"/>
      <c r="BN489" s="66"/>
      <c r="BO489" s="66"/>
      <c r="BP489" s="66"/>
      <c r="BQ489" s="66"/>
      <c r="BR489" s="66"/>
      <c r="BS489" s="66"/>
      <c r="BT489" s="66"/>
      <c r="BU489" s="66"/>
      <c r="BV489" s="66"/>
      <c r="BW489" s="66"/>
    </row>
    <row r="490" spans="1:75" ht="15.75" customHeight="1">
      <c r="A490" s="65"/>
      <c r="B490" s="66"/>
      <c r="C490" s="66"/>
      <c r="D490" s="66"/>
      <c r="E490" s="66"/>
      <c r="F490" s="65"/>
      <c r="G490" s="65"/>
      <c r="H490" s="66"/>
      <c r="I490" s="66"/>
      <c r="J490" s="66"/>
      <c r="K490" s="66"/>
      <c r="L490" s="66"/>
      <c r="M490" s="66"/>
      <c r="N490" s="66"/>
      <c r="O490" s="66"/>
      <c r="P490" s="66"/>
      <c r="Q490" s="23"/>
      <c r="AB490" s="23"/>
      <c r="AC490" s="23"/>
      <c r="AD490" s="23"/>
      <c r="AE490" s="7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71"/>
      <c r="AV490" s="10"/>
      <c r="AW490" s="23"/>
      <c r="BB490" s="66"/>
      <c r="BC490" s="66"/>
      <c r="BD490" s="66"/>
      <c r="BE490" s="66"/>
      <c r="BF490" s="66"/>
      <c r="BG490" s="66"/>
      <c r="BH490" s="66"/>
      <c r="BI490" s="66"/>
      <c r="BJ490" s="66"/>
      <c r="BK490" s="66"/>
      <c r="BL490" s="66"/>
      <c r="BM490" s="66"/>
      <c r="BN490" s="66"/>
      <c r="BO490" s="66"/>
      <c r="BP490" s="66"/>
      <c r="BQ490" s="66"/>
      <c r="BR490" s="66"/>
      <c r="BS490" s="66"/>
      <c r="BT490" s="66"/>
      <c r="BU490" s="66"/>
      <c r="BV490" s="66"/>
      <c r="BW490" s="66"/>
    </row>
    <row r="491" spans="1:75" ht="15.75" customHeight="1">
      <c r="A491" s="65"/>
      <c r="B491" s="66"/>
      <c r="C491" s="66"/>
      <c r="D491" s="66"/>
      <c r="E491" s="66"/>
      <c r="F491" s="65"/>
      <c r="G491" s="65"/>
      <c r="H491" s="66"/>
      <c r="I491" s="66"/>
      <c r="J491" s="66"/>
      <c r="K491" s="66"/>
      <c r="L491" s="66"/>
      <c r="M491" s="66"/>
      <c r="N491" s="66"/>
      <c r="O491" s="66"/>
      <c r="P491" s="66"/>
      <c r="Q491" s="23"/>
      <c r="AB491" s="23"/>
      <c r="AC491" s="23"/>
      <c r="AD491" s="23"/>
      <c r="AE491" s="7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71"/>
      <c r="AV491" s="10"/>
      <c r="AW491" s="23"/>
      <c r="BB491" s="66"/>
      <c r="BC491" s="66"/>
      <c r="BD491" s="66"/>
      <c r="BE491" s="66"/>
      <c r="BF491" s="66"/>
      <c r="BG491" s="66"/>
      <c r="BH491" s="66"/>
      <c r="BI491" s="66"/>
      <c r="BJ491" s="66"/>
      <c r="BK491" s="66"/>
      <c r="BL491" s="66"/>
      <c r="BM491" s="66"/>
      <c r="BN491" s="66"/>
      <c r="BO491" s="66"/>
      <c r="BP491" s="66"/>
      <c r="BQ491" s="66"/>
      <c r="BR491" s="66"/>
      <c r="BS491" s="66"/>
      <c r="BT491" s="66"/>
      <c r="BU491" s="66"/>
      <c r="BV491" s="66"/>
      <c r="BW491" s="66"/>
    </row>
    <row r="492" spans="1:75" ht="15.75" customHeight="1">
      <c r="A492" s="65"/>
      <c r="B492" s="66"/>
      <c r="C492" s="66"/>
      <c r="D492" s="66"/>
      <c r="E492" s="66"/>
      <c r="F492" s="65"/>
      <c r="G492" s="65"/>
      <c r="H492" s="66"/>
      <c r="I492" s="66"/>
      <c r="J492" s="66"/>
      <c r="K492" s="66"/>
      <c r="L492" s="66"/>
      <c r="M492" s="66"/>
      <c r="N492" s="66"/>
      <c r="O492" s="66"/>
      <c r="P492" s="66"/>
      <c r="Q492" s="23"/>
      <c r="AB492" s="23"/>
      <c r="AC492" s="23"/>
      <c r="AD492" s="23"/>
      <c r="AE492" s="7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71"/>
      <c r="AV492" s="10"/>
      <c r="AW492" s="23"/>
      <c r="BB492" s="66"/>
      <c r="BC492" s="66"/>
      <c r="BD492" s="66"/>
      <c r="BE492" s="66"/>
      <c r="BF492" s="66"/>
      <c r="BG492" s="66"/>
      <c r="BH492" s="66"/>
      <c r="BI492" s="66"/>
      <c r="BJ492" s="66"/>
      <c r="BK492" s="66"/>
      <c r="BL492" s="66"/>
      <c r="BM492" s="66"/>
      <c r="BN492" s="66"/>
      <c r="BO492" s="66"/>
      <c r="BP492" s="66"/>
      <c r="BQ492" s="66"/>
      <c r="BR492" s="66"/>
      <c r="BS492" s="66"/>
      <c r="BT492" s="66"/>
      <c r="BU492" s="66"/>
      <c r="BV492" s="66"/>
      <c r="BW492" s="66"/>
    </row>
    <row r="493" spans="1:75" ht="15.75" customHeight="1">
      <c r="A493" s="65"/>
      <c r="B493" s="66"/>
      <c r="C493" s="66"/>
      <c r="D493" s="66"/>
      <c r="E493" s="66"/>
      <c r="F493" s="65"/>
      <c r="G493" s="65"/>
      <c r="H493" s="66"/>
      <c r="I493" s="66"/>
      <c r="J493" s="66"/>
      <c r="K493" s="66"/>
      <c r="L493" s="66"/>
      <c r="M493" s="66"/>
      <c r="N493" s="66"/>
      <c r="O493" s="66"/>
      <c r="P493" s="66"/>
      <c r="Q493" s="23"/>
      <c r="AB493" s="23"/>
      <c r="AC493" s="23"/>
      <c r="AD493" s="23"/>
      <c r="AE493" s="7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71"/>
      <c r="AV493" s="10"/>
      <c r="AW493" s="23"/>
      <c r="BB493" s="66"/>
      <c r="BC493" s="66"/>
      <c r="BD493" s="66"/>
      <c r="BE493" s="66"/>
      <c r="BF493" s="66"/>
      <c r="BG493" s="66"/>
      <c r="BH493" s="66"/>
      <c r="BI493" s="66"/>
      <c r="BJ493" s="66"/>
      <c r="BK493" s="66"/>
      <c r="BL493" s="66"/>
      <c r="BM493" s="66"/>
      <c r="BN493" s="66"/>
      <c r="BO493" s="66"/>
      <c r="BP493" s="66"/>
      <c r="BQ493" s="66"/>
      <c r="BR493" s="66"/>
      <c r="BS493" s="66"/>
      <c r="BT493" s="66"/>
      <c r="BU493" s="66"/>
      <c r="BV493" s="66"/>
      <c r="BW493" s="66"/>
    </row>
    <row r="494" spans="1:75" ht="15.75" customHeight="1">
      <c r="A494" s="65"/>
      <c r="B494" s="66"/>
      <c r="C494" s="66"/>
      <c r="D494" s="66"/>
      <c r="E494" s="66"/>
      <c r="F494" s="65"/>
      <c r="G494" s="65"/>
      <c r="H494" s="66"/>
      <c r="I494" s="66"/>
      <c r="J494" s="66"/>
      <c r="K494" s="66"/>
      <c r="L494" s="66"/>
      <c r="M494" s="66"/>
      <c r="N494" s="66"/>
      <c r="O494" s="66"/>
      <c r="P494" s="66"/>
      <c r="Q494" s="23"/>
      <c r="AB494" s="23"/>
      <c r="AC494" s="23"/>
      <c r="AD494" s="23"/>
      <c r="AE494" s="7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71"/>
      <c r="AV494" s="10"/>
      <c r="AW494" s="23"/>
      <c r="BB494" s="66"/>
      <c r="BC494" s="66"/>
      <c r="BD494" s="66"/>
      <c r="BE494" s="66"/>
      <c r="BF494" s="66"/>
      <c r="BG494" s="66"/>
      <c r="BH494" s="66"/>
      <c r="BI494" s="66"/>
      <c r="BJ494" s="66"/>
      <c r="BK494" s="66"/>
      <c r="BL494" s="66"/>
      <c r="BM494" s="66"/>
      <c r="BN494" s="66"/>
      <c r="BO494" s="66"/>
      <c r="BP494" s="66"/>
      <c r="BQ494" s="66"/>
      <c r="BR494" s="66"/>
      <c r="BS494" s="66"/>
      <c r="BT494" s="66"/>
      <c r="BU494" s="66"/>
      <c r="BV494" s="66"/>
      <c r="BW494" s="66"/>
    </row>
    <row r="495" spans="1:75" ht="15.75" customHeight="1">
      <c r="A495" s="65"/>
      <c r="B495" s="66"/>
      <c r="C495" s="66"/>
      <c r="D495" s="66"/>
      <c r="E495" s="66"/>
      <c r="F495" s="65"/>
      <c r="G495" s="65"/>
      <c r="H495" s="66"/>
      <c r="I495" s="66"/>
      <c r="J495" s="66"/>
      <c r="K495" s="66"/>
      <c r="L495" s="66"/>
      <c r="M495" s="66"/>
      <c r="N495" s="66"/>
      <c r="O495" s="66"/>
      <c r="P495" s="66"/>
      <c r="Q495" s="23"/>
      <c r="AB495" s="23"/>
      <c r="AC495" s="23"/>
      <c r="AD495" s="23"/>
      <c r="AE495" s="7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71"/>
      <c r="AV495" s="10"/>
      <c r="AW495" s="23"/>
      <c r="BB495" s="66"/>
      <c r="BC495" s="66"/>
      <c r="BD495" s="66"/>
      <c r="BE495" s="66"/>
      <c r="BF495" s="66"/>
      <c r="BG495" s="66"/>
      <c r="BH495" s="66"/>
      <c r="BI495" s="66"/>
      <c r="BJ495" s="66"/>
      <c r="BK495" s="66"/>
      <c r="BL495" s="66"/>
      <c r="BM495" s="66"/>
      <c r="BN495" s="66"/>
      <c r="BO495" s="66"/>
      <c r="BP495" s="66"/>
      <c r="BQ495" s="66"/>
      <c r="BR495" s="66"/>
      <c r="BS495" s="66"/>
      <c r="BT495" s="66"/>
      <c r="BU495" s="66"/>
      <c r="BV495" s="66"/>
      <c r="BW495" s="66"/>
    </row>
    <row r="496" spans="1:75" ht="15.75" customHeight="1">
      <c r="A496" s="65"/>
      <c r="B496" s="66"/>
      <c r="C496" s="66"/>
      <c r="D496" s="66"/>
      <c r="E496" s="66"/>
      <c r="F496" s="65"/>
      <c r="G496" s="65"/>
      <c r="H496" s="66"/>
      <c r="I496" s="66"/>
      <c r="J496" s="66"/>
      <c r="K496" s="66"/>
      <c r="L496" s="66"/>
      <c r="M496" s="66"/>
      <c r="N496" s="66"/>
      <c r="O496" s="66"/>
      <c r="P496" s="66"/>
      <c r="Q496" s="23"/>
      <c r="AB496" s="23"/>
      <c r="AC496" s="23"/>
      <c r="AD496" s="23"/>
      <c r="AE496" s="7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71"/>
      <c r="AV496" s="10"/>
      <c r="AW496" s="23"/>
      <c r="BB496" s="66"/>
      <c r="BC496" s="66"/>
      <c r="BD496" s="66"/>
      <c r="BE496" s="66"/>
      <c r="BF496" s="66"/>
      <c r="BG496" s="66"/>
      <c r="BH496" s="66"/>
      <c r="BI496" s="66"/>
      <c r="BJ496" s="66"/>
      <c r="BK496" s="66"/>
      <c r="BL496" s="66"/>
      <c r="BM496" s="66"/>
      <c r="BN496" s="66"/>
      <c r="BO496" s="66"/>
      <c r="BP496" s="66"/>
      <c r="BQ496" s="66"/>
      <c r="BR496" s="66"/>
      <c r="BS496" s="66"/>
      <c r="BT496" s="66"/>
      <c r="BU496" s="66"/>
      <c r="BV496" s="66"/>
      <c r="BW496" s="66"/>
    </row>
    <row r="497" spans="1:75" ht="15.75" customHeight="1">
      <c r="A497" s="65"/>
      <c r="B497" s="66"/>
      <c r="C497" s="66"/>
      <c r="D497" s="66"/>
      <c r="E497" s="66"/>
      <c r="F497" s="65"/>
      <c r="G497" s="65"/>
      <c r="H497" s="66"/>
      <c r="I497" s="66"/>
      <c r="J497" s="66"/>
      <c r="K497" s="66"/>
      <c r="L497" s="66"/>
      <c r="M497" s="66"/>
      <c r="N497" s="66"/>
      <c r="O497" s="66"/>
      <c r="P497" s="66"/>
      <c r="Q497" s="23"/>
      <c r="AB497" s="23"/>
      <c r="AC497" s="23"/>
      <c r="AD497" s="23"/>
      <c r="AE497" s="7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71"/>
      <c r="AV497" s="10"/>
      <c r="AW497" s="23"/>
      <c r="BB497" s="66"/>
      <c r="BC497" s="66"/>
      <c r="BD497" s="66"/>
      <c r="BE497" s="66"/>
      <c r="BF497" s="66"/>
      <c r="BG497" s="66"/>
      <c r="BH497" s="66"/>
      <c r="BI497" s="66"/>
      <c r="BJ497" s="66"/>
      <c r="BK497" s="66"/>
      <c r="BL497" s="66"/>
      <c r="BM497" s="66"/>
      <c r="BN497" s="66"/>
      <c r="BO497" s="66"/>
      <c r="BP497" s="66"/>
      <c r="BQ497" s="66"/>
      <c r="BR497" s="66"/>
      <c r="BS497" s="66"/>
      <c r="BT497" s="66"/>
      <c r="BU497" s="66"/>
      <c r="BV497" s="66"/>
      <c r="BW497" s="66"/>
    </row>
    <row r="498" spans="1:75" ht="15.75" customHeight="1">
      <c r="A498" s="65"/>
      <c r="B498" s="66"/>
      <c r="C498" s="66"/>
      <c r="D498" s="66"/>
      <c r="E498" s="66"/>
      <c r="F498" s="65"/>
      <c r="G498" s="65"/>
      <c r="H498" s="66"/>
      <c r="I498" s="66"/>
      <c r="J498" s="66"/>
      <c r="K498" s="66"/>
      <c r="L498" s="66"/>
      <c r="M498" s="66"/>
      <c r="N498" s="66"/>
      <c r="O498" s="66"/>
      <c r="P498" s="66"/>
      <c r="Q498" s="23"/>
      <c r="AB498" s="23"/>
      <c r="AC498" s="23"/>
      <c r="AD498" s="23"/>
      <c r="AE498" s="7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71"/>
      <c r="AV498" s="10"/>
      <c r="AW498" s="23"/>
      <c r="BB498" s="66"/>
      <c r="BC498" s="66"/>
      <c r="BD498" s="66"/>
      <c r="BE498" s="66"/>
      <c r="BF498" s="66"/>
      <c r="BG498" s="66"/>
      <c r="BH498" s="66"/>
      <c r="BI498" s="66"/>
      <c r="BJ498" s="66"/>
      <c r="BK498" s="66"/>
      <c r="BL498" s="66"/>
      <c r="BM498" s="66"/>
      <c r="BN498" s="66"/>
      <c r="BO498" s="66"/>
      <c r="BP498" s="66"/>
      <c r="BQ498" s="66"/>
      <c r="BR498" s="66"/>
      <c r="BS498" s="66"/>
      <c r="BT498" s="66"/>
      <c r="BU498" s="66"/>
      <c r="BV498" s="66"/>
      <c r="BW498" s="66"/>
    </row>
    <row r="499" spans="1:75" ht="15.75" customHeight="1">
      <c r="A499" s="65"/>
      <c r="B499" s="66"/>
      <c r="C499" s="66"/>
      <c r="D499" s="66"/>
      <c r="E499" s="66"/>
      <c r="F499" s="65"/>
      <c r="G499" s="65"/>
      <c r="H499" s="66"/>
      <c r="I499" s="66"/>
      <c r="J499" s="66"/>
      <c r="K499" s="66"/>
      <c r="L499" s="66"/>
      <c r="M499" s="66"/>
      <c r="N499" s="66"/>
      <c r="O499" s="66"/>
      <c r="P499" s="66"/>
      <c r="Q499" s="23"/>
      <c r="AB499" s="23"/>
      <c r="AC499" s="23"/>
      <c r="AD499" s="23"/>
      <c r="AE499" s="7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71"/>
      <c r="AV499" s="10"/>
      <c r="AW499" s="23"/>
      <c r="BB499" s="66"/>
      <c r="BC499" s="66"/>
      <c r="BD499" s="66"/>
      <c r="BE499" s="66"/>
      <c r="BF499" s="66"/>
      <c r="BG499" s="66"/>
      <c r="BH499" s="66"/>
      <c r="BI499" s="66"/>
      <c r="BJ499" s="66"/>
      <c r="BK499" s="66"/>
      <c r="BL499" s="66"/>
      <c r="BM499" s="66"/>
      <c r="BN499" s="66"/>
      <c r="BO499" s="66"/>
      <c r="BP499" s="66"/>
      <c r="BQ499" s="66"/>
      <c r="BR499" s="66"/>
      <c r="BS499" s="66"/>
      <c r="BT499" s="66"/>
      <c r="BU499" s="66"/>
      <c r="BV499" s="66"/>
      <c r="BW499" s="66"/>
    </row>
    <row r="500" spans="1:75" ht="15.75" customHeight="1">
      <c r="A500" s="65"/>
      <c r="B500" s="66"/>
      <c r="C500" s="66"/>
      <c r="D500" s="66"/>
      <c r="E500" s="66"/>
      <c r="F500" s="65"/>
      <c r="G500" s="65"/>
      <c r="H500" s="66"/>
      <c r="I500" s="66"/>
      <c r="J500" s="66"/>
      <c r="K500" s="66"/>
      <c r="L500" s="66"/>
      <c r="M500" s="66"/>
      <c r="N500" s="66"/>
      <c r="O500" s="66"/>
      <c r="P500" s="66"/>
      <c r="Q500" s="23"/>
      <c r="AB500" s="23"/>
      <c r="AC500" s="23"/>
      <c r="AD500" s="23"/>
      <c r="AE500" s="7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71"/>
      <c r="AV500" s="10"/>
      <c r="AW500" s="23"/>
      <c r="BB500" s="66"/>
      <c r="BC500" s="66"/>
      <c r="BD500" s="66"/>
      <c r="BE500" s="66"/>
      <c r="BF500" s="66"/>
      <c r="BG500" s="66"/>
      <c r="BH500" s="66"/>
      <c r="BI500" s="66"/>
      <c r="BJ500" s="66"/>
      <c r="BK500" s="66"/>
      <c r="BL500" s="66"/>
      <c r="BM500" s="66"/>
      <c r="BN500" s="66"/>
      <c r="BO500" s="66"/>
      <c r="BP500" s="66"/>
      <c r="BQ500" s="66"/>
      <c r="BR500" s="66"/>
      <c r="BS500" s="66"/>
      <c r="BT500" s="66"/>
      <c r="BU500" s="66"/>
      <c r="BV500" s="66"/>
      <c r="BW500" s="66"/>
    </row>
    <row r="501" spans="1:75" ht="15.75" customHeight="1">
      <c r="A501" s="65"/>
      <c r="B501" s="66"/>
      <c r="C501" s="66"/>
      <c r="D501" s="66"/>
      <c r="E501" s="66"/>
      <c r="F501" s="65"/>
      <c r="G501" s="65"/>
      <c r="H501" s="66"/>
      <c r="I501" s="66"/>
      <c r="J501" s="66"/>
      <c r="K501" s="66"/>
      <c r="L501" s="66"/>
      <c r="M501" s="66"/>
      <c r="N501" s="66"/>
      <c r="O501" s="66"/>
      <c r="P501" s="66"/>
      <c r="Q501" s="23"/>
      <c r="AB501" s="23"/>
      <c r="AC501" s="23"/>
      <c r="AD501" s="23"/>
      <c r="AE501" s="7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71"/>
      <c r="AV501" s="10"/>
      <c r="AW501" s="23"/>
      <c r="BB501" s="66"/>
      <c r="BC501" s="66"/>
      <c r="BD501" s="66"/>
      <c r="BE501" s="66"/>
      <c r="BF501" s="66"/>
      <c r="BG501" s="66"/>
      <c r="BH501" s="66"/>
      <c r="BI501" s="66"/>
      <c r="BJ501" s="66"/>
      <c r="BK501" s="66"/>
      <c r="BL501" s="66"/>
      <c r="BM501" s="66"/>
      <c r="BN501" s="66"/>
      <c r="BO501" s="66"/>
      <c r="BP501" s="66"/>
      <c r="BQ501" s="66"/>
      <c r="BR501" s="66"/>
      <c r="BS501" s="66"/>
      <c r="BT501" s="66"/>
      <c r="BU501" s="66"/>
      <c r="BV501" s="66"/>
      <c r="BW501" s="66"/>
    </row>
    <row r="502" spans="1:75" ht="15.75" customHeight="1">
      <c r="A502" s="65"/>
      <c r="B502" s="66"/>
      <c r="C502" s="66"/>
      <c r="D502" s="66"/>
      <c r="E502" s="66"/>
      <c r="F502" s="65"/>
      <c r="G502" s="65"/>
      <c r="H502" s="66"/>
      <c r="I502" s="66"/>
      <c r="J502" s="66"/>
      <c r="K502" s="66"/>
      <c r="L502" s="66"/>
      <c r="M502" s="66"/>
      <c r="N502" s="66"/>
      <c r="O502" s="66"/>
      <c r="P502" s="66"/>
      <c r="Q502" s="23"/>
      <c r="AB502" s="23"/>
      <c r="AC502" s="23"/>
      <c r="AD502" s="23"/>
      <c r="AE502" s="7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71"/>
      <c r="AV502" s="10"/>
      <c r="AW502" s="23"/>
      <c r="BB502" s="66"/>
      <c r="BC502" s="66"/>
      <c r="BD502" s="66"/>
      <c r="BE502" s="66"/>
      <c r="BF502" s="66"/>
      <c r="BG502" s="66"/>
      <c r="BH502" s="66"/>
      <c r="BI502" s="66"/>
      <c r="BJ502" s="66"/>
      <c r="BK502" s="66"/>
      <c r="BL502" s="66"/>
      <c r="BM502" s="66"/>
      <c r="BN502" s="66"/>
      <c r="BO502" s="66"/>
      <c r="BP502" s="66"/>
      <c r="BQ502" s="66"/>
      <c r="BR502" s="66"/>
      <c r="BS502" s="66"/>
      <c r="BT502" s="66"/>
      <c r="BU502" s="66"/>
      <c r="BV502" s="66"/>
      <c r="BW502" s="66"/>
    </row>
    <row r="503" spans="1:75" ht="15.75" customHeight="1">
      <c r="A503" s="65"/>
      <c r="B503" s="66"/>
      <c r="C503" s="66"/>
      <c r="D503" s="66"/>
      <c r="E503" s="66"/>
      <c r="F503" s="65"/>
      <c r="G503" s="65"/>
      <c r="H503" s="66"/>
      <c r="I503" s="66"/>
      <c r="J503" s="66"/>
      <c r="K503" s="66"/>
      <c r="L503" s="66"/>
      <c r="M503" s="66"/>
      <c r="N503" s="66"/>
      <c r="O503" s="66"/>
      <c r="P503" s="66"/>
      <c r="Q503" s="23"/>
      <c r="AB503" s="23"/>
      <c r="AC503" s="23"/>
      <c r="AD503" s="23"/>
      <c r="AE503" s="7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71"/>
      <c r="AV503" s="10"/>
      <c r="AW503" s="23"/>
      <c r="BB503" s="66"/>
      <c r="BC503" s="66"/>
      <c r="BD503" s="66"/>
      <c r="BE503" s="66"/>
      <c r="BF503" s="66"/>
      <c r="BG503" s="66"/>
      <c r="BH503" s="66"/>
      <c r="BI503" s="66"/>
      <c r="BJ503" s="66"/>
      <c r="BK503" s="66"/>
      <c r="BL503" s="66"/>
      <c r="BM503" s="66"/>
      <c r="BN503" s="66"/>
      <c r="BO503" s="66"/>
      <c r="BP503" s="66"/>
      <c r="BQ503" s="66"/>
      <c r="BR503" s="66"/>
      <c r="BS503" s="66"/>
      <c r="BT503" s="66"/>
      <c r="BU503" s="66"/>
      <c r="BV503" s="66"/>
      <c r="BW503" s="66"/>
    </row>
    <row r="504" spans="1:75" ht="15.75" customHeight="1">
      <c r="A504" s="65"/>
      <c r="B504" s="66"/>
      <c r="C504" s="66"/>
      <c r="D504" s="66"/>
      <c r="E504" s="66"/>
      <c r="F504" s="65"/>
      <c r="G504" s="65"/>
      <c r="H504" s="66"/>
      <c r="I504" s="66"/>
      <c r="J504" s="66"/>
      <c r="K504" s="66"/>
      <c r="L504" s="66"/>
      <c r="M504" s="66"/>
      <c r="N504" s="66"/>
      <c r="O504" s="66"/>
      <c r="P504" s="66"/>
      <c r="Q504" s="23"/>
      <c r="AB504" s="23"/>
      <c r="AC504" s="23"/>
      <c r="AD504" s="23"/>
      <c r="AE504" s="7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71"/>
      <c r="AV504" s="10"/>
      <c r="AW504" s="23"/>
      <c r="BB504" s="66"/>
      <c r="BC504" s="66"/>
      <c r="BD504" s="66"/>
      <c r="BE504" s="66"/>
      <c r="BF504" s="66"/>
      <c r="BG504" s="66"/>
      <c r="BH504" s="66"/>
      <c r="BI504" s="66"/>
      <c r="BJ504" s="66"/>
      <c r="BK504" s="66"/>
      <c r="BL504" s="66"/>
      <c r="BM504" s="66"/>
      <c r="BN504" s="66"/>
      <c r="BO504" s="66"/>
      <c r="BP504" s="66"/>
      <c r="BQ504" s="66"/>
      <c r="BR504" s="66"/>
      <c r="BS504" s="66"/>
      <c r="BT504" s="66"/>
      <c r="BU504" s="66"/>
      <c r="BV504" s="66"/>
      <c r="BW504" s="66"/>
    </row>
    <row r="505" spans="1:75" ht="15.75" customHeight="1">
      <c r="A505" s="65"/>
      <c r="B505" s="66"/>
      <c r="C505" s="66"/>
      <c r="D505" s="66"/>
      <c r="E505" s="66"/>
      <c r="F505" s="65"/>
      <c r="G505" s="65"/>
      <c r="H505" s="66"/>
      <c r="I505" s="66"/>
      <c r="J505" s="66"/>
      <c r="K505" s="66"/>
      <c r="L505" s="66"/>
      <c r="M505" s="66"/>
      <c r="N505" s="66"/>
      <c r="O505" s="66"/>
      <c r="P505" s="66"/>
      <c r="Q505" s="23"/>
      <c r="AB505" s="23"/>
      <c r="AC505" s="23"/>
      <c r="AD505" s="23"/>
      <c r="AE505" s="7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71"/>
      <c r="AV505" s="10"/>
      <c r="AW505" s="23"/>
      <c r="BB505" s="66"/>
      <c r="BC505" s="66"/>
      <c r="BD505" s="66"/>
      <c r="BE505" s="66"/>
      <c r="BF505" s="66"/>
      <c r="BG505" s="66"/>
      <c r="BH505" s="66"/>
      <c r="BI505" s="66"/>
      <c r="BJ505" s="66"/>
      <c r="BK505" s="66"/>
      <c r="BL505" s="66"/>
      <c r="BM505" s="66"/>
      <c r="BN505" s="66"/>
      <c r="BO505" s="66"/>
      <c r="BP505" s="66"/>
      <c r="BQ505" s="66"/>
      <c r="BR505" s="66"/>
      <c r="BS505" s="66"/>
      <c r="BT505" s="66"/>
      <c r="BU505" s="66"/>
      <c r="BV505" s="66"/>
      <c r="BW505" s="66"/>
    </row>
    <row r="506" spans="1:75" ht="15.75" customHeight="1">
      <c r="A506" s="65"/>
      <c r="B506" s="66"/>
      <c r="C506" s="66"/>
      <c r="D506" s="66"/>
      <c r="E506" s="66"/>
      <c r="F506" s="65"/>
      <c r="G506" s="65"/>
      <c r="H506" s="66"/>
      <c r="I506" s="66"/>
      <c r="J506" s="66"/>
      <c r="K506" s="66"/>
      <c r="L506" s="66"/>
      <c r="M506" s="66"/>
      <c r="N506" s="66"/>
      <c r="O506" s="66"/>
      <c r="P506" s="66"/>
      <c r="Q506" s="23"/>
      <c r="AB506" s="23"/>
      <c r="AC506" s="23"/>
      <c r="AD506" s="23"/>
      <c r="AE506" s="7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71"/>
      <c r="AV506" s="10"/>
      <c r="AW506" s="23"/>
      <c r="BB506" s="66"/>
      <c r="BC506" s="66"/>
      <c r="BD506" s="66"/>
      <c r="BE506" s="66"/>
      <c r="BF506" s="66"/>
      <c r="BG506" s="66"/>
      <c r="BH506" s="66"/>
      <c r="BI506" s="66"/>
      <c r="BJ506" s="66"/>
      <c r="BK506" s="66"/>
      <c r="BL506" s="66"/>
      <c r="BM506" s="66"/>
      <c r="BN506" s="66"/>
      <c r="BO506" s="66"/>
      <c r="BP506" s="66"/>
      <c r="BQ506" s="66"/>
      <c r="BR506" s="66"/>
      <c r="BS506" s="66"/>
      <c r="BT506" s="66"/>
      <c r="BU506" s="66"/>
      <c r="BV506" s="66"/>
      <c r="BW506" s="66"/>
    </row>
    <row r="507" spans="1:75" ht="15.75" customHeight="1">
      <c r="A507" s="65"/>
      <c r="B507" s="66"/>
      <c r="C507" s="66"/>
      <c r="D507" s="66"/>
      <c r="E507" s="66"/>
      <c r="F507" s="65"/>
      <c r="G507" s="65"/>
      <c r="H507" s="66"/>
      <c r="I507" s="66"/>
      <c r="J507" s="66"/>
      <c r="K507" s="66"/>
      <c r="L507" s="66"/>
      <c r="M507" s="66"/>
      <c r="N507" s="66"/>
      <c r="O507" s="66"/>
      <c r="P507" s="66"/>
      <c r="Q507" s="23"/>
      <c r="AB507" s="23"/>
      <c r="AC507" s="23"/>
      <c r="AD507" s="23"/>
      <c r="AE507" s="7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71"/>
      <c r="AV507" s="10"/>
      <c r="AW507" s="23"/>
      <c r="BB507" s="66"/>
      <c r="BC507" s="66"/>
      <c r="BD507" s="66"/>
      <c r="BE507" s="66"/>
      <c r="BF507" s="66"/>
      <c r="BG507" s="66"/>
      <c r="BH507" s="66"/>
      <c r="BI507" s="66"/>
      <c r="BJ507" s="66"/>
      <c r="BK507" s="66"/>
      <c r="BL507" s="66"/>
      <c r="BM507" s="66"/>
      <c r="BN507" s="66"/>
      <c r="BO507" s="66"/>
      <c r="BP507" s="66"/>
      <c r="BQ507" s="66"/>
      <c r="BR507" s="66"/>
      <c r="BS507" s="66"/>
      <c r="BT507" s="66"/>
      <c r="BU507" s="66"/>
      <c r="BV507" s="66"/>
      <c r="BW507" s="66"/>
    </row>
    <row r="508" spans="1:75" ht="15.75" customHeight="1">
      <c r="A508" s="65"/>
      <c r="B508" s="66"/>
      <c r="C508" s="66"/>
      <c r="D508" s="66"/>
      <c r="E508" s="66"/>
      <c r="F508" s="65"/>
      <c r="G508" s="65"/>
      <c r="H508" s="66"/>
      <c r="I508" s="66"/>
      <c r="J508" s="66"/>
      <c r="K508" s="66"/>
      <c r="L508" s="66"/>
      <c r="M508" s="66"/>
      <c r="N508" s="66"/>
      <c r="O508" s="66"/>
      <c r="P508" s="66"/>
      <c r="Q508" s="23"/>
      <c r="AB508" s="23"/>
      <c r="AC508" s="23"/>
      <c r="AD508" s="23"/>
      <c r="AE508" s="7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71"/>
      <c r="AV508" s="10"/>
      <c r="AW508" s="23"/>
      <c r="BB508" s="66"/>
      <c r="BC508" s="66"/>
      <c r="BD508" s="66"/>
      <c r="BE508" s="66"/>
      <c r="BF508" s="66"/>
      <c r="BG508" s="66"/>
      <c r="BH508" s="66"/>
      <c r="BI508" s="66"/>
      <c r="BJ508" s="66"/>
      <c r="BK508" s="66"/>
      <c r="BL508" s="66"/>
      <c r="BM508" s="66"/>
      <c r="BN508" s="66"/>
      <c r="BO508" s="66"/>
      <c r="BP508" s="66"/>
      <c r="BQ508" s="66"/>
      <c r="BR508" s="66"/>
      <c r="BS508" s="66"/>
      <c r="BT508" s="66"/>
      <c r="BU508" s="66"/>
      <c r="BV508" s="66"/>
      <c r="BW508" s="66"/>
    </row>
    <row r="509" spans="1:75" ht="15.75" customHeight="1">
      <c r="A509" s="65"/>
      <c r="B509" s="66"/>
      <c r="C509" s="66"/>
      <c r="D509" s="66"/>
      <c r="E509" s="66"/>
      <c r="F509" s="65"/>
      <c r="G509" s="65"/>
      <c r="H509" s="66"/>
      <c r="I509" s="66"/>
      <c r="J509" s="66"/>
      <c r="K509" s="66"/>
      <c r="L509" s="66"/>
      <c r="M509" s="66"/>
      <c r="N509" s="66"/>
      <c r="O509" s="66"/>
      <c r="P509" s="66"/>
      <c r="Q509" s="23"/>
      <c r="AB509" s="23"/>
      <c r="AC509" s="23"/>
      <c r="AD509" s="23"/>
      <c r="AE509" s="7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71"/>
      <c r="AV509" s="10"/>
      <c r="AW509" s="23"/>
      <c r="BB509" s="66"/>
      <c r="BC509" s="66"/>
      <c r="BD509" s="66"/>
      <c r="BE509" s="66"/>
      <c r="BF509" s="66"/>
      <c r="BG509" s="66"/>
      <c r="BH509" s="66"/>
      <c r="BI509" s="66"/>
      <c r="BJ509" s="66"/>
      <c r="BK509" s="66"/>
      <c r="BL509" s="66"/>
      <c r="BM509" s="66"/>
      <c r="BN509" s="66"/>
      <c r="BO509" s="66"/>
      <c r="BP509" s="66"/>
      <c r="BQ509" s="66"/>
      <c r="BR509" s="66"/>
      <c r="BS509" s="66"/>
      <c r="BT509" s="66"/>
      <c r="BU509" s="66"/>
      <c r="BV509" s="66"/>
      <c r="BW509" s="66"/>
    </row>
    <row r="510" spans="1:75" ht="15.75" customHeight="1">
      <c r="A510" s="65"/>
      <c r="B510" s="66"/>
      <c r="C510" s="66"/>
      <c r="D510" s="66"/>
      <c r="E510" s="66"/>
      <c r="F510" s="65"/>
      <c r="G510" s="65"/>
      <c r="H510" s="66"/>
      <c r="I510" s="66"/>
      <c r="J510" s="66"/>
      <c r="K510" s="66"/>
      <c r="L510" s="66"/>
      <c r="M510" s="66"/>
      <c r="N510" s="66"/>
      <c r="O510" s="66"/>
      <c r="P510" s="66"/>
      <c r="Q510" s="23"/>
      <c r="AB510" s="23"/>
      <c r="AC510" s="23"/>
      <c r="AD510" s="23"/>
      <c r="AE510" s="7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71"/>
      <c r="AV510" s="10"/>
      <c r="AW510" s="23"/>
      <c r="BB510" s="66"/>
      <c r="BC510" s="66"/>
      <c r="BD510" s="66"/>
      <c r="BE510" s="66"/>
      <c r="BF510" s="66"/>
      <c r="BG510" s="66"/>
      <c r="BH510" s="66"/>
      <c r="BI510" s="66"/>
      <c r="BJ510" s="66"/>
      <c r="BK510" s="66"/>
      <c r="BL510" s="66"/>
      <c r="BM510" s="66"/>
      <c r="BN510" s="66"/>
      <c r="BO510" s="66"/>
      <c r="BP510" s="66"/>
      <c r="BQ510" s="66"/>
      <c r="BR510" s="66"/>
      <c r="BS510" s="66"/>
      <c r="BT510" s="66"/>
      <c r="BU510" s="66"/>
      <c r="BV510" s="66"/>
      <c r="BW510" s="66"/>
    </row>
    <row r="511" spans="1:75" ht="15.75" customHeight="1">
      <c r="A511" s="65"/>
      <c r="B511" s="66"/>
      <c r="C511" s="66"/>
      <c r="D511" s="66"/>
      <c r="E511" s="66"/>
      <c r="F511" s="65"/>
      <c r="G511" s="65"/>
      <c r="H511" s="66"/>
      <c r="I511" s="66"/>
      <c r="J511" s="66"/>
      <c r="K511" s="66"/>
      <c r="L511" s="66"/>
      <c r="M511" s="66"/>
      <c r="N511" s="66"/>
      <c r="O511" s="66"/>
      <c r="P511" s="66"/>
      <c r="Q511" s="23"/>
      <c r="AB511" s="23"/>
      <c r="AC511" s="23"/>
      <c r="AD511" s="23"/>
      <c r="AE511" s="7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71"/>
      <c r="AV511" s="10"/>
      <c r="AW511" s="23"/>
      <c r="BB511" s="66"/>
      <c r="BC511" s="66"/>
      <c r="BD511" s="66"/>
      <c r="BE511" s="66"/>
      <c r="BF511" s="66"/>
      <c r="BG511" s="66"/>
      <c r="BH511" s="66"/>
      <c r="BI511" s="66"/>
      <c r="BJ511" s="66"/>
      <c r="BK511" s="66"/>
      <c r="BL511" s="66"/>
      <c r="BM511" s="66"/>
      <c r="BN511" s="66"/>
      <c r="BO511" s="66"/>
      <c r="BP511" s="66"/>
      <c r="BQ511" s="66"/>
      <c r="BR511" s="66"/>
      <c r="BS511" s="66"/>
      <c r="BT511" s="66"/>
      <c r="BU511" s="66"/>
      <c r="BV511" s="66"/>
      <c r="BW511" s="66"/>
    </row>
    <row r="512" spans="1:75" ht="15.75" customHeight="1">
      <c r="A512" s="65"/>
      <c r="B512" s="66"/>
      <c r="C512" s="66"/>
      <c r="D512" s="66"/>
      <c r="E512" s="66"/>
      <c r="F512" s="65"/>
      <c r="G512" s="65"/>
      <c r="H512" s="66"/>
      <c r="I512" s="66"/>
      <c r="J512" s="66"/>
      <c r="K512" s="66"/>
      <c r="L512" s="66"/>
      <c r="M512" s="66"/>
      <c r="N512" s="66"/>
      <c r="O512" s="66"/>
      <c r="P512" s="66"/>
      <c r="Q512" s="23"/>
      <c r="AB512" s="23"/>
      <c r="AC512" s="23"/>
      <c r="AD512" s="23"/>
      <c r="AE512" s="7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71"/>
      <c r="AV512" s="10"/>
      <c r="AW512" s="23"/>
      <c r="BB512" s="66"/>
      <c r="BC512" s="66"/>
      <c r="BD512" s="66"/>
      <c r="BE512" s="66"/>
      <c r="BF512" s="66"/>
      <c r="BG512" s="66"/>
      <c r="BH512" s="66"/>
      <c r="BI512" s="66"/>
      <c r="BJ512" s="66"/>
      <c r="BK512" s="66"/>
      <c r="BL512" s="66"/>
      <c r="BM512" s="66"/>
      <c r="BN512" s="66"/>
      <c r="BO512" s="66"/>
      <c r="BP512" s="66"/>
      <c r="BQ512" s="66"/>
      <c r="BR512" s="66"/>
      <c r="BS512" s="66"/>
      <c r="BT512" s="66"/>
      <c r="BU512" s="66"/>
      <c r="BV512" s="66"/>
      <c r="BW512" s="66"/>
    </row>
    <row r="513" spans="1:75" ht="15.75" customHeight="1">
      <c r="A513" s="65"/>
      <c r="B513" s="66"/>
      <c r="C513" s="66"/>
      <c r="D513" s="66"/>
      <c r="E513" s="66"/>
      <c r="F513" s="65"/>
      <c r="G513" s="65"/>
      <c r="H513" s="66"/>
      <c r="I513" s="66"/>
      <c r="J513" s="66"/>
      <c r="K513" s="66"/>
      <c r="L513" s="66"/>
      <c r="M513" s="66"/>
      <c r="N513" s="66"/>
      <c r="O513" s="66"/>
      <c r="P513" s="66"/>
      <c r="Q513" s="23"/>
      <c r="AB513" s="23"/>
      <c r="AC513" s="23"/>
      <c r="AD513" s="23"/>
      <c r="AE513" s="7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71"/>
      <c r="AV513" s="10"/>
      <c r="AW513" s="23"/>
      <c r="BB513" s="66"/>
      <c r="BC513" s="66"/>
      <c r="BD513" s="66"/>
      <c r="BE513" s="66"/>
      <c r="BF513" s="66"/>
      <c r="BG513" s="66"/>
      <c r="BH513" s="66"/>
      <c r="BI513" s="66"/>
      <c r="BJ513" s="66"/>
      <c r="BK513" s="66"/>
      <c r="BL513" s="66"/>
      <c r="BM513" s="66"/>
      <c r="BN513" s="66"/>
      <c r="BO513" s="66"/>
      <c r="BP513" s="66"/>
      <c r="BQ513" s="66"/>
      <c r="BR513" s="66"/>
      <c r="BS513" s="66"/>
      <c r="BT513" s="66"/>
      <c r="BU513" s="66"/>
      <c r="BV513" s="66"/>
      <c r="BW513" s="66"/>
    </row>
    <row r="514" spans="1:75" ht="15.75" customHeight="1">
      <c r="A514" s="65"/>
      <c r="B514" s="66"/>
      <c r="C514" s="66"/>
      <c r="D514" s="66"/>
      <c r="E514" s="66"/>
      <c r="F514" s="65"/>
      <c r="G514" s="65"/>
      <c r="H514" s="66"/>
      <c r="I514" s="66"/>
      <c r="J514" s="66"/>
      <c r="K514" s="66"/>
      <c r="L514" s="66"/>
      <c r="M514" s="66"/>
      <c r="N514" s="66"/>
      <c r="O514" s="66"/>
      <c r="P514" s="66"/>
      <c r="Q514" s="23"/>
      <c r="AB514" s="23"/>
      <c r="AC514" s="23"/>
      <c r="AD514" s="23"/>
      <c r="AE514" s="7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71"/>
      <c r="AV514" s="10"/>
      <c r="AW514" s="23"/>
      <c r="BB514" s="66"/>
      <c r="BC514" s="66"/>
      <c r="BD514" s="66"/>
      <c r="BE514" s="66"/>
      <c r="BF514" s="66"/>
      <c r="BG514" s="66"/>
      <c r="BH514" s="66"/>
      <c r="BI514" s="66"/>
      <c r="BJ514" s="66"/>
      <c r="BK514" s="66"/>
      <c r="BL514" s="66"/>
      <c r="BM514" s="66"/>
      <c r="BN514" s="66"/>
      <c r="BO514" s="66"/>
      <c r="BP514" s="66"/>
      <c r="BQ514" s="66"/>
      <c r="BR514" s="66"/>
      <c r="BS514" s="66"/>
      <c r="BT514" s="66"/>
      <c r="BU514" s="66"/>
      <c r="BV514" s="66"/>
      <c r="BW514" s="66"/>
    </row>
    <row r="515" spans="1:75" ht="15.75" customHeight="1">
      <c r="A515" s="65"/>
      <c r="B515" s="66"/>
      <c r="C515" s="66"/>
      <c r="D515" s="66"/>
      <c r="E515" s="66"/>
      <c r="F515" s="65"/>
      <c r="G515" s="65"/>
      <c r="H515" s="66"/>
      <c r="I515" s="66"/>
      <c r="J515" s="66"/>
      <c r="K515" s="66"/>
      <c r="L515" s="66"/>
      <c r="M515" s="66"/>
      <c r="N515" s="66"/>
      <c r="O515" s="66"/>
      <c r="P515" s="66"/>
      <c r="Q515" s="23"/>
      <c r="AB515" s="23"/>
      <c r="AC515" s="23"/>
      <c r="AD515" s="23"/>
      <c r="AE515" s="7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71"/>
      <c r="AV515" s="10"/>
      <c r="AW515" s="23"/>
      <c r="BB515" s="66"/>
      <c r="BC515" s="66"/>
      <c r="BD515" s="66"/>
      <c r="BE515" s="66"/>
      <c r="BF515" s="66"/>
      <c r="BG515" s="66"/>
      <c r="BH515" s="66"/>
      <c r="BI515" s="66"/>
      <c r="BJ515" s="66"/>
      <c r="BK515" s="66"/>
      <c r="BL515" s="66"/>
      <c r="BM515" s="66"/>
      <c r="BN515" s="66"/>
      <c r="BO515" s="66"/>
      <c r="BP515" s="66"/>
      <c r="BQ515" s="66"/>
      <c r="BR515" s="66"/>
      <c r="BS515" s="66"/>
      <c r="BT515" s="66"/>
      <c r="BU515" s="66"/>
      <c r="BV515" s="66"/>
      <c r="BW515" s="66"/>
    </row>
    <row r="516" spans="1:75" ht="15.75" customHeight="1">
      <c r="A516" s="65"/>
      <c r="B516" s="66"/>
      <c r="C516" s="66"/>
      <c r="D516" s="66"/>
      <c r="E516" s="66"/>
      <c r="F516" s="65"/>
      <c r="G516" s="65"/>
      <c r="H516" s="66"/>
      <c r="I516" s="66"/>
      <c r="J516" s="66"/>
      <c r="K516" s="66"/>
      <c r="L516" s="66"/>
      <c r="M516" s="66"/>
      <c r="N516" s="66"/>
      <c r="O516" s="66"/>
      <c r="P516" s="66"/>
      <c r="Q516" s="23"/>
      <c r="AB516" s="23"/>
      <c r="AC516" s="23"/>
      <c r="AD516" s="23"/>
      <c r="AE516" s="7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71"/>
      <c r="AV516" s="10"/>
      <c r="AW516" s="23"/>
      <c r="BB516" s="66"/>
      <c r="BC516" s="66"/>
      <c r="BD516" s="66"/>
      <c r="BE516" s="66"/>
      <c r="BF516" s="66"/>
      <c r="BG516" s="66"/>
      <c r="BH516" s="66"/>
      <c r="BI516" s="66"/>
      <c r="BJ516" s="66"/>
      <c r="BK516" s="66"/>
      <c r="BL516" s="66"/>
      <c r="BM516" s="66"/>
      <c r="BN516" s="66"/>
      <c r="BO516" s="66"/>
      <c r="BP516" s="66"/>
      <c r="BQ516" s="66"/>
      <c r="BR516" s="66"/>
      <c r="BS516" s="66"/>
      <c r="BT516" s="66"/>
      <c r="BU516" s="66"/>
      <c r="BV516" s="66"/>
      <c r="BW516" s="66"/>
    </row>
    <row r="517" spans="1:75" ht="15.75" customHeight="1">
      <c r="A517" s="65"/>
      <c r="B517" s="66"/>
      <c r="C517" s="66"/>
      <c r="D517" s="66"/>
      <c r="E517" s="66"/>
      <c r="F517" s="65"/>
      <c r="G517" s="65"/>
      <c r="H517" s="66"/>
      <c r="I517" s="66"/>
      <c r="J517" s="66"/>
      <c r="K517" s="66"/>
      <c r="L517" s="66"/>
      <c r="M517" s="66"/>
      <c r="N517" s="66"/>
      <c r="O517" s="66"/>
      <c r="P517" s="66"/>
      <c r="Q517" s="23"/>
      <c r="AB517" s="23"/>
      <c r="AC517" s="23"/>
      <c r="AD517" s="23"/>
      <c r="AE517" s="7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71"/>
      <c r="AV517" s="10"/>
      <c r="AW517" s="23"/>
      <c r="BB517" s="66"/>
      <c r="BC517" s="66"/>
      <c r="BD517" s="66"/>
      <c r="BE517" s="66"/>
      <c r="BF517" s="66"/>
      <c r="BG517" s="66"/>
      <c r="BH517" s="66"/>
      <c r="BI517" s="66"/>
      <c r="BJ517" s="66"/>
      <c r="BK517" s="66"/>
      <c r="BL517" s="66"/>
      <c r="BM517" s="66"/>
      <c r="BN517" s="66"/>
      <c r="BO517" s="66"/>
      <c r="BP517" s="66"/>
      <c r="BQ517" s="66"/>
      <c r="BR517" s="66"/>
      <c r="BS517" s="66"/>
      <c r="BT517" s="66"/>
      <c r="BU517" s="66"/>
      <c r="BV517" s="66"/>
      <c r="BW517" s="66"/>
    </row>
    <row r="518" spans="1:75" ht="15.75" customHeight="1">
      <c r="A518" s="65"/>
      <c r="B518" s="66"/>
      <c r="C518" s="66"/>
      <c r="D518" s="66"/>
      <c r="E518" s="66"/>
      <c r="F518" s="65"/>
      <c r="G518" s="65"/>
      <c r="H518" s="66"/>
      <c r="I518" s="66"/>
      <c r="J518" s="66"/>
      <c r="K518" s="66"/>
      <c r="L518" s="66"/>
      <c r="M518" s="66"/>
      <c r="N518" s="66"/>
      <c r="O518" s="66"/>
      <c r="P518" s="66"/>
      <c r="Q518" s="23"/>
      <c r="AB518" s="23"/>
      <c r="AC518" s="23"/>
      <c r="AD518" s="23"/>
      <c r="AE518" s="7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71"/>
      <c r="AV518" s="10"/>
      <c r="AW518" s="23"/>
      <c r="BB518" s="66"/>
      <c r="BC518" s="66"/>
      <c r="BD518" s="66"/>
      <c r="BE518" s="66"/>
      <c r="BF518" s="66"/>
      <c r="BG518" s="66"/>
      <c r="BH518" s="66"/>
      <c r="BI518" s="66"/>
      <c r="BJ518" s="66"/>
      <c r="BK518" s="66"/>
      <c r="BL518" s="66"/>
      <c r="BM518" s="66"/>
      <c r="BN518" s="66"/>
      <c r="BO518" s="66"/>
      <c r="BP518" s="66"/>
      <c r="BQ518" s="66"/>
      <c r="BR518" s="66"/>
      <c r="BS518" s="66"/>
      <c r="BT518" s="66"/>
      <c r="BU518" s="66"/>
      <c r="BV518" s="66"/>
      <c r="BW518" s="66"/>
    </row>
    <row r="519" spans="1:75" ht="15.75" customHeight="1">
      <c r="A519" s="65"/>
      <c r="B519" s="66"/>
      <c r="C519" s="66"/>
      <c r="D519" s="66"/>
      <c r="E519" s="66"/>
      <c r="F519" s="65"/>
      <c r="G519" s="65"/>
      <c r="H519" s="66"/>
      <c r="I519" s="66"/>
      <c r="J519" s="66"/>
      <c r="K519" s="66"/>
      <c r="L519" s="66"/>
      <c r="M519" s="66"/>
      <c r="N519" s="66"/>
      <c r="O519" s="66"/>
      <c r="P519" s="66"/>
      <c r="Q519" s="23"/>
      <c r="AB519" s="23"/>
      <c r="AC519" s="23"/>
      <c r="AD519" s="23"/>
      <c r="AE519" s="7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71"/>
      <c r="AV519" s="10"/>
      <c r="AW519" s="23"/>
      <c r="BB519" s="66"/>
      <c r="BC519" s="66"/>
      <c r="BD519" s="66"/>
      <c r="BE519" s="66"/>
      <c r="BF519" s="66"/>
      <c r="BG519" s="66"/>
      <c r="BH519" s="66"/>
      <c r="BI519" s="66"/>
      <c r="BJ519" s="66"/>
      <c r="BK519" s="66"/>
      <c r="BL519" s="66"/>
      <c r="BM519" s="66"/>
      <c r="BN519" s="66"/>
      <c r="BO519" s="66"/>
      <c r="BP519" s="66"/>
      <c r="BQ519" s="66"/>
      <c r="BR519" s="66"/>
      <c r="BS519" s="66"/>
      <c r="BT519" s="66"/>
      <c r="BU519" s="66"/>
      <c r="BV519" s="66"/>
      <c r="BW519" s="66"/>
    </row>
    <row r="520" spans="1:75" ht="15.75" customHeight="1">
      <c r="A520" s="65"/>
      <c r="B520" s="66"/>
      <c r="C520" s="66"/>
      <c r="D520" s="66"/>
      <c r="E520" s="66"/>
      <c r="F520" s="65"/>
      <c r="G520" s="65"/>
      <c r="H520" s="66"/>
      <c r="I520" s="66"/>
      <c r="J520" s="66"/>
      <c r="K520" s="66"/>
      <c r="L520" s="66"/>
      <c r="M520" s="66"/>
      <c r="N520" s="66"/>
      <c r="O520" s="66"/>
      <c r="P520" s="66"/>
      <c r="Q520" s="23"/>
      <c r="AB520" s="23"/>
      <c r="AC520" s="23"/>
      <c r="AD520" s="23"/>
      <c r="AE520" s="7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71"/>
      <c r="AV520" s="10"/>
      <c r="AW520" s="23"/>
      <c r="BB520" s="66"/>
      <c r="BC520" s="66"/>
      <c r="BD520" s="66"/>
      <c r="BE520" s="66"/>
      <c r="BF520" s="66"/>
      <c r="BG520" s="66"/>
      <c r="BH520" s="66"/>
      <c r="BI520" s="66"/>
      <c r="BJ520" s="66"/>
      <c r="BK520" s="66"/>
      <c r="BL520" s="66"/>
      <c r="BM520" s="66"/>
      <c r="BN520" s="66"/>
      <c r="BO520" s="66"/>
      <c r="BP520" s="66"/>
      <c r="BQ520" s="66"/>
      <c r="BR520" s="66"/>
      <c r="BS520" s="66"/>
      <c r="BT520" s="66"/>
      <c r="BU520" s="66"/>
      <c r="BV520" s="66"/>
      <c r="BW520" s="66"/>
    </row>
    <row r="521" spans="1:75" ht="15.75" customHeight="1">
      <c r="A521" s="65"/>
      <c r="B521" s="66"/>
      <c r="C521" s="66"/>
      <c r="D521" s="66"/>
      <c r="E521" s="66"/>
      <c r="F521" s="65"/>
      <c r="G521" s="65"/>
      <c r="H521" s="66"/>
      <c r="I521" s="66"/>
      <c r="J521" s="66"/>
      <c r="K521" s="66"/>
      <c r="L521" s="66"/>
      <c r="M521" s="66"/>
      <c r="N521" s="66"/>
      <c r="O521" s="66"/>
      <c r="P521" s="66"/>
      <c r="Q521" s="23"/>
      <c r="AB521" s="23"/>
      <c r="AC521" s="23"/>
      <c r="AD521" s="23"/>
      <c r="AE521" s="7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71"/>
      <c r="AV521" s="10"/>
      <c r="AW521" s="23"/>
      <c r="BB521" s="66"/>
      <c r="BC521" s="66"/>
      <c r="BD521" s="66"/>
      <c r="BE521" s="66"/>
      <c r="BF521" s="66"/>
      <c r="BG521" s="66"/>
      <c r="BH521" s="66"/>
      <c r="BI521" s="66"/>
      <c r="BJ521" s="66"/>
      <c r="BK521" s="66"/>
      <c r="BL521" s="66"/>
      <c r="BM521" s="66"/>
      <c r="BN521" s="66"/>
      <c r="BO521" s="66"/>
      <c r="BP521" s="66"/>
      <c r="BQ521" s="66"/>
      <c r="BR521" s="66"/>
      <c r="BS521" s="66"/>
      <c r="BT521" s="66"/>
      <c r="BU521" s="66"/>
      <c r="BV521" s="66"/>
      <c r="BW521" s="66"/>
    </row>
    <row r="522" spans="1:75" ht="15.75" customHeight="1">
      <c r="A522" s="65"/>
      <c r="B522" s="66"/>
      <c r="C522" s="66"/>
      <c r="D522" s="66"/>
      <c r="E522" s="66"/>
      <c r="F522" s="65"/>
      <c r="G522" s="65"/>
      <c r="H522" s="66"/>
      <c r="I522" s="66"/>
      <c r="J522" s="66"/>
      <c r="K522" s="66"/>
      <c r="L522" s="66"/>
      <c r="M522" s="66"/>
      <c r="N522" s="66"/>
      <c r="O522" s="66"/>
      <c r="P522" s="66"/>
      <c r="Q522" s="23"/>
      <c r="AB522" s="23"/>
      <c r="AC522" s="23"/>
      <c r="AD522" s="23"/>
      <c r="AE522" s="7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71"/>
      <c r="AV522" s="10"/>
      <c r="AW522" s="23"/>
      <c r="BB522" s="66"/>
      <c r="BC522" s="66"/>
      <c r="BD522" s="66"/>
      <c r="BE522" s="66"/>
      <c r="BF522" s="66"/>
      <c r="BG522" s="66"/>
      <c r="BH522" s="66"/>
      <c r="BI522" s="66"/>
      <c r="BJ522" s="66"/>
      <c r="BK522" s="66"/>
      <c r="BL522" s="66"/>
      <c r="BM522" s="66"/>
      <c r="BN522" s="66"/>
      <c r="BO522" s="66"/>
      <c r="BP522" s="66"/>
      <c r="BQ522" s="66"/>
      <c r="BR522" s="66"/>
      <c r="BS522" s="66"/>
      <c r="BT522" s="66"/>
      <c r="BU522" s="66"/>
      <c r="BV522" s="66"/>
      <c r="BW522" s="66"/>
    </row>
    <row r="523" spans="1:75" ht="15.75" customHeight="1">
      <c r="A523" s="65"/>
      <c r="B523" s="66"/>
      <c r="C523" s="66"/>
      <c r="D523" s="66"/>
      <c r="E523" s="66"/>
      <c r="F523" s="65"/>
      <c r="G523" s="65"/>
      <c r="H523" s="66"/>
      <c r="I523" s="66"/>
      <c r="J523" s="66"/>
      <c r="K523" s="66"/>
      <c r="L523" s="66"/>
      <c r="M523" s="66"/>
      <c r="N523" s="66"/>
      <c r="O523" s="66"/>
      <c r="P523" s="66"/>
      <c r="Q523" s="23"/>
      <c r="AB523" s="23"/>
      <c r="AC523" s="23"/>
      <c r="AD523" s="23"/>
      <c r="AE523" s="7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71"/>
      <c r="AV523" s="10"/>
      <c r="AW523" s="23"/>
      <c r="BB523" s="66"/>
      <c r="BC523" s="66"/>
      <c r="BD523" s="66"/>
      <c r="BE523" s="66"/>
      <c r="BF523" s="66"/>
      <c r="BG523" s="66"/>
      <c r="BH523" s="66"/>
      <c r="BI523" s="66"/>
      <c r="BJ523" s="66"/>
      <c r="BK523" s="66"/>
      <c r="BL523" s="66"/>
      <c r="BM523" s="66"/>
      <c r="BN523" s="66"/>
      <c r="BO523" s="66"/>
      <c r="BP523" s="66"/>
      <c r="BQ523" s="66"/>
      <c r="BR523" s="66"/>
      <c r="BS523" s="66"/>
      <c r="BT523" s="66"/>
      <c r="BU523" s="66"/>
      <c r="BV523" s="66"/>
      <c r="BW523" s="66"/>
    </row>
    <row r="524" spans="1:75" ht="15.75" customHeight="1">
      <c r="A524" s="65"/>
      <c r="B524" s="66"/>
      <c r="C524" s="66"/>
      <c r="D524" s="66"/>
      <c r="E524" s="66"/>
      <c r="F524" s="65"/>
      <c r="G524" s="65"/>
      <c r="H524" s="66"/>
      <c r="I524" s="66"/>
      <c r="J524" s="66"/>
      <c r="K524" s="66"/>
      <c r="L524" s="66"/>
      <c r="M524" s="66"/>
      <c r="N524" s="66"/>
      <c r="O524" s="66"/>
      <c r="P524" s="66"/>
      <c r="Q524" s="23"/>
      <c r="AB524" s="23"/>
      <c r="AC524" s="23"/>
      <c r="AD524" s="23"/>
      <c r="AE524" s="7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71"/>
      <c r="AV524" s="10"/>
      <c r="AW524" s="23"/>
      <c r="BB524" s="66"/>
      <c r="BC524" s="66"/>
      <c r="BD524" s="66"/>
      <c r="BE524" s="66"/>
      <c r="BF524" s="66"/>
      <c r="BG524" s="66"/>
      <c r="BH524" s="66"/>
      <c r="BI524" s="66"/>
      <c r="BJ524" s="66"/>
      <c r="BK524" s="66"/>
      <c r="BL524" s="66"/>
      <c r="BM524" s="66"/>
      <c r="BN524" s="66"/>
      <c r="BO524" s="66"/>
      <c r="BP524" s="66"/>
      <c r="BQ524" s="66"/>
      <c r="BR524" s="66"/>
      <c r="BS524" s="66"/>
      <c r="BT524" s="66"/>
      <c r="BU524" s="66"/>
      <c r="BV524" s="66"/>
      <c r="BW524" s="66"/>
    </row>
    <row r="525" spans="1:75" ht="15.75" customHeight="1">
      <c r="A525" s="65"/>
      <c r="B525" s="66"/>
      <c r="C525" s="66"/>
      <c r="D525" s="66"/>
      <c r="E525" s="66"/>
      <c r="F525" s="65"/>
      <c r="G525" s="65"/>
      <c r="H525" s="66"/>
      <c r="I525" s="66"/>
      <c r="J525" s="66"/>
      <c r="K525" s="66"/>
      <c r="L525" s="66"/>
      <c r="M525" s="66"/>
      <c r="N525" s="66"/>
      <c r="O525" s="66"/>
      <c r="P525" s="66"/>
      <c r="Q525" s="23"/>
      <c r="AB525" s="23"/>
      <c r="AC525" s="23"/>
      <c r="AD525" s="23"/>
      <c r="AE525" s="7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71"/>
      <c r="AV525" s="10"/>
      <c r="AW525" s="23"/>
      <c r="BB525" s="66"/>
      <c r="BC525" s="66"/>
      <c r="BD525" s="66"/>
      <c r="BE525" s="66"/>
      <c r="BF525" s="66"/>
      <c r="BG525" s="66"/>
      <c r="BH525" s="66"/>
      <c r="BI525" s="66"/>
      <c r="BJ525" s="66"/>
      <c r="BK525" s="66"/>
      <c r="BL525" s="66"/>
      <c r="BM525" s="66"/>
      <c r="BN525" s="66"/>
      <c r="BO525" s="66"/>
      <c r="BP525" s="66"/>
      <c r="BQ525" s="66"/>
      <c r="BR525" s="66"/>
      <c r="BS525" s="66"/>
      <c r="BT525" s="66"/>
      <c r="BU525" s="66"/>
      <c r="BV525" s="66"/>
      <c r="BW525" s="66"/>
    </row>
    <row r="526" spans="1:75" ht="15.75" customHeight="1">
      <c r="A526" s="65"/>
      <c r="B526" s="66"/>
      <c r="C526" s="66"/>
      <c r="D526" s="66"/>
      <c r="E526" s="66"/>
      <c r="F526" s="65"/>
      <c r="G526" s="65"/>
      <c r="H526" s="66"/>
      <c r="I526" s="66"/>
      <c r="J526" s="66"/>
      <c r="K526" s="66"/>
      <c r="L526" s="66"/>
      <c r="M526" s="66"/>
      <c r="N526" s="66"/>
      <c r="O526" s="66"/>
      <c r="P526" s="66"/>
      <c r="Q526" s="23"/>
      <c r="AB526" s="23"/>
      <c r="AC526" s="23"/>
      <c r="AD526" s="23"/>
      <c r="AE526" s="7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71"/>
      <c r="AV526" s="10"/>
      <c r="AW526" s="23"/>
      <c r="BB526" s="66"/>
      <c r="BC526" s="66"/>
      <c r="BD526" s="66"/>
      <c r="BE526" s="66"/>
      <c r="BF526" s="66"/>
      <c r="BG526" s="66"/>
      <c r="BH526" s="66"/>
      <c r="BI526" s="66"/>
      <c r="BJ526" s="66"/>
      <c r="BK526" s="66"/>
      <c r="BL526" s="66"/>
      <c r="BM526" s="66"/>
      <c r="BN526" s="66"/>
      <c r="BO526" s="66"/>
      <c r="BP526" s="66"/>
      <c r="BQ526" s="66"/>
      <c r="BR526" s="66"/>
      <c r="BS526" s="66"/>
      <c r="BT526" s="66"/>
      <c r="BU526" s="66"/>
      <c r="BV526" s="66"/>
      <c r="BW526" s="66"/>
    </row>
    <row r="527" spans="1:75" ht="15.75" customHeight="1">
      <c r="A527" s="65"/>
      <c r="B527" s="66"/>
      <c r="C527" s="66"/>
      <c r="D527" s="66"/>
      <c r="E527" s="66"/>
      <c r="F527" s="65"/>
      <c r="G527" s="65"/>
      <c r="H527" s="66"/>
      <c r="I527" s="66"/>
      <c r="J527" s="66"/>
      <c r="K527" s="66"/>
      <c r="L527" s="66"/>
      <c r="M527" s="66"/>
      <c r="N527" s="66"/>
      <c r="O527" s="66"/>
      <c r="P527" s="66"/>
      <c r="Q527" s="23"/>
      <c r="AB527" s="23"/>
      <c r="AC527" s="23"/>
      <c r="AD527" s="23"/>
      <c r="AE527" s="7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71"/>
      <c r="AV527" s="10"/>
      <c r="AW527" s="23"/>
      <c r="BB527" s="66"/>
      <c r="BC527" s="66"/>
      <c r="BD527" s="66"/>
      <c r="BE527" s="66"/>
      <c r="BF527" s="66"/>
      <c r="BG527" s="66"/>
      <c r="BH527" s="66"/>
      <c r="BI527" s="66"/>
      <c r="BJ527" s="66"/>
      <c r="BK527" s="66"/>
      <c r="BL527" s="66"/>
      <c r="BM527" s="66"/>
      <c r="BN527" s="66"/>
      <c r="BO527" s="66"/>
      <c r="BP527" s="66"/>
      <c r="BQ527" s="66"/>
      <c r="BR527" s="66"/>
      <c r="BS527" s="66"/>
      <c r="BT527" s="66"/>
      <c r="BU527" s="66"/>
      <c r="BV527" s="66"/>
      <c r="BW527" s="66"/>
    </row>
    <row r="528" spans="1:75" ht="15.75" customHeight="1">
      <c r="A528" s="65"/>
      <c r="B528" s="66"/>
      <c r="C528" s="66"/>
      <c r="D528" s="66"/>
      <c r="E528" s="66"/>
      <c r="F528" s="65"/>
      <c r="G528" s="65"/>
      <c r="H528" s="66"/>
      <c r="I528" s="66"/>
      <c r="J528" s="66"/>
      <c r="K528" s="66"/>
      <c r="L528" s="66"/>
      <c r="M528" s="66"/>
      <c r="N528" s="66"/>
      <c r="O528" s="66"/>
      <c r="P528" s="66"/>
      <c r="Q528" s="23"/>
      <c r="AB528" s="23"/>
      <c r="AC528" s="23"/>
      <c r="AD528" s="23"/>
      <c r="AE528" s="7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71"/>
      <c r="AV528" s="10"/>
      <c r="AW528" s="23"/>
      <c r="BB528" s="66"/>
      <c r="BC528" s="66"/>
      <c r="BD528" s="66"/>
      <c r="BE528" s="66"/>
      <c r="BF528" s="66"/>
      <c r="BG528" s="66"/>
      <c r="BH528" s="66"/>
      <c r="BI528" s="66"/>
      <c r="BJ528" s="66"/>
      <c r="BK528" s="66"/>
      <c r="BL528" s="66"/>
      <c r="BM528" s="66"/>
      <c r="BN528" s="66"/>
      <c r="BO528" s="66"/>
      <c r="BP528" s="66"/>
      <c r="BQ528" s="66"/>
      <c r="BR528" s="66"/>
      <c r="BS528" s="66"/>
      <c r="BT528" s="66"/>
      <c r="BU528" s="66"/>
      <c r="BV528" s="66"/>
      <c r="BW528" s="66"/>
    </row>
    <row r="529" spans="1:75" ht="15.75" customHeight="1">
      <c r="A529" s="65"/>
      <c r="B529" s="66"/>
      <c r="C529" s="66"/>
      <c r="D529" s="66"/>
      <c r="E529" s="66"/>
      <c r="F529" s="65"/>
      <c r="G529" s="65"/>
      <c r="H529" s="66"/>
      <c r="I529" s="66"/>
      <c r="J529" s="66"/>
      <c r="K529" s="66"/>
      <c r="L529" s="66"/>
      <c r="M529" s="66"/>
      <c r="N529" s="66"/>
      <c r="O529" s="66"/>
      <c r="P529" s="66"/>
      <c r="Q529" s="23"/>
      <c r="AB529" s="23"/>
      <c r="AC529" s="23"/>
      <c r="AD529" s="23"/>
      <c r="AE529" s="7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71"/>
      <c r="AV529" s="10"/>
      <c r="AW529" s="23"/>
      <c r="BB529" s="66"/>
      <c r="BC529" s="66"/>
      <c r="BD529" s="66"/>
      <c r="BE529" s="66"/>
      <c r="BF529" s="66"/>
      <c r="BG529" s="66"/>
      <c r="BH529" s="66"/>
      <c r="BI529" s="66"/>
      <c r="BJ529" s="66"/>
      <c r="BK529" s="66"/>
      <c r="BL529" s="66"/>
      <c r="BM529" s="66"/>
      <c r="BN529" s="66"/>
      <c r="BO529" s="66"/>
      <c r="BP529" s="66"/>
      <c r="BQ529" s="66"/>
      <c r="BR529" s="66"/>
      <c r="BS529" s="66"/>
      <c r="BT529" s="66"/>
      <c r="BU529" s="66"/>
      <c r="BV529" s="66"/>
      <c r="BW529" s="66"/>
    </row>
    <row r="530" spans="1:75" ht="15.75" customHeight="1">
      <c r="A530" s="65"/>
      <c r="B530" s="66"/>
      <c r="C530" s="66"/>
      <c r="D530" s="66"/>
      <c r="E530" s="66"/>
      <c r="F530" s="65"/>
      <c r="G530" s="65"/>
      <c r="H530" s="66"/>
      <c r="I530" s="66"/>
      <c r="J530" s="66"/>
      <c r="K530" s="66"/>
      <c r="L530" s="66"/>
      <c r="M530" s="66"/>
      <c r="N530" s="66"/>
      <c r="O530" s="66"/>
      <c r="P530" s="66"/>
      <c r="Q530" s="23"/>
      <c r="AB530" s="23"/>
      <c r="AC530" s="23"/>
      <c r="AD530" s="23"/>
      <c r="AE530" s="7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71"/>
      <c r="AV530" s="10"/>
      <c r="AW530" s="23"/>
      <c r="BB530" s="66"/>
      <c r="BC530" s="66"/>
      <c r="BD530" s="66"/>
      <c r="BE530" s="66"/>
      <c r="BF530" s="66"/>
      <c r="BG530" s="66"/>
      <c r="BH530" s="66"/>
      <c r="BI530" s="66"/>
      <c r="BJ530" s="66"/>
      <c r="BK530" s="66"/>
      <c r="BL530" s="66"/>
      <c r="BM530" s="66"/>
      <c r="BN530" s="66"/>
      <c r="BO530" s="66"/>
      <c r="BP530" s="66"/>
      <c r="BQ530" s="66"/>
      <c r="BR530" s="66"/>
      <c r="BS530" s="66"/>
      <c r="BT530" s="66"/>
      <c r="BU530" s="66"/>
      <c r="BV530" s="66"/>
      <c r="BW530" s="66"/>
    </row>
    <row r="531" spans="1:75" ht="15.75" customHeight="1">
      <c r="A531" s="65"/>
      <c r="B531" s="66"/>
      <c r="C531" s="66"/>
      <c r="D531" s="66"/>
      <c r="E531" s="66"/>
      <c r="F531" s="65"/>
      <c r="G531" s="65"/>
      <c r="H531" s="66"/>
      <c r="I531" s="66"/>
      <c r="J531" s="66"/>
      <c r="K531" s="66"/>
      <c r="L531" s="66"/>
      <c r="M531" s="66"/>
      <c r="N531" s="66"/>
      <c r="O531" s="66"/>
      <c r="P531" s="66"/>
      <c r="Q531" s="23"/>
      <c r="AB531" s="23"/>
      <c r="AC531" s="23"/>
      <c r="AD531" s="23"/>
      <c r="AE531" s="7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71"/>
      <c r="AV531" s="10"/>
      <c r="AW531" s="23"/>
      <c r="BB531" s="66"/>
      <c r="BC531" s="66"/>
      <c r="BD531" s="66"/>
      <c r="BE531" s="66"/>
      <c r="BF531" s="66"/>
      <c r="BG531" s="66"/>
      <c r="BH531" s="66"/>
      <c r="BI531" s="66"/>
      <c r="BJ531" s="66"/>
      <c r="BK531" s="66"/>
      <c r="BL531" s="66"/>
      <c r="BM531" s="66"/>
      <c r="BN531" s="66"/>
      <c r="BO531" s="66"/>
      <c r="BP531" s="66"/>
      <c r="BQ531" s="66"/>
      <c r="BR531" s="66"/>
      <c r="BS531" s="66"/>
      <c r="BT531" s="66"/>
      <c r="BU531" s="66"/>
      <c r="BV531" s="66"/>
      <c r="BW531" s="66"/>
    </row>
    <row r="532" spans="1:75" ht="15.75" customHeight="1">
      <c r="A532" s="65"/>
      <c r="B532" s="66"/>
      <c r="C532" s="66"/>
      <c r="D532" s="66"/>
      <c r="E532" s="66"/>
      <c r="F532" s="65"/>
      <c r="G532" s="65"/>
      <c r="H532" s="66"/>
      <c r="I532" s="66"/>
      <c r="J532" s="66"/>
      <c r="K532" s="66"/>
      <c r="L532" s="66"/>
      <c r="M532" s="66"/>
      <c r="N532" s="66"/>
      <c r="O532" s="66"/>
      <c r="P532" s="66"/>
      <c r="Q532" s="23"/>
      <c r="AB532" s="23"/>
      <c r="AC532" s="23"/>
      <c r="AD532" s="23"/>
      <c r="AE532" s="7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71"/>
      <c r="AV532" s="10"/>
      <c r="AW532" s="23"/>
      <c r="BB532" s="66"/>
      <c r="BC532" s="66"/>
      <c r="BD532" s="66"/>
      <c r="BE532" s="66"/>
      <c r="BF532" s="66"/>
      <c r="BG532" s="66"/>
      <c r="BH532" s="66"/>
      <c r="BI532" s="66"/>
      <c r="BJ532" s="66"/>
      <c r="BK532" s="66"/>
      <c r="BL532" s="66"/>
      <c r="BM532" s="66"/>
      <c r="BN532" s="66"/>
      <c r="BO532" s="66"/>
      <c r="BP532" s="66"/>
      <c r="BQ532" s="66"/>
      <c r="BR532" s="66"/>
      <c r="BS532" s="66"/>
      <c r="BT532" s="66"/>
      <c r="BU532" s="66"/>
      <c r="BV532" s="66"/>
      <c r="BW532" s="66"/>
    </row>
    <row r="533" spans="1:75" ht="15.75" customHeight="1">
      <c r="A533" s="65"/>
      <c r="B533" s="66"/>
      <c r="C533" s="66"/>
      <c r="D533" s="66"/>
      <c r="E533" s="66"/>
      <c r="F533" s="65"/>
      <c r="G533" s="65"/>
      <c r="H533" s="66"/>
      <c r="I533" s="66"/>
      <c r="J533" s="66"/>
      <c r="K533" s="66"/>
      <c r="L533" s="66"/>
      <c r="M533" s="66"/>
      <c r="N533" s="66"/>
      <c r="O533" s="66"/>
      <c r="P533" s="66"/>
      <c r="Q533" s="23"/>
      <c r="AB533" s="23"/>
      <c r="AC533" s="23"/>
      <c r="AD533" s="23"/>
      <c r="AE533" s="7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71"/>
      <c r="AV533" s="10"/>
      <c r="AW533" s="23"/>
      <c r="BB533" s="66"/>
      <c r="BC533" s="66"/>
      <c r="BD533" s="66"/>
      <c r="BE533" s="66"/>
      <c r="BF533" s="66"/>
      <c r="BG533" s="66"/>
      <c r="BH533" s="66"/>
      <c r="BI533" s="66"/>
      <c r="BJ533" s="66"/>
      <c r="BK533" s="66"/>
      <c r="BL533" s="66"/>
      <c r="BM533" s="66"/>
      <c r="BN533" s="66"/>
      <c r="BO533" s="66"/>
      <c r="BP533" s="66"/>
      <c r="BQ533" s="66"/>
      <c r="BR533" s="66"/>
      <c r="BS533" s="66"/>
      <c r="BT533" s="66"/>
      <c r="BU533" s="66"/>
      <c r="BV533" s="66"/>
      <c r="BW533" s="66"/>
    </row>
    <row r="534" spans="1:75" ht="15.75" customHeight="1">
      <c r="A534" s="65"/>
      <c r="B534" s="66"/>
      <c r="C534" s="66"/>
      <c r="D534" s="66"/>
      <c r="E534" s="66"/>
      <c r="F534" s="65"/>
      <c r="G534" s="65"/>
      <c r="H534" s="66"/>
      <c r="I534" s="66"/>
      <c r="J534" s="66"/>
      <c r="K534" s="66"/>
      <c r="L534" s="66"/>
      <c r="M534" s="66"/>
      <c r="N534" s="66"/>
      <c r="O534" s="66"/>
      <c r="P534" s="66"/>
      <c r="Q534" s="23"/>
      <c r="AB534" s="23"/>
      <c r="AC534" s="23"/>
      <c r="AD534" s="23"/>
      <c r="AE534" s="7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71"/>
      <c r="AV534" s="10"/>
      <c r="AW534" s="23"/>
      <c r="BB534" s="66"/>
      <c r="BC534" s="66"/>
      <c r="BD534" s="66"/>
      <c r="BE534" s="66"/>
      <c r="BF534" s="66"/>
      <c r="BG534" s="66"/>
      <c r="BH534" s="66"/>
      <c r="BI534" s="66"/>
      <c r="BJ534" s="66"/>
      <c r="BK534" s="66"/>
      <c r="BL534" s="66"/>
      <c r="BM534" s="66"/>
      <c r="BN534" s="66"/>
      <c r="BO534" s="66"/>
      <c r="BP534" s="66"/>
      <c r="BQ534" s="66"/>
      <c r="BR534" s="66"/>
      <c r="BS534" s="66"/>
      <c r="BT534" s="66"/>
      <c r="BU534" s="66"/>
      <c r="BV534" s="66"/>
      <c r="BW534" s="66"/>
    </row>
    <row r="535" spans="1:75" ht="15.75" customHeight="1">
      <c r="A535" s="65"/>
      <c r="B535" s="66"/>
      <c r="C535" s="66"/>
      <c r="D535" s="66"/>
      <c r="E535" s="66"/>
      <c r="F535" s="65"/>
      <c r="G535" s="65"/>
      <c r="H535" s="66"/>
      <c r="I535" s="66"/>
      <c r="J535" s="66"/>
      <c r="K535" s="66"/>
      <c r="L535" s="66"/>
      <c r="M535" s="66"/>
      <c r="N535" s="66"/>
      <c r="O535" s="66"/>
      <c r="P535" s="66"/>
      <c r="Q535" s="23"/>
      <c r="AB535" s="23"/>
      <c r="AC535" s="23"/>
      <c r="AD535" s="23"/>
      <c r="AE535" s="7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71"/>
      <c r="AV535" s="10"/>
      <c r="AW535" s="23"/>
      <c r="BB535" s="66"/>
      <c r="BC535" s="66"/>
      <c r="BD535" s="66"/>
      <c r="BE535" s="66"/>
      <c r="BF535" s="66"/>
      <c r="BG535" s="66"/>
      <c r="BH535" s="66"/>
      <c r="BI535" s="66"/>
      <c r="BJ535" s="66"/>
      <c r="BK535" s="66"/>
      <c r="BL535" s="66"/>
      <c r="BM535" s="66"/>
      <c r="BN535" s="66"/>
      <c r="BO535" s="66"/>
      <c r="BP535" s="66"/>
      <c r="BQ535" s="66"/>
      <c r="BR535" s="66"/>
      <c r="BS535" s="66"/>
      <c r="BT535" s="66"/>
      <c r="BU535" s="66"/>
      <c r="BV535" s="66"/>
      <c r="BW535" s="66"/>
    </row>
    <row r="536" spans="1:75" ht="15.75" customHeight="1">
      <c r="A536" s="65"/>
      <c r="B536" s="66"/>
      <c r="C536" s="66"/>
      <c r="D536" s="66"/>
      <c r="E536" s="66"/>
      <c r="F536" s="65"/>
      <c r="G536" s="65"/>
      <c r="H536" s="66"/>
      <c r="I536" s="66"/>
      <c r="J536" s="66"/>
      <c r="K536" s="66"/>
      <c r="L536" s="66"/>
      <c r="M536" s="66"/>
      <c r="N536" s="66"/>
      <c r="O536" s="66"/>
      <c r="P536" s="66"/>
      <c r="Q536" s="23"/>
      <c r="AB536" s="23"/>
      <c r="AC536" s="23"/>
      <c r="AD536" s="23"/>
      <c r="AE536" s="7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71"/>
      <c r="AV536" s="10"/>
      <c r="AW536" s="23"/>
      <c r="BB536" s="66"/>
      <c r="BC536" s="66"/>
      <c r="BD536" s="66"/>
      <c r="BE536" s="66"/>
      <c r="BF536" s="66"/>
      <c r="BG536" s="66"/>
      <c r="BH536" s="66"/>
      <c r="BI536" s="66"/>
      <c r="BJ536" s="66"/>
      <c r="BK536" s="66"/>
      <c r="BL536" s="66"/>
      <c r="BM536" s="66"/>
      <c r="BN536" s="66"/>
      <c r="BO536" s="66"/>
      <c r="BP536" s="66"/>
      <c r="BQ536" s="66"/>
      <c r="BR536" s="66"/>
      <c r="BS536" s="66"/>
      <c r="BT536" s="66"/>
      <c r="BU536" s="66"/>
      <c r="BV536" s="66"/>
      <c r="BW536" s="66"/>
    </row>
    <row r="537" spans="1:75" ht="15.75" customHeight="1">
      <c r="A537" s="65"/>
      <c r="B537" s="66"/>
      <c r="C537" s="66"/>
      <c r="D537" s="66"/>
      <c r="E537" s="66"/>
      <c r="F537" s="65"/>
      <c r="G537" s="65"/>
      <c r="H537" s="66"/>
      <c r="I537" s="66"/>
      <c r="J537" s="66"/>
      <c r="K537" s="66"/>
      <c r="L537" s="66"/>
      <c r="M537" s="66"/>
      <c r="N537" s="66"/>
      <c r="O537" s="66"/>
      <c r="P537" s="66"/>
      <c r="Q537" s="23"/>
      <c r="AB537" s="23"/>
      <c r="AC537" s="23"/>
      <c r="AD537" s="23"/>
      <c r="AE537" s="7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71"/>
      <c r="AV537" s="10"/>
      <c r="AW537" s="23"/>
      <c r="BB537" s="66"/>
      <c r="BC537" s="66"/>
      <c r="BD537" s="66"/>
      <c r="BE537" s="66"/>
      <c r="BF537" s="66"/>
      <c r="BG537" s="66"/>
      <c r="BH537" s="66"/>
      <c r="BI537" s="66"/>
      <c r="BJ537" s="66"/>
      <c r="BK537" s="66"/>
      <c r="BL537" s="66"/>
      <c r="BM537" s="66"/>
      <c r="BN537" s="66"/>
      <c r="BO537" s="66"/>
      <c r="BP537" s="66"/>
      <c r="BQ537" s="66"/>
      <c r="BR537" s="66"/>
      <c r="BS537" s="66"/>
      <c r="BT537" s="66"/>
      <c r="BU537" s="66"/>
      <c r="BV537" s="66"/>
      <c r="BW537" s="66"/>
    </row>
    <row r="538" spans="1:75" ht="15.75" customHeight="1">
      <c r="A538" s="65"/>
      <c r="B538" s="66"/>
      <c r="C538" s="66"/>
      <c r="D538" s="66"/>
      <c r="E538" s="66"/>
      <c r="F538" s="65"/>
      <c r="G538" s="65"/>
      <c r="H538" s="66"/>
      <c r="I538" s="66"/>
      <c r="J538" s="66"/>
      <c r="K538" s="66"/>
      <c r="L538" s="66"/>
      <c r="M538" s="66"/>
      <c r="N538" s="66"/>
      <c r="O538" s="66"/>
      <c r="P538" s="66"/>
      <c r="Q538" s="23"/>
      <c r="AB538" s="23"/>
      <c r="AC538" s="23"/>
      <c r="AD538" s="23"/>
      <c r="AE538" s="7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71"/>
      <c r="AV538" s="10"/>
      <c r="AW538" s="23"/>
      <c r="BB538" s="66"/>
      <c r="BC538" s="66"/>
      <c r="BD538" s="66"/>
      <c r="BE538" s="66"/>
      <c r="BF538" s="66"/>
      <c r="BG538" s="66"/>
      <c r="BH538" s="66"/>
      <c r="BI538" s="66"/>
      <c r="BJ538" s="66"/>
      <c r="BK538" s="66"/>
      <c r="BL538" s="66"/>
      <c r="BM538" s="66"/>
      <c r="BN538" s="66"/>
      <c r="BO538" s="66"/>
      <c r="BP538" s="66"/>
      <c r="BQ538" s="66"/>
      <c r="BR538" s="66"/>
      <c r="BS538" s="66"/>
      <c r="BT538" s="66"/>
      <c r="BU538" s="66"/>
      <c r="BV538" s="66"/>
      <c r="BW538" s="66"/>
    </row>
    <row r="539" spans="1:75" ht="15.75" customHeight="1">
      <c r="A539" s="65"/>
      <c r="B539" s="66"/>
      <c r="C539" s="66"/>
      <c r="D539" s="66"/>
      <c r="E539" s="66"/>
      <c r="F539" s="65"/>
      <c r="G539" s="65"/>
      <c r="H539" s="66"/>
      <c r="I539" s="66"/>
      <c r="J539" s="66"/>
      <c r="K539" s="66"/>
      <c r="L539" s="66"/>
      <c r="M539" s="66"/>
      <c r="N539" s="66"/>
      <c r="O539" s="66"/>
      <c r="P539" s="66"/>
      <c r="Q539" s="23"/>
      <c r="AB539" s="23"/>
      <c r="AC539" s="23"/>
      <c r="AD539" s="23"/>
      <c r="AE539" s="7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71"/>
      <c r="AV539" s="10"/>
      <c r="AW539" s="23"/>
      <c r="BB539" s="66"/>
      <c r="BC539" s="66"/>
      <c r="BD539" s="66"/>
      <c r="BE539" s="66"/>
      <c r="BF539" s="66"/>
      <c r="BG539" s="66"/>
      <c r="BH539" s="66"/>
      <c r="BI539" s="66"/>
      <c r="BJ539" s="66"/>
      <c r="BK539" s="66"/>
      <c r="BL539" s="66"/>
      <c r="BM539" s="66"/>
      <c r="BN539" s="66"/>
      <c r="BO539" s="66"/>
      <c r="BP539" s="66"/>
      <c r="BQ539" s="66"/>
      <c r="BR539" s="66"/>
      <c r="BS539" s="66"/>
      <c r="BT539" s="66"/>
      <c r="BU539" s="66"/>
      <c r="BV539" s="66"/>
      <c r="BW539" s="66"/>
    </row>
    <row r="540" spans="1:75" ht="15.75" customHeight="1">
      <c r="A540" s="65"/>
      <c r="B540" s="66"/>
      <c r="C540" s="66"/>
      <c r="D540" s="66"/>
      <c r="E540" s="66"/>
      <c r="F540" s="65"/>
      <c r="G540" s="65"/>
      <c r="H540" s="66"/>
      <c r="I540" s="66"/>
      <c r="J540" s="66"/>
      <c r="K540" s="66"/>
      <c r="L540" s="66"/>
      <c r="M540" s="66"/>
      <c r="N540" s="66"/>
      <c r="O540" s="66"/>
      <c r="P540" s="66"/>
      <c r="Q540" s="23"/>
      <c r="AB540" s="23"/>
      <c r="AC540" s="23"/>
      <c r="AD540" s="23"/>
      <c r="AE540" s="7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71"/>
      <c r="AV540" s="10"/>
      <c r="AW540" s="23"/>
      <c r="BB540" s="66"/>
      <c r="BC540" s="66"/>
      <c r="BD540" s="66"/>
      <c r="BE540" s="66"/>
      <c r="BF540" s="66"/>
      <c r="BG540" s="66"/>
      <c r="BH540" s="66"/>
      <c r="BI540" s="66"/>
      <c r="BJ540" s="66"/>
      <c r="BK540" s="66"/>
      <c r="BL540" s="66"/>
      <c r="BM540" s="66"/>
      <c r="BN540" s="66"/>
      <c r="BO540" s="66"/>
      <c r="BP540" s="66"/>
      <c r="BQ540" s="66"/>
      <c r="BR540" s="66"/>
      <c r="BS540" s="66"/>
      <c r="BT540" s="66"/>
      <c r="BU540" s="66"/>
      <c r="BV540" s="66"/>
      <c r="BW540" s="66"/>
    </row>
    <row r="541" spans="1:75" ht="15.75" customHeight="1">
      <c r="A541" s="65"/>
      <c r="B541" s="66"/>
      <c r="C541" s="66"/>
      <c r="D541" s="66"/>
      <c r="E541" s="66"/>
      <c r="F541" s="65"/>
      <c r="G541" s="65"/>
      <c r="H541" s="66"/>
      <c r="I541" s="66"/>
      <c r="J541" s="66"/>
      <c r="K541" s="66"/>
      <c r="L541" s="66"/>
      <c r="M541" s="66"/>
      <c r="N541" s="66"/>
      <c r="O541" s="66"/>
      <c r="P541" s="66"/>
      <c r="Q541" s="23"/>
      <c r="AB541" s="23"/>
      <c r="AC541" s="23"/>
      <c r="AD541" s="23"/>
      <c r="AE541" s="7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71"/>
      <c r="AV541" s="10"/>
      <c r="AW541" s="23"/>
      <c r="BB541" s="66"/>
      <c r="BC541" s="66"/>
      <c r="BD541" s="66"/>
      <c r="BE541" s="66"/>
      <c r="BF541" s="66"/>
      <c r="BG541" s="66"/>
      <c r="BH541" s="66"/>
      <c r="BI541" s="66"/>
      <c r="BJ541" s="66"/>
      <c r="BK541" s="66"/>
      <c r="BL541" s="66"/>
      <c r="BM541" s="66"/>
      <c r="BN541" s="66"/>
      <c r="BO541" s="66"/>
      <c r="BP541" s="66"/>
      <c r="BQ541" s="66"/>
      <c r="BR541" s="66"/>
      <c r="BS541" s="66"/>
      <c r="BT541" s="66"/>
      <c r="BU541" s="66"/>
      <c r="BV541" s="66"/>
      <c r="BW541" s="66"/>
    </row>
    <row r="542" spans="1:75" ht="15.75" customHeight="1">
      <c r="A542" s="65"/>
      <c r="B542" s="66"/>
      <c r="C542" s="66"/>
      <c r="D542" s="66"/>
      <c r="E542" s="66"/>
      <c r="F542" s="65"/>
      <c r="G542" s="65"/>
      <c r="H542" s="66"/>
      <c r="I542" s="66"/>
      <c r="J542" s="66"/>
      <c r="K542" s="66"/>
      <c r="L542" s="66"/>
      <c r="M542" s="66"/>
      <c r="N542" s="66"/>
      <c r="O542" s="66"/>
      <c r="P542" s="66"/>
      <c r="Q542" s="23"/>
      <c r="AB542" s="23"/>
      <c r="AC542" s="23"/>
      <c r="AD542" s="23"/>
      <c r="AE542" s="7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71"/>
      <c r="AV542" s="10"/>
      <c r="AW542" s="23"/>
      <c r="BB542" s="66"/>
      <c r="BC542" s="66"/>
      <c r="BD542" s="66"/>
      <c r="BE542" s="66"/>
      <c r="BF542" s="66"/>
      <c r="BG542" s="66"/>
      <c r="BH542" s="66"/>
      <c r="BI542" s="66"/>
      <c r="BJ542" s="66"/>
      <c r="BK542" s="66"/>
      <c r="BL542" s="66"/>
      <c r="BM542" s="66"/>
      <c r="BN542" s="66"/>
      <c r="BO542" s="66"/>
      <c r="BP542" s="66"/>
      <c r="BQ542" s="66"/>
      <c r="BR542" s="66"/>
      <c r="BS542" s="66"/>
      <c r="BT542" s="66"/>
      <c r="BU542" s="66"/>
      <c r="BV542" s="66"/>
      <c r="BW542" s="66"/>
    </row>
    <row r="543" spans="1:75" ht="15.75" customHeight="1">
      <c r="A543" s="65"/>
      <c r="B543" s="66"/>
      <c r="C543" s="66"/>
      <c r="D543" s="66"/>
      <c r="E543" s="66"/>
      <c r="F543" s="65"/>
      <c r="G543" s="65"/>
      <c r="H543" s="66"/>
      <c r="I543" s="66"/>
      <c r="J543" s="66"/>
      <c r="K543" s="66"/>
      <c r="L543" s="66"/>
      <c r="M543" s="66"/>
      <c r="N543" s="66"/>
      <c r="O543" s="66"/>
      <c r="P543" s="66"/>
      <c r="Q543" s="23"/>
      <c r="AB543" s="23"/>
      <c r="AC543" s="23"/>
      <c r="AD543" s="23"/>
      <c r="AE543" s="7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71"/>
      <c r="AV543" s="10"/>
      <c r="AW543" s="23"/>
      <c r="BB543" s="66"/>
      <c r="BC543" s="66"/>
      <c r="BD543" s="66"/>
      <c r="BE543" s="66"/>
      <c r="BF543" s="66"/>
      <c r="BG543" s="66"/>
      <c r="BH543" s="66"/>
      <c r="BI543" s="66"/>
      <c r="BJ543" s="66"/>
      <c r="BK543" s="66"/>
      <c r="BL543" s="66"/>
      <c r="BM543" s="66"/>
      <c r="BN543" s="66"/>
      <c r="BO543" s="66"/>
      <c r="BP543" s="66"/>
      <c r="BQ543" s="66"/>
      <c r="BR543" s="66"/>
      <c r="BS543" s="66"/>
      <c r="BT543" s="66"/>
      <c r="BU543" s="66"/>
      <c r="BV543" s="66"/>
      <c r="BW543" s="66"/>
    </row>
    <row r="544" spans="1:75" ht="15.75" customHeight="1">
      <c r="A544" s="65"/>
      <c r="B544" s="66"/>
      <c r="C544" s="66"/>
      <c r="D544" s="66"/>
      <c r="E544" s="66"/>
      <c r="F544" s="65"/>
      <c r="G544" s="65"/>
      <c r="H544" s="66"/>
      <c r="I544" s="66"/>
      <c r="J544" s="66"/>
      <c r="K544" s="66"/>
      <c r="L544" s="66"/>
      <c r="M544" s="66"/>
      <c r="N544" s="66"/>
      <c r="O544" s="66"/>
      <c r="P544" s="66"/>
      <c r="Q544" s="23"/>
      <c r="AB544" s="23"/>
      <c r="AC544" s="23"/>
      <c r="AD544" s="23"/>
      <c r="AE544" s="7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71"/>
      <c r="AV544" s="10"/>
      <c r="AW544" s="23"/>
      <c r="BB544" s="66"/>
      <c r="BC544" s="66"/>
      <c r="BD544" s="66"/>
      <c r="BE544" s="66"/>
      <c r="BF544" s="66"/>
      <c r="BG544" s="66"/>
      <c r="BH544" s="66"/>
      <c r="BI544" s="66"/>
      <c r="BJ544" s="66"/>
      <c r="BK544" s="66"/>
      <c r="BL544" s="66"/>
      <c r="BM544" s="66"/>
      <c r="BN544" s="66"/>
      <c r="BO544" s="66"/>
      <c r="BP544" s="66"/>
      <c r="BQ544" s="66"/>
      <c r="BR544" s="66"/>
      <c r="BS544" s="66"/>
      <c r="BT544" s="66"/>
      <c r="BU544" s="66"/>
      <c r="BV544" s="66"/>
      <c r="BW544" s="66"/>
    </row>
    <row r="545" spans="1:75" ht="15.75" customHeight="1">
      <c r="A545" s="65"/>
      <c r="B545" s="66"/>
      <c r="C545" s="66"/>
      <c r="D545" s="66"/>
      <c r="E545" s="66"/>
      <c r="F545" s="65"/>
      <c r="G545" s="65"/>
      <c r="H545" s="66"/>
      <c r="I545" s="66"/>
      <c r="J545" s="66"/>
      <c r="K545" s="66"/>
      <c r="L545" s="66"/>
      <c r="M545" s="66"/>
      <c r="N545" s="66"/>
      <c r="O545" s="66"/>
      <c r="P545" s="66"/>
      <c r="Q545" s="23"/>
      <c r="AB545" s="23"/>
      <c r="AC545" s="23"/>
      <c r="AD545" s="23"/>
      <c r="AE545" s="7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71"/>
      <c r="AV545" s="10"/>
      <c r="AW545" s="23"/>
      <c r="BB545" s="66"/>
      <c r="BC545" s="66"/>
      <c r="BD545" s="66"/>
      <c r="BE545" s="66"/>
      <c r="BF545" s="66"/>
      <c r="BG545" s="66"/>
      <c r="BH545" s="66"/>
      <c r="BI545" s="66"/>
      <c r="BJ545" s="66"/>
      <c r="BK545" s="66"/>
      <c r="BL545" s="66"/>
      <c r="BM545" s="66"/>
      <c r="BN545" s="66"/>
      <c r="BO545" s="66"/>
      <c r="BP545" s="66"/>
      <c r="BQ545" s="66"/>
      <c r="BR545" s="66"/>
      <c r="BS545" s="66"/>
      <c r="BT545" s="66"/>
      <c r="BU545" s="66"/>
      <c r="BV545" s="66"/>
      <c r="BW545" s="66"/>
    </row>
    <row r="546" spans="1:75" ht="15.75" customHeight="1">
      <c r="A546" s="65"/>
      <c r="B546" s="66"/>
      <c r="C546" s="66"/>
      <c r="D546" s="66"/>
      <c r="E546" s="66"/>
      <c r="F546" s="65"/>
      <c r="G546" s="65"/>
      <c r="H546" s="66"/>
      <c r="I546" s="66"/>
      <c r="J546" s="66"/>
      <c r="K546" s="66"/>
      <c r="L546" s="66"/>
      <c r="M546" s="66"/>
      <c r="N546" s="66"/>
      <c r="O546" s="66"/>
      <c r="P546" s="66"/>
      <c r="Q546" s="23"/>
      <c r="AB546" s="23"/>
      <c r="AC546" s="23"/>
      <c r="AD546" s="23"/>
      <c r="AE546" s="7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71"/>
      <c r="AV546" s="10"/>
      <c r="AW546" s="23"/>
      <c r="BB546" s="66"/>
      <c r="BC546" s="66"/>
      <c r="BD546" s="66"/>
      <c r="BE546" s="66"/>
      <c r="BF546" s="66"/>
      <c r="BG546" s="66"/>
      <c r="BH546" s="66"/>
      <c r="BI546" s="66"/>
      <c r="BJ546" s="66"/>
      <c r="BK546" s="66"/>
      <c r="BL546" s="66"/>
      <c r="BM546" s="66"/>
      <c r="BN546" s="66"/>
      <c r="BO546" s="66"/>
      <c r="BP546" s="66"/>
      <c r="BQ546" s="66"/>
      <c r="BR546" s="66"/>
      <c r="BS546" s="66"/>
      <c r="BT546" s="66"/>
      <c r="BU546" s="66"/>
      <c r="BV546" s="66"/>
      <c r="BW546" s="66"/>
    </row>
    <row r="547" spans="1:75" ht="15.75" customHeight="1">
      <c r="A547" s="65"/>
      <c r="B547" s="66"/>
      <c r="C547" s="66"/>
      <c r="D547" s="66"/>
      <c r="E547" s="66"/>
      <c r="F547" s="65"/>
      <c r="G547" s="65"/>
      <c r="H547" s="66"/>
      <c r="I547" s="66"/>
      <c r="J547" s="66"/>
      <c r="K547" s="66"/>
      <c r="L547" s="66"/>
      <c r="M547" s="66"/>
      <c r="N547" s="66"/>
      <c r="O547" s="66"/>
      <c r="P547" s="66"/>
      <c r="Q547" s="23"/>
      <c r="AB547" s="23"/>
      <c r="AC547" s="23"/>
      <c r="AD547" s="23"/>
      <c r="AE547" s="7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71"/>
      <c r="AV547" s="10"/>
      <c r="AW547" s="23"/>
      <c r="BB547" s="66"/>
      <c r="BC547" s="66"/>
      <c r="BD547" s="66"/>
      <c r="BE547" s="66"/>
      <c r="BF547" s="66"/>
      <c r="BG547" s="66"/>
      <c r="BH547" s="66"/>
      <c r="BI547" s="66"/>
      <c r="BJ547" s="66"/>
      <c r="BK547" s="66"/>
      <c r="BL547" s="66"/>
      <c r="BM547" s="66"/>
      <c r="BN547" s="66"/>
      <c r="BO547" s="66"/>
      <c r="BP547" s="66"/>
      <c r="BQ547" s="66"/>
      <c r="BR547" s="66"/>
      <c r="BS547" s="66"/>
      <c r="BT547" s="66"/>
      <c r="BU547" s="66"/>
      <c r="BV547" s="66"/>
      <c r="BW547" s="66"/>
    </row>
    <row r="548" spans="1:75" ht="15.75" customHeight="1">
      <c r="A548" s="65"/>
      <c r="B548" s="66"/>
      <c r="C548" s="66"/>
      <c r="D548" s="66"/>
      <c r="E548" s="66"/>
      <c r="F548" s="65"/>
      <c r="G548" s="65"/>
      <c r="H548" s="66"/>
      <c r="I548" s="66"/>
      <c r="J548" s="66"/>
      <c r="K548" s="66"/>
      <c r="L548" s="66"/>
      <c r="M548" s="66"/>
      <c r="N548" s="66"/>
      <c r="O548" s="66"/>
      <c r="P548" s="66"/>
      <c r="Q548" s="23"/>
      <c r="AB548" s="23"/>
      <c r="AC548" s="23"/>
      <c r="AD548" s="23"/>
      <c r="AE548" s="7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71"/>
      <c r="AV548" s="10"/>
      <c r="AW548" s="23"/>
      <c r="BB548" s="66"/>
      <c r="BC548" s="66"/>
      <c r="BD548" s="66"/>
      <c r="BE548" s="66"/>
      <c r="BF548" s="66"/>
      <c r="BG548" s="66"/>
      <c r="BH548" s="66"/>
      <c r="BI548" s="66"/>
      <c r="BJ548" s="66"/>
      <c r="BK548" s="66"/>
      <c r="BL548" s="66"/>
      <c r="BM548" s="66"/>
      <c r="BN548" s="66"/>
      <c r="BO548" s="66"/>
      <c r="BP548" s="66"/>
      <c r="BQ548" s="66"/>
      <c r="BR548" s="66"/>
      <c r="BS548" s="66"/>
      <c r="BT548" s="66"/>
      <c r="BU548" s="66"/>
      <c r="BV548" s="66"/>
      <c r="BW548" s="66"/>
    </row>
    <row r="549" spans="1:75" ht="15.75" customHeight="1">
      <c r="A549" s="65"/>
      <c r="B549" s="66"/>
      <c r="C549" s="66"/>
      <c r="D549" s="66"/>
      <c r="E549" s="66"/>
      <c r="F549" s="65"/>
      <c r="G549" s="65"/>
      <c r="H549" s="66"/>
      <c r="I549" s="66"/>
      <c r="J549" s="66"/>
      <c r="K549" s="66"/>
      <c r="L549" s="66"/>
      <c r="M549" s="66"/>
      <c r="N549" s="66"/>
      <c r="O549" s="66"/>
      <c r="P549" s="66"/>
      <c r="Q549" s="23"/>
      <c r="AB549" s="23"/>
      <c r="AC549" s="23"/>
      <c r="AD549" s="23"/>
      <c r="AE549" s="7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71"/>
      <c r="AV549" s="10"/>
      <c r="AW549" s="23"/>
      <c r="BB549" s="66"/>
      <c r="BC549" s="66"/>
      <c r="BD549" s="66"/>
      <c r="BE549" s="66"/>
      <c r="BF549" s="66"/>
      <c r="BG549" s="66"/>
      <c r="BH549" s="66"/>
      <c r="BI549" s="66"/>
      <c r="BJ549" s="66"/>
      <c r="BK549" s="66"/>
      <c r="BL549" s="66"/>
      <c r="BM549" s="66"/>
      <c r="BN549" s="66"/>
      <c r="BO549" s="66"/>
      <c r="BP549" s="66"/>
      <c r="BQ549" s="66"/>
      <c r="BR549" s="66"/>
      <c r="BS549" s="66"/>
      <c r="BT549" s="66"/>
      <c r="BU549" s="66"/>
      <c r="BV549" s="66"/>
      <c r="BW549" s="66"/>
    </row>
    <row r="550" spans="1:75" ht="15.75" customHeight="1">
      <c r="A550" s="65"/>
      <c r="B550" s="66"/>
      <c r="C550" s="66"/>
      <c r="D550" s="66"/>
      <c r="E550" s="66"/>
      <c r="F550" s="65"/>
      <c r="G550" s="65"/>
      <c r="H550" s="66"/>
      <c r="I550" s="66"/>
      <c r="J550" s="66"/>
      <c r="K550" s="66"/>
      <c r="L550" s="66"/>
      <c r="M550" s="66"/>
      <c r="N550" s="66"/>
      <c r="O550" s="66"/>
      <c r="P550" s="66"/>
      <c r="Q550" s="23"/>
      <c r="AB550" s="23"/>
      <c r="AC550" s="23"/>
      <c r="AD550" s="23"/>
      <c r="AE550" s="7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71"/>
      <c r="AV550" s="10"/>
      <c r="AW550" s="23"/>
      <c r="BB550" s="66"/>
      <c r="BC550" s="66"/>
      <c r="BD550" s="66"/>
      <c r="BE550" s="66"/>
      <c r="BF550" s="66"/>
      <c r="BG550" s="66"/>
      <c r="BH550" s="66"/>
      <c r="BI550" s="66"/>
      <c r="BJ550" s="66"/>
      <c r="BK550" s="66"/>
      <c r="BL550" s="66"/>
      <c r="BM550" s="66"/>
      <c r="BN550" s="66"/>
      <c r="BO550" s="66"/>
      <c r="BP550" s="66"/>
      <c r="BQ550" s="66"/>
      <c r="BR550" s="66"/>
      <c r="BS550" s="66"/>
      <c r="BT550" s="66"/>
      <c r="BU550" s="66"/>
      <c r="BV550" s="66"/>
      <c r="BW550" s="66"/>
    </row>
    <row r="551" spans="1:75" ht="15.75" customHeight="1">
      <c r="A551" s="65"/>
      <c r="B551" s="66"/>
      <c r="C551" s="66"/>
      <c r="D551" s="66"/>
      <c r="E551" s="66"/>
      <c r="F551" s="65"/>
      <c r="G551" s="65"/>
      <c r="H551" s="66"/>
      <c r="I551" s="66"/>
      <c r="J551" s="66"/>
      <c r="K551" s="66"/>
      <c r="L551" s="66"/>
      <c r="M551" s="66"/>
      <c r="N551" s="66"/>
      <c r="O551" s="66"/>
      <c r="P551" s="66"/>
      <c r="Q551" s="23"/>
      <c r="AB551" s="23"/>
      <c r="AC551" s="23"/>
      <c r="AD551" s="23"/>
      <c r="AE551" s="7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71"/>
      <c r="AV551" s="10"/>
      <c r="AW551" s="23"/>
      <c r="BB551" s="66"/>
      <c r="BC551" s="66"/>
      <c r="BD551" s="66"/>
      <c r="BE551" s="66"/>
      <c r="BF551" s="66"/>
      <c r="BG551" s="66"/>
      <c r="BH551" s="66"/>
      <c r="BI551" s="66"/>
      <c r="BJ551" s="66"/>
      <c r="BK551" s="66"/>
      <c r="BL551" s="66"/>
      <c r="BM551" s="66"/>
      <c r="BN551" s="66"/>
      <c r="BO551" s="66"/>
      <c r="BP551" s="66"/>
      <c r="BQ551" s="66"/>
      <c r="BR551" s="66"/>
      <c r="BS551" s="66"/>
      <c r="BT551" s="66"/>
      <c r="BU551" s="66"/>
      <c r="BV551" s="66"/>
      <c r="BW551" s="66"/>
    </row>
    <row r="552" spans="1:75" ht="15.75" customHeight="1">
      <c r="A552" s="65"/>
      <c r="B552" s="66"/>
      <c r="C552" s="66"/>
      <c r="D552" s="66"/>
      <c r="E552" s="66"/>
      <c r="F552" s="65"/>
      <c r="G552" s="65"/>
      <c r="H552" s="66"/>
      <c r="I552" s="66"/>
      <c r="J552" s="66"/>
      <c r="K552" s="66"/>
      <c r="L552" s="66"/>
      <c r="M552" s="66"/>
      <c r="N552" s="66"/>
      <c r="O552" s="66"/>
      <c r="P552" s="66"/>
      <c r="Q552" s="23"/>
      <c r="AB552" s="23"/>
      <c r="AC552" s="23"/>
      <c r="AD552" s="23"/>
      <c r="AE552" s="7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71"/>
      <c r="AV552" s="10"/>
      <c r="AW552" s="23"/>
      <c r="BB552" s="66"/>
      <c r="BC552" s="66"/>
      <c r="BD552" s="66"/>
      <c r="BE552" s="66"/>
      <c r="BF552" s="66"/>
      <c r="BG552" s="66"/>
      <c r="BH552" s="66"/>
      <c r="BI552" s="66"/>
      <c r="BJ552" s="66"/>
      <c r="BK552" s="66"/>
      <c r="BL552" s="66"/>
      <c r="BM552" s="66"/>
      <c r="BN552" s="66"/>
      <c r="BO552" s="66"/>
      <c r="BP552" s="66"/>
      <c r="BQ552" s="66"/>
      <c r="BR552" s="66"/>
      <c r="BS552" s="66"/>
      <c r="BT552" s="66"/>
      <c r="BU552" s="66"/>
      <c r="BV552" s="66"/>
      <c r="BW552" s="66"/>
    </row>
    <row r="553" spans="1:75" ht="15.75" customHeight="1">
      <c r="A553" s="65"/>
      <c r="B553" s="66"/>
      <c r="C553" s="66"/>
      <c r="D553" s="66"/>
      <c r="E553" s="66"/>
      <c r="F553" s="65"/>
      <c r="G553" s="65"/>
      <c r="H553" s="66"/>
      <c r="I553" s="66"/>
      <c r="J553" s="66"/>
      <c r="K553" s="66"/>
      <c r="L553" s="66"/>
      <c r="M553" s="66"/>
      <c r="N553" s="66"/>
      <c r="O553" s="66"/>
      <c r="P553" s="66"/>
      <c r="Q553" s="23"/>
      <c r="AB553" s="23"/>
      <c r="AC553" s="23"/>
      <c r="AD553" s="23"/>
      <c r="AE553" s="7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71"/>
      <c r="AV553" s="10"/>
      <c r="AW553" s="23"/>
      <c r="BB553" s="66"/>
      <c r="BC553" s="66"/>
      <c r="BD553" s="66"/>
      <c r="BE553" s="66"/>
      <c r="BF553" s="66"/>
      <c r="BG553" s="66"/>
      <c r="BH553" s="66"/>
      <c r="BI553" s="66"/>
      <c r="BJ553" s="66"/>
      <c r="BK553" s="66"/>
      <c r="BL553" s="66"/>
      <c r="BM553" s="66"/>
      <c r="BN553" s="66"/>
      <c r="BO553" s="66"/>
      <c r="BP553" s="66"/>
      <c r="BQ553" s="66"/>
      <c r="BR553" s="66"/>
      <c r="BS553" s="66"/>
      <c r="BT553" s="66"/>
      <c r="BU553" s="66"/>
      <c r="BV553" s="66"/>
      <c r="BW553" s="66"/>
    </row>
    <row r="554" spans="1:75" ht="15.75" customHeight="1">
      <c r="A554" s="65"/>
      <c r="B554" s="66"/>
      <c r="C554" s="66"/>
      <c r="D554" s="66"/>
      <c r="E554" s="66"/>
      <c r="F554" s="65"/>
      <c r="G554" s="65"/>
      <c r="H554" s="66"/>
      <c r="I554" s="66"/>
      <c r="J554" s="66"/>
      <c r="K554" s="66"/>
      <c r="L554" s="66"/>
      <c r="M554" s="66"/>
      <c r="N554" s="66"/>
      <c r="O554" s="66"/>
      <c r="P554" s="66"/>
      <c r="Q554" s="23"/>
      <c r="AB554" s="23"/>
      <c r="AC554" s="23"/>
      <c r="AD554" s="23"/>
      <c r="AE554" s="7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71"/>
      <c r="AV554" s="10"/>
      <c r="AW554" s="23"/>
      <c r="BB554" s="66"/>
      <c r="BC554" s="66"/>
      <c r="BD554" s="66"/>
      <c r="BE554" s="66"/>
      <c r="BF554" s="66"/>
      <c r="BG554" s="66"/>
      <c r="BH554" s="66"/>
      <c r="BI554" s="66"/>
      <c r="BJ554" s="66"/>
      <c r="BK554" s="66"/>
      <c r="BL554" s="66"/>
      <c r="BM554" s="66"/>
      <c r="BN554" s="66"/>
      <c r="BO554" s="66"/>
      <c r="BP554" s="66"/>
      <c r="BQ554" s="66"/>
      <c r="BR554" s="66"/>
      <c r="BS554" s="66"/>
      <c r="BT554" s="66"/>
      <c r="BU554" s="66"/>
      <c r="BV554" s="66"/>
      <c r="BW554" s="66"/>
    </row>
    <row r="555" spans="1:75" ht="15.75" customHeight="1">
      <c r="A555" s="65"/>
      <c r="B555" s="66"/>
      <c r="C555" s="66"/>
      <c r="D555" s="66"/>
      <c r="E555" s="66"/>
      <c r="F555" s="65"/>
      <c r="G555" s="65"/>
      <c r="H555" s="66"/>
      <c r="I555" s="66"/>
      <c r="J555" s="66"/>
      <c r="K555" s="66"/>
      <c r="L555" s="66"/>
      <c r="M555" s="66"/>
      <c r="N555" s="66"/>
      <c r="O555" s="66"/>
      <c r="P555" s="66"/>
      <c r="Q555" s="23"/>
      <c r="AB555" s="23"/>
      <c r="AC555" s="23"/>
      <c r="AD555" s="23"/>
      <c r="AE555" s="7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71"/>
      <c r="AV555" s="10"/>
      <c r="AW555" s="23"/>
      <c r="BB555" s="66"/>
      <c r="BC555" s="66"/>
      <c r="BD555" s="66"/>
      <c r="BE555" s="66"/>
      <c r="BF555" s="66"/>
      <c r="BG555" s="66"/>
      <c r="BH555" s="66"/>
      <c r="BI555" s="66"/>
      <c r="BJ555" s="66"/>
      <c r="BK555" s="66"/>
      <c r="BL555" s="66"/>
      <c r="BM555" s="66"/>
      <c r="BN555" s="66"/>
      <c r="BO555" s="66"/>
      <c r="BP555" s="66"/>
      <c r="BQ555" s="66"/>
      <c r="BR555" s="66"/>
      <c r="BS555" s="66"/>
      <c r="BT555" s="66"/>
      <c r="BU555" s="66"/>
      <c r="BV555" s="66"/>
      <c r="BW555" s="66"/>
    </row>
    <row r="556" spans="1:75" ht="15.75" customHeight="1">
      <c r="A556" s="65"/>
      <c r="B556" s="66"/>
      <c r="C556" s="66"/>
      <c r="D556" s="66"/>
      <c r="E556" s="66"/>
      <c r="F556" s="65"/>
      <c r="G556" s="65"/>
      <c r="H556" s="66"/>
      <c r="I556" s="66"/>
      <c r="J556" s="66"/>
      <c r="K556" s="66"/>
      <c r="L556" s="66"/>
      <c r="M556" s="66"/>
      <c r="N556" s="66"/>
      <c r="O556" s="66"/>
      <c r="P556" s="66"/>
      <c r="Q556" s="23"/>
      <c r="AB556" s="23"/>
      <c r="AC556" s="23"/>
      <c r="AD556" s="23"/>
      <c r="AE556" s="7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71"/>
      <c r="AV556" s="10"/>
      <c r="AW556" s="23"/>
      <c r="BB556" s="66"/>
      <c r="BC556" s="66"/>
      <c r="BD556" s="66"/>
      <c r="BE556" s="66"/>
      <c r="BF556" s="66"/>
      <c r="BG556" s="66"/>
      <c r="BH556" s="66"/>
      <c r="BI556" s="66"/>
      <c r="BJ556" s="66"/>
      <c r="BK556" s="66"/>
      <c r="BL556" s="66"/>
      <c r="BM556" s="66"/>
      <c r="BN556" s="66"/>
      <c r="BO556" s="66"/>
      <c r="BP556" s="66"/>
      <c r="BQ556" s="66"/>
      <c r="BR556" s="66"/>
      <c r="BS556" s="66"/>
      <c r="BT556" s="66"/>
      <c r="BU556" s="66"/>
      <c r="BV556" s="66"/>
      <c r="BW556" s="66"/>
    </row>
    <row r="557" spans="1:75" ht="15.75" customHeight="1">
      <c r="A557" s="65"/>
      <c r="B557" s="66"/>
      <c r="C557" s="66"/>
      <c r="D557" s="66"/>
      <c r="E557" s="66"/>
      <c r="F557" s="65"/>
      <c r="G557" s="65"/>
      <c r="H557" s="66"/>
      <c r="I557" s="66"/>
      <c r="J557" s="66"/>
      <c r="K557" s="66"/>
      <c r="L557" s="66"/>
      <c r="M557" s="66"/>
      <c r="N557" s="66"/>
      <c r="O557" s="66"/>
      <c r="P557" s="66"/>
      <c r="Q557" s="23"/>
      <c r="AB557" s="23"/>
      <c r="AC557" s="23"/>
      <c r="AD557" s="23"/>
      <c r="AE557" s="7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71"/>
      <c r="AV557" s="10"/>
      <c r="AW557" s="23"/>
      <c r="BB557" s="66"/>
      <c r="BC557" s="66"/>
      <c r="BD557" s="66"/>
      <c r="BE557" s="66"/>
      <c r="BF557" s="66"/>
      <c r="BG557" s="66"/>
      <c r="BH557" s="66"/>
      <c r="BI557" s="66"/>
      <c r="BJ557" s="66"/>
      <c r="BK557" s="66"/>
      <c r="BL557" s="66"/>
      <c r="BM557" s="66"/>
      <c r="BN557" s="66"/>
      <c r="BO557" s="66"/>
      <c r="BP557" s="66"/>
      <c r="BQ557" s="66"/>
      <c r="BR557" s="66"/>
      <c r="BS557" s="66"/>
      <c r="BT557" s="66"/>
      <c r="BU557" s="66"/>
      <c r="BV557" s="66"/>
      <c r="BW557" s="66"/>
    </row>
    <row r="558" spans="1:75" ht="15.75" customHeight="1">
      <c r="A558" s="65"/>
      <c r="B558" s="66"/>
      <c r="C558" s="66"/>
      <c r="D558" s="66"/>
      <c r="E558" s="66"/>
      <c r="F558" s="65"/>
      <c r="G558" s="65"/>
      <c r="H558" s="66"/>
      <c r="I558" s="66"/>
      <c r="J558" s="66"/>
      <c r="K558" s="66"/>
      <c r="L558" s="66"/>
      <c r="M558" s="66"/>
      <c r="N558" s="66"/>
      <c r="O558" s="66"/>
      <c r="P558" s="66"/>
      <c r="Q558" s="23"/>
      <c r="AB558" s="23"/>
      <c r="AC558" s="23"/>
      <c r="AD558" s="23"/>
      <c r="AE558" s="7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71"/>
      <c r="AV558" s="10"/>
      <c r="AW558" s="23"/>
      <c r="BB558" s="66"/>
      <c r="BC558" s="66"/>
      <c r="BD558" s="66"/>
      <c r="BE558" s="66"/>
      <c r="BF558" s="66"/>
      <c r="BG558" s="66"/>
      <c r="BH558" s="66"/>
      <c r="BI558" s="66"/>
      <c r="BJ558" s="66"/>
      <c r="BK558" s="66"/>
      <c r="BL558" s="66"/>
      <c r="BM558" s="66"/>
      <c r="BN558" s="66"/>
      <c r="BO558" s="66"/>
      <c r="BP558" s="66"/>
      <c r="BQ558" s="66"/>
      <c r="BR558" s="66"/>
      <c r="BS558" s="66"/>
      <c r="BT558" s="66"/>
      <c r="BU558" s="66"/>
      <c r="BV558" s="66"/>
      <c r="BW558" s="66"/>
    </row>
    <row r="559" spans="1:75" ht="15.75" customHeight="1">
      <c r="A559" s="65"/>
      <c r="B559" s="66"/>
      <c r="C559" s="66"/>
      <c r="D559" s="66"/>
      <c r="E559" s="66"/>
      <c r="F559" s="65"/>
      <c r="G559" s="65"/>
      <c r="H559" s="66"/>
      <c r="I559" s="66"/>
      <c r="J559" s="66"/>
      <c r="K559" s="66"/>
      <c r="L559" s="66"/>
      <c r="M559" s="66"/>
      <c r="N559" s="66"/>
      <c r="O559" s="66"/>
      <c r="P559" s="66"/>
      <c r="Q559" s="23"/>
      <c r="AB559" s="23"/>
      <c r="AC559" s="23"/>
      <c r="AD559" s="23"/>
      <c r="AE559" s="7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71"/>
      <c r="AV559" s="10"/>
      <c r="AW559" s="23"/>
      <c r="BB559" s="66"/>
      <c r="BC559" s="66"/>
      <c r="BD559" s="66"/>
      <c r="BE559" s="66"/>
      <c r="BF559" s="66"/>
      <c r="BG559" s="66"/>
      <c r="BH559" s="66"/>
      <c r="BI559" s="66"/>
      <c r="BJ559" s="66"/>
      <c r="BK559" s="66"/>
      <c r="BL559" s="66"/>
      <c r="BM559" s="66"/>
      <c r="BN559" s="66"/>
      <c r="BO559" s="66"/>
      <c r="BP559" s="66"/>
      <c r="BQ559" s="66"/>
      <c r="BR559" s="66"/>
      <c r="BS559" s="66"/>
      <c r="BT559" s="66"/>
      <c r="BU559" s="66"/>
      <c r="BV559" s="66"/>
      <c r="BW559" s="66"/>
    </row>
    <row r="560" spans="1:75" ht="15.75" customHeight="1">
      <c r="A560" s="65"/>
      <c r="B560" s="66"/>
      <c r="C560" s="66"/>
      <c r="D560" s="66"/>
      <c r="E560" s="66"/>
      <c r="F560" s="65"/>
      <c r="G560" s="65"/>
      <c r="H560" s="66"/>
      <c r="I560" s="66"/>
      <c r="J560" s="66"/>
      <c r="K560" s="66"/>
      <c r="L560" s="66"/>
      <c r="M560" s="66"/>
      <c r="N560" s="66"/>
      <c r="O560" s="66"/>
      <c r="P560" s="66"/>
      <c r="Q560" s="23"/>
      <c r="AB560" s="23"/>
      <c r="AC560" s="23"/>
      <c r="AD560" s="23"/>
      <c r="AE560" s="7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71"/>
      <c r="AV560" s="10"/>
      <c r="AW560" s="23"/>
      <c r="BB560" s="66"/>
      <c r="BC560" s="66"/>
      <c r="BD560" s="66"/>
      <c r="BE560" s="66"/>
      <c r="BF560" s="66"/>
      <c r="BG560" s="66"/>
      <c r="BH560" s="66"/>
      <c r="BI560" s="66"/>
      <c r="BJ560" s="66"/>
      <c r="BK560" s="66"/>
      <c r="BL560" s="66"/>
      <c r="BM560" s="66"/>
      <c r="BN560" s="66"/>
      <c r="BO560" s="66"/>
      <c r="BP560" s="66"/>
      <c r="BQ560" s="66"/>
      <c r="BR560" s="66"/>
      <c r="BS560" s="66"/>
      <c r="BT560" s="66"/>
      <c r="BU560" s="66"/>
      <c r="BV560" s="66"/>
      <c r="BW560" s="66"/>
    </row>
    <row r="561" spans="1:75" ht="15.75" customHeight="1">
      <c r="A561" s="65"/>
      <c r="B561" s="66"/>
      <c r="C561" s="66"/>
      <c r="D561" s="66"/>
      <c r="E561" s="66"/>
      <c r="F561" s="65"/>
      <c r="G561" s="65"/>
      <c r="H561" s="66"/>
      <c r="I561" s="66"/>
      <c r="J561" s="66"/>
      <c r="K561" s="66"/>
      <c r="L561" s="66"/>
      <c r="M561" s="66"/>
      <c r="N561" s="66"/>
      <c r="O561" s="66"/>
      <c r="P561" s="66"/>
      <c r="Q561" s="23"/>
      <c r="AB561" s="23"/>
      <c r="AC561" s="23"/>
      <c r="AD561" s="23"/>
      <c r="AE561" s="7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71"/>
      <c r="AV561" s="10"/>
      <c r="AW561" s="23"/>
      <c r="BB561" s="66"/>
      <c r="BC561" s="66"/>
      <c r="BD561" s="66"/>
      <c r="BE561" s="66"/>
      <c r="BF561" s="66"/>
      <c r="BG561" s="66"/>
      <c r="BH561" s="66"/>
      <c r="BI561" s="66"/>
      <c r="BJ561" s="66"/>
      <c r="BK561" s="66"/>
      <c r="BL561" s="66"/>
      <c r="BM561" s="66"/>
      <c r="BN561" s="66"/>
      <c r="BO561" s="66"/>
      <c r="BP561" s="66"/>
      <c r="BQ561" s="66"/>
      <c r="BR561" s="66"/>
      <c r="BS561" s="66"/>
      <c r="BT561" s="66"/>
      <c r="BU561" s="66"/>
      <c r="BV561" s="66"/>
      <c r="BW561" s="66"/>
    </row>
    <row r="562" spans="1:75" ht="15.75" customHeight="1">
      <c r="A562" s="65"/>
      <c r="B562" s="66"/>
      <c r="C562" s="66"/>
      <c r="D562" s="66"/>
      <c r="E562" s="66"/>
      <c r="F562" s="65"/>
      <c r="G562" s="65"/>
      <c r="H562" s="66"/>
      <c r="I562" s="66"/>
      <c r="J562" s="66"/>
      <c r="K562" s="66"/>
      <c r="L562" s="66"/>
      <c r="M562" s="66"/>
      <c r="N562" s="66"/>
      <c r="O562" s="66"/>
      <c r="P562" s="66"/>
      <c r="Q562" s="23"/>
      <c r="AB562" s="23"/>
      <c r="AC562" s="23"/>
      <c r="AD562" s="23"/>
      <c r="AE562" s="7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71"/>
      <c r="AV562" s="10"/>
      <c r="AW562" s="23"/>
      <c r="BB562" s="66"/>
      <c r="BC562" s="66"/>
      <c r="BD562" s="66"/>
      <c r="BE562" s="66"/>
      <c r="BF562" s="66"/>
      <c r="BG562" s="66"/>
      <c r="BH562" s="66"/>
      <c r="BI562" s="66"/>
      <c r="BJ562" s="66"/>
      <c r="BK562" s="66"/>
      <c r="BL562" s="66"/>
      <c r="BM562" s="66"/>
      <c r="BN562" s="66"/>
      <c r="BO562" s="66"/>
      <c r="BP562" s="66"/>
      <c r="BQ562" s="66"/>
      <c r="BR562" s="66"/>
      <c r="BS562" s="66"/>
      <c r="BT562" s="66"/>
      <c r="BU562" s="66"/>
      <c r="BV562" s="66"/>
      <c r="BW562" s="66"/>
    </row>
    <row r="563" spans="1:75" ht="15.75" customHeight="1">
      <c r="A563" s="65"/>
      <c r="B563" s="66"/>
      <c r="C563" s="66"/>
      <c r="D563" s="66"/>
      <c r="E563" s="66"/>
      <c r="F563" s="65"/>
      <c r="G563" s="65"/>
      <c r="H563" s="66"/>
      <c r="I563" s="66"/>
      <c r="J563" s="66"/>
      <c r="K563" s="66"/>
      <c r="L563" s="66"/>
      <c r="M563" s="66"/>
      <c r="N563" s="66"/>
      <c r="O563" s="66"/>
      <c r="P563" s="66"/>
      <c r="Q563" s="23"/>
      <c r="AB563" s="23"/>
      <c r="AC563" s="23"/>
      <c r="AD563" s="23"/>
      <c r="AE563" s="7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71"/>
      <c r="AV563" s="10"/>
      <c r="AW563" s="23"/>
      <c r="BB563" s="66"/>
      <c r="BC563" s="66"/>
      <c r="BD563" s="66"/>
      <c r="BE563" s="66"/>
      <c r="BF563" s="66"/>
      <c r="BG563" s="66"/>
      <c r="BH563" s="66"/>
      <c r="BI563" s="66"/>
      <c r="BJ563" s="66"/>
      <c r="BK563" s="66"/>
      <c r="BL563" s="66"/>
      <c r="BM563" s="66"/>
      <c r="BN563" s="66"/>
      <c r="BO563" s="66"/>
      <c r="BP563" s="66"/>
      <c r="BQ563" s="66"/>
      <c r="BR563" s="66"/>
      <c r="BS563" s="66"/>
      <c r="BT563" s="66"/>
      <c r="BU563" s="66"/>
      <c r="BV563" s="66"/>
      <c r="BW563" s="66"/>
    </row>
    <row r="564" spans="1:75" ht="15.75" customHeight="1">
      <c r="A564" s="65"/>
      <c r="B564" s="66"/>
      <c r="C564" s="66"/>
      <c r="D564" s="66"/>
      <c r="E564" s="66"/>
      <c r="F564" s="65"/>
      <c r="G564" s="65"/>
      <c r="H564" s="66"/>
      <c r="I564" s="66"/>
      <c r="J564" s="66"/>
      <c r="K564" s="66"/>
      <c r="L564" s="66"/>
      <c r="M564" s="66"/>
      <c r="N564" s="66"/>
      <c r="O564" s="66"/>
      <c r="P564" s="66"/>
      <c r="Q564" s="23"/>
      <c r="AB564" s="23"/>
      <c r="AC564" s="23"/>
      <c r="AD564" s="23"/>
      <c r="AE564" s="7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71"/>
      <c r="AV564" s="10"/>
      <c r="AW564" s="23"/>
      <c r="BB564" s="66"/>
      <c r="BC564" s="66"/>
      <c r="BD564" s="66"/>
      <c r="BE564" s="66"/>
      <c r="BF564" s="66"/>
      <c r="BG564" s="66"/>
      <c r="BH564" s="66"/>
      <c r="BI564" s="66"/>
      <c r="BJ564" s="66"/>
      <c r="BK564" s="66"/>
      <c r="BL564" s="66"/>
      <c r="BM564" s="66"/>
      <c r="BN564" s="66"/>
      <c r="BO564" s="66"/>
      <c r="BP564" s="66"/>
      <c r="BQ564" s="66"/>
      <c r="BR564" s="66"/>
      <c r="BS564" s="66"/>
      <c r="BT564" s="66"/>
      <c r="BU564" s="66"/>
      <c r="BV564" s="66"/>
      <c r="BW564" s="66"/>
    </row>
    <row r="565" spans="1:75" ht="15.75" customHeight="1">
      <c r="A565" s="65"/>
      <c r="B565" s="66"/>
      <c r="C565" s="66"/>
      <c r="D565" s="66"/>
      <c r="E565" s="66"/>
      <c r="F565" s="65"/>
      <c r="G565" s="65"/>
      <c r="H565" s="66"/>
      <c r="I565" s="66"/>
      <c r="J565" s="66"/>
      <c r="K565" s="66"/>
      <c r="L565" s="66"/>
      <c r="M565" s="66"/>
      <c r="N565" s="66"/>
      <c r="O565" s="66"/>
      <c r="P565" s="66"/>
      <c r="Q565" s="23"/>
      <c r="AB565" s="23"/>
      <c r="AC565" s="23"/>
      <c r="AD565" s="23"/>
      <c r="AE565" s="7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71"/>
      <c r="AV565" s="10"/>
      <c r="AW565" s="23"/>
      <c r="BB565" s="66"/>
      <c r="BC565" s="66"/>
      <c r="BD565" s="66"/>
      <c r="BE565" s="66"/>
      <c r="BF565" s="66"/>
      <c r="BG565" s="66"/>
      <c r="BH565" s="66"/>
      <c r="BI565" s="66"/>
      <c r="BJ565" s="66"/>
      <c r="BK565" s="66"/>
      <c r="BL565" s="66"/>
      <c r="BM565" s="66"/>
      <c r="BN565" s="66"/>
      <c r="BO565" s="66"/>
      <c r="BP565" s="66"/>
      <c r="BQ565" s="66"/>
      <c r="BR565" s="66"/>
      <c r="BS565" s="66"/>
      <c r="BT565" s="66"/>
      <c r="BU565" s="66"/>
      <c r="BV565" s="66"/>
      <c r="BW565" s="66"/>
    </row>
    <row r="566" spans="1:75" ht="15.75" customHeight="1">
      <c r="A566" s="65"/>
      <c r="B566" s="66"/>
      <c r="C566" s="66"/>
      <c r="D566" s="66"/>
      <c r="E566" s="66"/>
      <c r="F566" s="65"/>
      <c r="G566" s="65"/>
      <c r="H566" s="66"/>
      <c r="I566" s="66"/>
      <c r="J566" s="66"/>
      <c r="K566" s="66"/>
      <c r="L566" s="66"/>
      <c r="M566" s="66"/>
      <c r="N566" s="66"/>
      <c r="O566" s="66"/>
      <c r="P566" s="66"/>
      <c r="Q566" s="23"/>
      <c r="AB566" s="23"/>
      <c r="AC566" s="23"/>
      <c r="AD566" s="23"/>
      <c r="AE566" s="7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71"/>
      <c r="AV566" s="10"/>
      <c r="AW566" s="23"/>
      <c r="BB566" s="66"/>
      <c r="BC566" s="66"/>
      <c r="BD566" s="66"/>
      <c r="BE566" s="66"/>
      <c r="BF566" s="66"/>
      <c r="BG566" s="66"/>
      <c r="BH566" s="66"/>
      <c r="BI566" s="66"/>
      <c r="BJ566" s="66"/>
      <c r="BK566" s="66"/>
      <c r="BL566" s="66"/>
      <c r="BM566" s="66"/>
      <c r="BN566" s="66"/>
      <c r="BO566" s="66"/>
      <c r="BP566" s="66"/>
      <c r="BQ566" s="66"/>
      <c r="BR566" s="66"/>
      <c r="BS566" s="66"/>
      <c r="BT566" s="66"/>
      <c r="BU566" s="66"/>
      <c r="BV566" s="66"/>
      <c r="BW566" s="66"/>
    </row>
    <row r="567" spans="1:75" ht="15.75" customHeight="1">
      <c r="A567" s="65"/>
      <c r="B567" s="66"/>
      <c r="C567" s="66"/>
      <c r="D567" s="66"/>
      <c r="E567" s="66"/>
      <c r="F567" s="65"/>
      <c r="G567" s="65"/>
      <c r="H567" s="66"/>
      <c r="I567" s="66"/>
      <c r="J567" s="66"/>
      <c r="K567" s="66"/>
      <c r="L567" s="66"/>
      <c r="M567" s="66"/>
      <c r="N567" s="66"/>
      <c r="O567" s="66"/>
      <c r="P567" s="66"/>
      <c r="Q567" s="23"/>
      <c r="AB567" s="23"/>
      <c r="AC567" s="23"/>
      <c r="AD567" s="23"/>
      <c r="AE567" s="7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71"/>
      <c r="AV567" s="10"/>
      <c r="AW567" s="23"/>
      <c r="BB567" s="66"/>
      <c r="BC567" s="66"/>
      <c r="BD567" s="66"/>
      <c r="BE567" s="66"/>
      <c r="BF567" s="66"/>
      <c r="BG567" s="66"/>
      <c r="BH567" s="66"/>
      <c r="BI567" s="66"/>
      <c r="BJ567" s="66"/>
      <c r="BK567" s="66"/>
      <c r="BL567" s="66"/>
      <c r="BM567" s="66"/>
      <c r="BN567" s="66"/>
      <c r="BO567" s="66"/>
      <c r="BP567" s="66"/>
      <c r="BQ567" s="66"/>
      <c r="BR567" s="66"/>
      <c r="BS567" s="66"/>
      <c r="BT567" s="66"/>
      <c r="BU567" s="66"/>
      <c r="BV567" s="66"/>
      <c r="BW567" s="66"/>
    </row>
    <row r="568" spans="1:75" ht="15.75" customHeight="1">
      <c r="A568" s="65"/>
      <c r="B568" s="66"/>
      <c r="C568" s="66"/>
      <c r="D568" s="66"/>
      <c r="E568" s="66"/>
      <c r="F568" s="65"/>
      <c r="G568" s="65"/>
      <c r="H568" s="66"/>
      <c r="I568" s="66"/>
      <c r="J568" s="66"/>
      <c r="K568" s="66"/>
      <c r="L568" s="66"/>
      <c r="M568" s="66"/>
      <c r="N568" s="66"/>
      <c r="O568" s="66"/>
      <c r="P568" s="66"/>
      <c r="Q568" s="23"/>
      <c r="AB568" s="23"/>
      <c r="AC568" s="23"/>
      <c r="AD568" s="23"/>
      <c r="AE568" s="7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71"/>
      <c r="AV568" s="10"/>
      <c r="AW568" s="23"/>
      <c r="BB568" s="66"/>
      <c r="BC568" s="66"/>
      <c r="BD568" s="66"/>
      <c r="BE568" s="66"/>
      <c r="BF568" s="66"/>
      <c r="BG568" s="66"/>
      <c r="BH568" s="66"/>
      <c r="BI568" s="66"/>
      <c r="BJ568" s="66"/>
      <c r="BK568" s="66"/>
      <c r="BL568" s="66"/>
      <c r="BM568" s="66"/>
      <c r="BN568" s="66"/>
      <c r="BO568" s="66"/>
      <c r="BP568" s="66"/>
      <c r="BQ568" s="66"/>
      <c r="BR568" s="66"/>
      <c r="BS568" s="66"/>
      <c r="BT568" s="66"/>
      <c r="BU568" s="66"/>
      <c r="BV568" s="66"/>
      <c r="BW568" s="66"/>
    </row>
    <row r="569" spans="1:75" ht="15.75" customHeight="1">
      <c r="A569" s="65"/>
      <c r="B569" s="66"/>
      <c r="C569" s="66"/>
      <c r="D569" s="66"/>
      <c r="E569" s="66"/>
      <c r="F569" s="65"/>
      <c r="G569" s="65"/>
      <c r="H569" s="66"/>
      <c r="I569" s="66"/>
      <c r="J569" s="66"/>
      <c r="K569" s="66"/>
      <c r="L569" s="66"/>
      <c r="M569" s="66"/>
      <c r="N569" s="66"/>
      <c r="O569" s="66"/>
      <c r="P569" s="66"/>
      <c r="Q569" s="23"/>
      <c r="AB569" s="23"/>
      <c r="AC569" s="23"/>
      <c r="AD569" s="23"/>
      <c r="AE569" s="7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71"/>
      <c r="AV569" s="10"/>
      <c r="AW569" s="23"/>
      <c r="BB569" s="66"/>
      <c r="BC569" s="66"/>
      <c r="BD569" s="66"/>
      <c r="BE569" s="66"/>
      <c r="BF569" s="66"/>
      <c r="BG569" s="66"/>
      <c r="BH569" s="66"/>
      <c r="BI569" s="66"/>
      <c r="BJ569" s="66"/>
      <c r="BK569" s="66"/>
      <c r="BL569" s="66"/>
      <c r="BM569" s="66"/>
      <c r="BN569" s="66"/>
      <c r="BO569" s="66"/>
      <c r="BP569" s="66"/>
      <c r="BQ569" s="66"/>
      <c r="BR569" s="66"/>
      <c r="BS569" s="66"/>
      <c r="BT569" s="66"/>
      <c r="BU569" s="66"/>
      <c r="BV569" s="66"/>
      <c r="BW569" s="66"/>
    </row>
    <row r="570" spans="1:75" ht="15.75" customHeight="1">
      <c r="A570" s="65"/>
      <c r="B570" s="66"/>
      <c r="C570" s="66"/>
      <c r="D570" s="66"/>
      <c r="E570" s="66"/>
      <c r="F570" s="65"/>
      <c r="G570" s="65"/>
      <c r="H570" s="66"/>
      <c r="I570" s="66"/>
      <c r="J570" s="66"/>
      <c r="K570" s="66"/>
      <c r="L570" s="66"/>
      <c r="M570" s="66"/>
      <c r="N570" s="66"/>
      <c r="O570" s="66"/>
      <c r="P570" s="66"/>
      <c r="Q570" s="23"/>
      <c r="AB570" s="23"/>
      <c r="AC570" s="23"/>
      <c r="AD570" s="23"/>
      <c r="AE570" s="7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71"/>
      <c r="AV570" s="10"/>
      <c r="AW570" s="23"/>
      <c r="BB570" s="66"/>
      <c r="BC570" s="66"/>
      <c r="BD570" s="66"/>
      <c r="BE570" s="66"/>
      <c r="BF570" s="66"/>
      <c r="BG570" s="66"/>
      <c r="BH570" s="66"/>
      <c r="BI570" s="66"/>
      <c r="BJ570" s="66"/>
      <c r="BK570" s="66"/>
      <c r="BL570" s="66"/>
      <c r="BM570" s="66"/>
      <c r="BN570" s="66"/>
      <c r="BO570" s="66"/>
      <c r="BP570" s="66"/>
      <c r="BQ570" s="66"/>
      <c r="BR570" s="66"/>
      <c r="BS570" s="66"/>
      <c r="BT570" s="66"/>
      <c r="BU570" s="66"/>
      <c r="BV570" s="66"/>
      <c r="BW570" s="66"/>
    </row>
    <row r="571" spans="1:75" ht="15.75" customHeight="1">
      <c r="A571" s="65"/>
      <c r="B571" s="66"/>
      <c r="C571" s="66"/>
      <c r="D571" s="66"/>
      <c r="E571" s="66"/>
      <c r="F571" s="65"/>
      <c r="G571" s="65"/>
      <c r="H571" s="66"/>
      <c r="I571" s="66"/>
      <c r="J571" s="66"/>
      <c r="K571" s="66"/>
      <c r="L571" s="66"/>
      <c r="M571" s="66"/>
      <c r="N571" s="66"/>
      <c r="O571" s="66"/>
      <c r="P571" s="66"/>
      <c r="Q571" s="23"/>
      <c r="AB571" s="23"/>
      <c r="AC571" s="23"/>
      <c r="AD571" s="23"/>
      <c r="AE571" s="7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71"/>
      <c r="AV571" s="10"/>
      <c r="AW571" s="23"/>
      <c r="BB571" s="66"/>
      <c r="BC571" s="66"/>
      <c r="BD571" s="66"/>
      <c r="BE571" s="66"/>
      <c r="BF571" s="66"/>
      <c r="BG571" s="66"/>
      <c r="BH571" s="66"/>
      <c r="BI571" s="66"/>
      <c r="BJ571" s="66"/>
      <c r="BK571" s="66"/>
      <c r="BL571" s="66"/>
      <c r="BM571" s="66"/>
      <c r="BN571" s="66"/>
      <c r="BO571" s="66"/>
      <c r="BP571" s="66"/>
      <c r="BQ571" s="66"/>
      <c r="BR571" s="66"/>
      <c r="BS571" s="66"/>
      <c r="BT571" s="66"/>
      <c r="BU571" s="66"/>
      <c r="BV571" s="66"/>
      <c r="BW571" s="66"/>
    </row>
    <row r="572" spans="1:75" ht="15.75" customHeight="1">
      <c r="A572" s="65"/>
      <c r="B572" s="66"/>
      <c r="C572" s="66"/>
      <c r="D572" s="66"/>
      <c r="E572" s="66"/>
      <c r="F572" s="65"/>
      <c r="G572" s="65"/>
      <c r="H572" s="66"/>
      <c r="I572" s="66"/>
      <c r="J572" s="66"/>
      <c r="K572" s="66"/>
      <c r="L572" s="66"/>
      <c r="M572" s="66"/>
      <c r="N572" s="66"/>
      <c r="O572" s="66"/>
      <c r="P572" s="66"/>
      <c r="Q572" s="23"/>
      <c r="AB572" s="23"/>
      <c r="AC572" s="23"/>
      <c r="AD572" s="23"/>
      <c r="AE572" s="7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71"/>
      <c r="AV572" s="10"/>
      <c r="AW572" s="23"/>
      <c r="BB572" s="66"/>
      <c r="BC572" s="66"/>
      <c r="BD572" s="66"/>
      <c r="BE572" s="66"/>
      <c r="BF572" s="66"/>
      <c r="BG572" s="66"/>
      <c r="BH572" s="66"/>
      <c r="BI572" s="66"/>
      <c r="BJ572" s="66"/>
      <c r="BK572" s="66"/>
      <c r="BL572" s="66"/>
      <c r="BM572" s="66"/>
      <c r="BN572" s="66"/>
      <c r="BO572" s="66"/>
      <c r="BP572" s="66"/>
      <c r="BQ572" s="66"/>
      <c r="BR572" s="66"/>
      <c r="BS572" s="66"/>
      <c r="BT572" s="66"/>
      <c r="BU572" s="66"/>
      <c r="BV572" s="66"/>
      <c r="BW572" s="66"/>
    </row>
    <row r="573" spans="1:75" ht="15.75" customHeight="1">
      <c r="A573" s="65"/>
      <c r="B573" s="66"/>
      <c r="C573" s="66"/>
      <c r="D573" s="66"/>
      <c r="E573" s="66"/>
      <c r="F573" s="65"/>
      <c r="G573" s="65"/>
      <c r="H573" s="66"/>
      <c r="I573" s="66"/>
      <c r="J573" s="66"/>
      <c r="K573" s="66"/>
      <c r="L573" s="66"/>
      <c r="M573" s="66"/>
      <c r="N573" s="66"/>
      <c r="O573" s="66"/>
      <c r="P573" s="66"/>
      <c r="Q573" s="23"/>
      <c r="AB573" s="23"/>
      <c r="AC573" s="23"/>
      <c r="AD573" s="23"/>
      <c r="AE573" s="7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71"/>
      <c r="AV573" s="10"/>
      <c r="AW573" s="23"/>
      <c r="BB573" s="66"/>
      <c r="BC573" s="66"/>
      <c r="BD573" s="66"/>
      <c r="BE573" s="66"/>
      <c r="BF573" s="66"/>
      <c r="BG573" s="66"/>
      <c r="BH573" s="66"/>
      <c r="BI573" s="66"/>
      <c r="BJ573" s="66"/>
      <c r="BK573" s="66"/>
      <c r="BL573" s="66"/>
      <c r="BM573" s="66"/>
      <c r="BN573" s="66"/>
      <c r="BO573" s="66"/>
      <c r="BP573" s="66"/>
      <c r="BQ573" s="66"/>
      <c r="BR573" s="66"/>
      <c r="BS573" s="66"/>
      <c r="BT573" s="66"/>
      <c r="BU573" s="66"/>
      <c r="BV573" s="66"/>
      <c r="BW573" s="66"/>
    </row>
    <row r="574" spans="1:75" ht="15.75" customHeight="1">
      <c r="A574" s="65"/>
      <c r="B574" s="66"/>
      <c r="C574" s="66"/>
      <c r="D574" s="66"/>
      <c r="E574" s="66"/>
      <c r="F574" s="65"/>
      <c r="G574" s="65"/>
      <c r="H574" s="66"/>
      <c r="I574" s="66"/>
      <c r="J574" s="66"/>
      <c r="K574" s="66"/>
      <c r="L574" s="66"/>
      <c r="M574" s="66"/>
      <c r="N574" s="66"/>
      <c r="O574" s="66"/>
      <c r="P574" s="66"/>
      <c r="Q574" s="23"/>
      <c r="AB574" s="23"/>
      <c r="AC574" s="23"/>
      <c r="AD574" s="23"/>
      <c r="AE574" s="7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71"/>
      <c r="AV574" s="10"/>
      <c r="AW574" s="23"/>
      <c r="BB574" s="66"/>
      <c r="BC574" s="66"/>
      <c r="BD574" s="66"/>
      <c r="BE574" s="66"/>
      <c r="BF574" s="66"/>
      <c r="BG574" s="66"/>
      <c r="BH574" s="66"/>
      <c r="BI574" s="66"/>
      <c r="BJ574" s="66"/>
      <c r="BK574" s="66"/>
      <c r="BL574" s="66"/>
      <c r="BM574" s="66"/>
      <c r="BN574" s="66"/>
      <c r="BO574" s="66"/>
      <c r="BP574" s="66"/>
      <c r="BQ574" s="66"/>
      <c r="BR574" s="66"/>
      <c r="BS574" s="66"/>
      <c r="BT574" s="66"/>
      <c r="BU574" s="66"/>
      <c r="BV574" s="66"/>
      <c r="BW574" s="66"/>
    </row>
    <row r="575" spans="1:75" ht="15.75" customHeight="1">
      <c r="A575" s="65"/>
      <c r="B575" s="66"/>
      <c r="C575" s="66"/>
      <c r="D575" s="66"/>
      <c r="E575" s="66"/>
      <c r="F575" s="65"/>
      <c r="G575" s="65"/>
      <c r="H575" s="66"/>
      <c r="I575" s="66"/>
      <c r="J575" s="66"/>
      <c r="K575" s="66"/>
      <c r="L575" s="66"/>
      <c r="M575" s="66"/>
      <c r="N575" s="66"/>
      <c r="O575" s="66"/>
      <c r="P575" s="66"/>
      <c r="Q575" s="23"/>
      <c r="AB575" s="23"/>
      <c r="AC575" s="23"/>
      <c r="AD575" s="23"/>
      <c r="AE575" s="7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71"/>
      <c r="AV575" s="10"/>
      <c r="AW575" s="23"/>
      <c r="BB575" s="66"/>
      <c r="BC575" s="66"/>
      <c r="BD575" s="66"/>
      <c r="BE575" s="66"/>
      <c r="BF575" s="66"/>
      <c r="BG575" s="66"/>
      <c r="BH575" s="66"/>
      <c r="BI575" s="66"/>
      <c r="BJ575" s="66"/>
      <c r="BK575" s="66"/>
      <c r="BL575" s="66"/>
      <c r="BM575" s="66"/>
      <c r="BN575" s="66"/>
      <c r="BO575" s="66"/>
      <c r="BP575" s="66"/>
      <c r="BQ575" s="66"/>
      <c r="BR575" s="66"/>
      <c r="BS575" s="66"/>
      <c r="BT575" s="66"/>
      <c r="BU575" s="66"/>
      <c r="BV575" s="66"/>
      <c r="BW575" s="66"/>
    </row>
    <row r="576" spans="1:75" ht="15.75" customHeight="1">
      <c r="A576" s="65"/>
      <c r="B576" s="66"/>
      <c r="C576" s="66"/>
      <c r="D576" s="66"/>
      <c r="E576" s="66"/>
      <c r="F576" s="65"/>
      <c r="G576" s="65"/>
      <c r="H576" s="66"/>
      <c r="I576" s="66"/>
      <c r="J576" s="66"/>
      <c r="K576" s="66"/>
      <c r="L576" s="66"/>
      <c r="M576" s="66"/>
      <c r="N576" s="66"/>
      <c r="O576" s="66"/>
      <c r="P576" s="66"/>
      <c r="Q576" s="23"/>
      <c r="AB576" s="23"/>
      <c r="AC576" s="23"/>
      <c r="AD576" s="23"/>
      <c r="AE576" s="7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71"/>
      <c r="AV576" s="10"/>
      <c r="AW576" s="23"/>
      <c r="BB576" s="66"/>
      <c r="BC576" s="66"/>
      <c r="BD576" s="66"/>
      <c r="BE576" s="66"/>
      <c r="BF576" s="66"/>
      <c r="BG576" s="66"/>
      <c r="BH576" s="66"/>
      <c r="BI576" s="66"/>
      <c r="BJ576" s="66"/>
      <c r="BK576" s="66"/>
      <c r="BL576" s="66"/>
      <c r="BM576" s="66"/>
      <c r="BN576" s="66"/>
      <c r="BO576" s="66"/>
      <c r="BP576" s="66"/>
      <c r="BQ576" s="66"/>
      <c r="BR576" s="66"/>
      <c r="BS576" s="66"/>
      <c r="BT576" s="66"/>
      <c r="BU576" s="66"/>
      <c r="BV576" s="66"/>
      <c r="BW576" s="66"/>
    </row>
    <row r="577" spans="1:75" ht="15.75" customHeight="1">
      <c r="A577" s="65"/>
      <c r="B577" s="66"/>
      <c r="C577" s="66"/>
      <c r="D577" s="66"/>
      <c r="E577" s="66"/>
      <c r="F577" s="65"/>
      <c r="G577" s="65"/>
      <c r="H577" s="66"/>
      <c r="I577" s="66"/>
      <c r="J577" s="66"/>
      <c r="K577" s="66"/>
      <c r="L577" s="66"/>
      <c r="M577" s="66"/>
      <c r="N577" s="66"/>
      <c r="O577" s="66"/>
      <c r="P577" s="66"/>
      <c r="Q577" s="23"/>
      <c r="AB577" s="23"/>
      <c r="AC577" s="23"/>
      <c r="AD577" s="23"/>
      <c r="AE577" s="7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71"/>
      <c r="AV577" s="10"/>
      <c r="AW577" s="23"/>
      <c r="BB577" s="66"/>
      <c r="BC577" s="66"/>
      <c r="BD577" s="66"/>
      <c r="BE577" s="66"/>
      <c r="BF577" s="66"/>
      <c r="BG577" s="66"/>
      <c r="BH577" s="66"/>
      <c r="BI577" s="66"/>
      <c r="BJ577" s="66"/>
      <c r="BK577" s="66"/>
      <c r="BL577" s="66"/>
      <c r="BM577" s="66"/>
      <c r="BN577" s="66"/>
      <c r="BO577" s="66"/>
      <c r="BP577" s="66"/>
      <c r="BQ577" s="66"/>
      <c r="BR577" s="66"/>
      <c r="BS577" s="66"/>
      <c r="BT577" s="66"/>
      <c r="BU577" s="66"/>
      <c r="BV577" s="66"/>
      <c r="BW577" s="66"/>
    </row>
    <row r="578" spans="1:75" ht="15.75" customHeight="1">
      <c r="A578" s="65"/>
      <c r="B578" s="66"/>
      <c r="C578" s="66"/>
      <c r="D578" s="66"/>
      <c r="E578" s="66"/>
      <c r="F578" s="65"/>
      <c r="G578" s="65"/>
      <c r="H578" s="66"/>
      <c r="I578" s="66"/>
      <c r="J578" s="66"/>
      <c r="K578" s="66"/>
      <c r="L578" s="66"/>
      <c r="M578" s="66"/>
      <c r="N578" s="66"/>
      <c r="O578" s="66"/>
      <c r="P578" s="66"/>
      <c r="Q578" s="23"/>
      <c r="AB578" s="23"/>
      <c r="AC578" s="23"/>
      <c r="AD578" s="23"/>
      <c r="AE578" s="7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71"/>
      <c r="AV578" s="10"/>
      <c r="AW578" s="23"/>
      <c r="BB578" s="66"/>
      <c r="BC578" s="66"/>
      <c r="BD578" s="66"/>
      <c r="BE578" s="66"/>
      <c r="BF578" s="66"/>
      <c r="BG578" s="66"/>
      <c r="BH578" s="66"/>
      <c r="BI578" s="66"/>
      <c r="BJ578" s="66"/>
      <c r="BK578" s="66"/>
      <c r="BL578" s="66"/>
      <c r="BM578" s="66"/>
      <c r="BN578" s="66"/>
      <c r="BO578" s="66"/>
      <c r="BP578" s="66"/>
      <c r="BQ578" s="66"/>
      <c r="BR578" s="66"/>
      <c r="BS578" s="66"/>
      <c r="BT578" s="66"/>
      <c r="BU578" s="66"/>
      <c r="BV578" s="66"/>
      <c r="BW578" s="66"/>
    </row>
    <row r="579" spans="1:75" ht="15.75" customHeight="1">
      <c r="A579" s="65"/>
      <c r="B579" s="66"/>
      <c r="C579" s="66"/>
      <c r="D579" s="66"/>
      <c r="E579" s="66"/>
      <c r="F579" s="65"/>
      <c r="G579" s="65"/>
      <c r="H579" s="66"/>
      <c r="I579" s="66"/>
      <c r="J579" s="66"/>
      <c r="K579" s="66"/>
      <c r="L579" s="66"/>
      <c r="M579" s="66"/>
      <c r="N579" s="66"/>
      <c r="O579" s="66"/>
      <c r="P579" s="66"/>
      <c r="Q579" s="23"/>
      <c r="AB579" s="23"/>
      <c r="AC579" s="23"/>
      <c r="AD579" s="23"/>
      <c r="AE579" s="7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71"/>
      <c r="AV579" s="10"/>
      <c r="AW579" s="23"/>
      <c r="BB579" s="66"/>
      <c r="BC579" s="66"/>
      <c r="BD579" s="66"/>
      <c r="BE579" s="66"/>
      <c r="BF579" s="66"/>
      <c r="BG579" s="66"/>
      <c r="BH579" s="66"/>
      <c r="BI579" s="66"/>
      <c r="BJ579" s="66"/>
      <c r="BK579" s="66"/>
      <c r="BL579" s="66"/>
      <c r="BM579" s="66"/>
      <c r="BN579" s="66"/>
      <c r="BO579" s="66"/>
      <c r="BP579" s="66"/>
      <c r="BQ579" s="66"/>
      <c r="BR579" s="66"/>
      <c r="BS579" s="66"/>
      <c r="BT579" s="66"/>
      <c r="BU579" s="66"/>
      <c r="BV579" s="66"/>
      <c r="BW579" s="66"/>
    </row>
    <row r="580" spans="1:75" ht="15.75" customHeight="1">
      <c r="A580" s="65"/>
      <c r="B580" s="66"/>
      <c r="C580" s="66"/>
      <c r="D580" s="66"/>
      <c r="E580" s="66"/>
      <c r="F580" s="65"/>
      <c r="G580" s="65"/>
      <c r="H580" s="66"/>
      <c r="I580" s="66"/>
      <c r="J580" s="66"/>
      <c r="K580" s="66"/>
      <c r="L580" s="66"/>
      <c r="M580" s="66"/>
      <c r="N580" s="66"/>
      <c r="O580" s="66"/>
      <c r="P580" s="66"/>
      <c r="Q580" s="23"/>
      <c r="AB580" s="23"/>
      <c r="AC580" s="23"/>
      <c r="AD580" s="23"/>
      <c r="AE580" s="7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71"/>
      <c r="AV580" s="10"/>
      <c r="AW580" s="23"/>
      <c r="BB580" s="66"/>
      <c r="BC580" s="66"/>
      <c r="BD580" s="66"/>
      <c r="BE580" s="66"/>
      <c r="BF580" s="66"/>
      <c r="BG580" s="66"/>
      <c r="BH580" s="66"/>
      <c r="BI580" s="66"/>
      <c r="BJ580" s="66"/>
      <c r="BK580" s="66"/>
      <c r="BL580" s="66"/>
      <c r="BM580" s="66"/>
      <c r="BN580" s="66"/>
      <c r="BO580" s="66"/>
      <c r="BP580" s="66"/>
      <c r="BQ580" s="66"/>
      <c r="BR580" s="66"/>
      <c r="BS580" s="66"/>
      <c r="BT580" s="66"/>
      <c r="BU580" s="66"/>
      <c r="BV580" s="66"/>
      <c r="BW580" s="66"/>
    </row>
    <row r="581" spans="1:75" ht="15.75" customHeight="1">
      <c r="A581" s="65"/>
      <c r="B581" s="66"/>
      <c r="C581" s="66"/>
      <c r="D581" s="66"/>
      <c r="E581" s="66"/>
      <c r="F581" s="65"/>
      <c r="G581" s="65"/>
      <c r="H581" s="66"/>
      <c r="I581" s="66"/>
      <c r="J581" s="66"/>
      <c r="K581" s="66"/>
      <c r="L581" s="66"/>
      <c r="M581" s="66"/>
      <c r="N581" s="66"/>
      <c r="O581" s="66"/>
      <c r="P581" s="66"/>
      <c r="Q581" s="23"/>
      <c r="AB581" s="23"/>
      <c r="AC581" s="23"/>
      <c r="AD581" s="23"/>
      <c r="AE581" s="7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71"/>
      <c r="AV581" s="10"/>
      <c r="AW581" s="23"/>
      <c r="BB581" s="66"/>
      <c r="BC581" s="66"/>
      <c r="BD581" s="66"/>
      <c r="BE581" s="66"/>
      <c r="BF581" s="66"/>
      <c r="BG581" s="66"/>
      <c r="BH581" s="66"/>
      <c r="BI581" s="66"/>
      <c r="BJ581" s="66"/>
      <c r="BK581" s="66"/>
      <c r="BL581" s="66"/>
      <c r="BM581" s="66"/>
      <c r="BN581" s="66"/>
      <c r="BO581" s="66"/>
      <c r="BP581" s="66"/>
      <c r="BQ581" s="66"/>
      <c r="BR581" s="66"/>
      <c r="BS581" s="66"/>
      <c r="BT581" s="66"/>
      <c r="BU581" s="66"/>
      <c r="BV581" s="66"/>
      <c r="BW581" s="66"/>
    </row>
    <row r="582" spans="1:75" ht="15.75" customHeight="1">
      <c r="A582" s="65"/>
      <c r="B582" s="66"/>
      <c r="C582" s="66"/>
      <c r="D582" s="66"/>
      <c r="E582" s="66"/>
      <c r="F582" s="65"/>
      <c r="G582" s="65"/>
      <c r="H582" s="66"/>
      <c r="I582" s="66"/>
      <c r="J582" s="66"/>
      <c r="K582" s="66"/>
      <c r="L582" s="66"/>
      <c r="M582" s="66"/>
      <c r="N582" s="66"/>
      <c r="O582" s="66"/>
      <c r="P582" s="66"/>
      <c r="Q582" s="23"/>
      <c r="AB582" s="23"/>
      <c r="AC582" s="23"/>
      <c r="AD582" s="23"/>
      <c r="AE582" s="7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71"/>
      <c r="AV582" s="10"/>
      <c r="AW582" s="23"/>
      <c r="BB582" s="66"/>
      <c r="BC582" s="66"/>
      <c r="BD582" s="66"/>
      <c r="BE582" s="66"/>
      <c r="BF582" s="66"/>
      <c r="BG582" s="66"/>
      <c r="BH582" s="66"/>
      <c r="BI582" s="66"/>
      <c r="BJ582" s="66"/>
      <c r="BK582" s="66"/>
      <c r="BL582" s="66"/>
      <c r="BM582" s="66"/>
      <c r="BN582" s="66"/>
      <c r="BO582" s="66"/>
      <c r="BP582" s="66"/>
      <c r="BQ582" s="66"/>
      <c r="BR582" s="66"/>
      <c r="BS582" s="66"/>
      <c r="BT582" s="66"/>
      <c r="BU582" s="66"/>
      <c r="BV582" s="66"/>
      <c r="BW582" s="66"/>
    </row>
    <row r="583" spans="1:75" ht="15.75" customHeight="1">
      <c r="A583" s="65"/>
      <c r="B583" s="66"/>
      <c r="C583" s="66"/>
      <c r="D583" s="66"/>
      <c r="E583" s="66"/>
      <c r="F583" s="65"/>
      <c r="G583" s="65"/>
      <c r="H583" s="66"/>
      <c r="I583" s="66"/>
      <c r="J583" s="66"/>
      <c r="K583" s="66"/>
      <c r="L583" s="66"/>
      <c r="M583" s="66"/>
      <c r="N583" s="66"/>
      <c r="O583" s="66"/>
      <c r="P583" s="66"/>
      <c r="Q583" s="23"/>
      <c r="AB583" s="23"/>
      <c r="AC583" s="23"/>
      <c r="AD583" s="23"/>
      <c r="AE583" s="7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71"/>
      <c r="AV583" s="10"/>
      <c r="AW583" s="23"/>
      <c r="BB583" s="66"/>
      <c r="BC583" s="66"/>
      <c r="BD583" s="66"/>
      <c r="BE583" s="66"/>
      <c r="BF583" s="66"/>
      <c r="BG583" s="66"/>
      <c r="BH583" s="66"/>
      <c r="BI583" s="66"/>
      <c r="BJ583" s="66"/>
      <c r="BK583" s="66"/>
      <c r="BL583" s="66"/>
      <c r="BM583" s="66"/>
      <c r="BN583" s="66"/>
      <c r="BO583" s="66"/>
      <c r="BP583" s="66"/>
      <c r="BQ583" s="66"/>
      <c r="BR583" s="66"/>
      <c r="BS583" s="66"/>
      <c r="BT583" s="66"/>
      <c r="BU583" s="66"/>
      <c r="BV583" s="66"/>
      <c r="BW583" s="66"/>
    </row>
    <row r="584" spans="1:75" ht="15.75" customHeight="1">
      <c r="A584" s="65"/>
      <c r="B584" s="66"/>
      <c r="C584" s="66"/>
      <c r="D584" s="66"/>
      <c r="E584" s="66"/>
      <c r="F584" s="65"/>
      <c r="G584" s="65"/>
      <c r="H584" s="66"/>
      <c r="I584" s="66"/>
      <c r="J584" s="66"/>
      <c r="K584" s="66"/>
      <c r="L584" s="66"/>
      <c r="M584" s="66"/>
      <c r="N584" s="66"/>
      <c r="O584" s="66"/>
      <c r="P584" s="66"/>
      <c r="Q584" s="23"/>
      <c r="AB584" s="23"/>
      <c r="AC584" s="23"/>
      <c r="AD584" s="23"/>
      <c r="AE584" s="7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71"/>
      <c r="AV584" s="10"/>
      <c r="AW584" s="23"/>
      <c r="BB584" s="66"/>
      <c r="BC584" s="66"/>
      <c r="BD584" s="66"/>
      <c r="BE584" s="66"/>
      <c r="BF584" s="66"/>
      <c r="BG584" s="66"/>
      <c r="BH584" s="66"/>
      <c r="BI584" s="66"/>
      <c r="BJ584" s="66"/>
      <c r="BK584" s="66"/>
      <c r="BL584" s="66"/>
      <c r="BM584" s="66"/>
      <c r="BN584" s="66"/>
      <c r="BO584" s="66"/>
      <c r="BP584" s="66"/>
      <c r="BQ584" s="66"/>
      <c r="BR584" s="66"/>
      <c r="BS584" s="66"/>
      <c r="BT584" s="66"/>
      <c r="BU584" s="66"/>
      <c r="BV584" s="66"/>
      <c r="BW584" s="66"/>
    </row>
    <row r="585" spans="1:75" ht="15.75" customHeight="1">
      <c r="A585" s="65"/>
      <c r="B585" s="66"/>
      <c r="C585" s="66"/>
      <c r="D585" s="66"/>
      <c r="E585" s="66"/>
      <c r="F585" s="65"/>
      <c r="G585" s="65"/>
      <c r="H585" s="66"/>
      <c r="I585" s="66"/>
      <c r="J585" s="66"/>
      <c r="K585" s="66"/>
      <c r="L585" s="66"/>
      <c r="M585" s="66"/>
      <c r="N585" s="66"/>
      <c r="O585" s="66"/>
      <c r="P585" s="66"/>
      <c r="Q585" s="23"/>
      <c r="AB585" s="23"/>
      <c r="AC585" s="23"/>
      <c r="AD585" s="23"/>
      <c r="AE585" s="7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71"/>
      <c r="AV585" s="10"/>
      <c r="AW585" s="23"/>
      <c r="BB585" s="66"/>
      <c r="BC585" s="66"/>
      <c r="BD585" s="66"/>
      <c r="BE585" s="66"/>
      <c r="BF585" s="66"/>
      <c r="BG585" s="66"/>
      <c r="BH585" s="66"/>
      <c r="BI585" s="66"/>
      <c r="BJ585" s="66"/>
      <c r="BK585" s="66"/>
      <c r="BL585" s="66"/>
      <c r="BM585" s="66"/>
      <c r="BN585" s="66"/>
      <c r="BO585" s="66"/>
      <c r="BP585" s="66"/>
      <c r="BQ585" s="66"/>
      <c r="BR585" s="66"/>
      <c r="BS585" s="66"/>
      <c r="BT585" s="66"/>
      <c r="BU585" s="66"/>
      <c r="BV585" s="66"/>
      <c r="BW585" s="66"/>
    </row>
    <row r="586" spans="1:75" ht="15.75" customHeight="1">
      <c r="A586" s="65"/>
      <c r="B586" s="66"/>
      <c r="C586" s="66"/>
      <c r="D586" s="66"/>
      <c r="E586" s="66"/>
      <c r="F586" s="65"/>
      <c r="G586" s="65"/>
      <c r="H586" s="66"/>
      <c r="I586" s="66"/>
      <c r="J586" s="66"/>
      <c r="K586" s="66"/>
      <c r="L586" s="66"/>
      <c r="M586" s="66"/>
      <c r="N586" s="66"/>
      <c r="O586" s="66"/>
      <c r="P586" s="66"/>
      <c r="Q586" s="23"/>
      <c r="AB586" s="23"/>
      <c r="AC586" s="23"/>
      <c r="AD586" s="23"/>
      <c r="AE586" s="7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71"/>
      <c r="AV586" s="10"/>
      <c r="AW586" s="23"/>
      <c r="BB586" s="66"/>
      <c r="BC586" s="66"/>
      <c r="BD586" s="66"/>
      <c r="BE586" s="66"/>
      <c r="BF586" s="66"/>
      <c r="BG586" s="66"/>
      <c r="BH586" s="66"/>
      <c r="BI586" s="66"/>
      <c r="BJ586" s="66"/>
      <c r="BK586" s="66"/>
      <c r="BL586" s="66"/>
      <c r="BM586" s="66"/>
      <c r="BN586" s="66"/>
      <c r="BO586" s="66"/>
      <c r="BP586" s="66"/>
      <c r="BQ586" s="66"/>
      <c r="BR586" s="66"/>
      <c r="BS586" s="66"/>
      <c r="BT586" s="66"/>
      <c r="BU586" s="66"/>
      <c r="BV586" s="66"/>
      <c r="BW586" s="66"/>
    </row>
    <row r="587" spans="1:75" ht="15.75" customHeight="1">
      <c r="A587" s="65"/>
      <c r="B587" s="66"/>
      <c r="C587" s="66"/>
      <c r="D587" s="66"/>
      <c r="E587" s="66"/>
      <c r="F587" s="65"/>
      <c r="G587" s="65"/>
      <c r="H587" s="66"/>
      <c r="I587" s="66"/>
      <c r="J587" s="66"/>
      <c r="K587" s="66"/>
      <c r="L587" s="66"/>
      <c r="M587" s="66"/>
      <c r="N587" s="66"/>
      <c r="O587" s="66"/>
      <c r="P587" s="66"/>
      <c r="Q587" s="23"/>
      <c r="AB587" s="23"/>
      <c r="AC587" s="23"/>
      <c r="AD587" s="23"/>
      <c r="AE587" s="7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71"/>
      <c r="AV587" s="10"/>
      <c r="AW587" s="23"/>
      <c r="BB587" s="66"/>
      <c r="BC587" s="66"/>
      <c r="BD587" s="66"/>
      <c r="BE587" s="66"/>
      <c r="BF587" s="66"/>
      <c r="BG587" s="66"/>
      <c r="BH587" s="66"/>
      <c r="BI587" s="66"/>
      <c r="BJ587" s="66"/>
      <c r="BK587" s="66"/>
      <c r="BL587" s="66"/>
      <c r="BM587" s="66"/>
      <c r="BN587" s="66"/>
      <c r="BO587" s="66"/>
      <c r="BP587" s="66"/>
      <c r="BQ587" s="66"/>
      <c r="BR587" s="66"/>
      <c r="BS587" s="66"/>
      <c r="BT587" s="66"/>
      <c r="BU587" s="66"/>
      <c r="BV587" s="66"/>
      <c r="BW587" s="66"/>
    </row>
    <row r="588" spans="1:75" ht="15.75" customHeight="1">
      <c r="A588" s="65"/>
      <c r="B588" s="66"/>
      <c r="C588" s="66"/>
      <c r="D588" s="66"/>
      <c r="E588" s="66"/>
      <c r="F588" s="65"/>
      <c r="G588" s="65"/>
      <c r="H588" s="66"/>
      <c r="I588" s="66"/>
      <c r="J588" s="66"/>
      <c r="K588" s="66"/>
      <c r="L588" s="66"/>
      <c r="M588" s="66"/>
      <c r="N588" s="66"/>
      <c r="O588" s="66"/>
      <c r="P588" s="66"/>
      <c r="Q588" s="23"/>
      <c r="AB588" s="23"/>
      <c r="AC588" s="23"/>
      <c r="AD588" s="23"/>
      <c r="AE588" s="7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71"/>
      <c r="AV588" s="10"/>
      <c r="AW588" s="23"/>
      <c r="BB588" s="66"/>
      <c r="BC588" s="66"/>
      <c r="BD588" s="66"/>
      <c r="BE588" s="66"/>
      <c r="BF588" s="66"/>
      <c r="BG588" s="66"/>
      <c r="BH588" s="66"/>
      <c r="BI588" s="66"/>
      <c r="BJ588" s="66"/>
      <c r="BK588" s="66"/>
      <c r="BL588" s="66"/>
      <c r="BM588" s="66"/>
      <c r="BN588" s="66"/>
      <c r="BO588" s="66"/>
      <c r="BP588" s="66"/>
      <c r="BQ588" s="66"/>
      <c r="BR588" s="66"/>
      <c r="BS588" s="66"/>
      <c r="BT588" s="66"/>
      <c r="BU588" s="66"/>
      <c r="BV588" s="66"/>
      <c r="BW588" s="66"/>
    </row>
    <row r="589" spans="1:75" ht="15.75" customHeight="1">
      <c r="A589" s="65"/>
      <c r="B589" s="66"/>
      <c r="C589" s="66"/>
      <c r="D589" s="66"/>
      <c r="E589" s="66"/>
      <c r="F589" s="65"/>
      <c r="G589" s="65"/>
      <c r="H589" s="66"/>
      <c r="I589" s="66"/>
      <c r="J589" s="66"/>
      <c r="K589" s="66"/>
      <c r="L589" s="66"/>
      <c r="M589" s="66"/>
      <c r="N589" s="66"/>
      <c r="O589" s="66"/>
      <c r="P589" s="66"/>
      <c r="Q589" s="23"/>
      <c r="AB589" s="23"/>
      <c r="AC589" s="23"/>
      <c r="AD589" s="23"/>
      <c r="AE589" s="7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71"/>
      <c r="AV589" s="10"/>
      <c r="AW589" s="23"/>
      <c r="BB589" s="66"/>
      <c r="BC589" s="66"/>
      <c r="BD589" s="66"/>
      <c r="BE589" s="66"/>
      <c r="BF589" s="66"/>
      <c r="BG589" s="66"/>
      <c r="BH589" s="66"/>
      <c r="BI589" s="66"/>
      <c r="BJ589" s="66"/>
      <c r="BK589" s="66"/>
      <c r="BL589" s="66"/>
      <c r="BM589" s="66"/>
      <c r="BN589" s="66"/>
      <c r="BO589" s="66"/>
      <c r="BP589" s="66"/>
      <c r="BQ589" s="66"/>
      <c r="BR589" s="66"/>
      <c r="BS589" s="66"/>
      <c r="BT589" s="66"/>
      <c r="BU589" s="66"/>
      <c r="BV589" s="66"/>
      <c r="BW589" s="66"/>
    </row>
    <row r="590" spans="1:75" ht="15.75" customHeight="1">
      <c r="A590" s="65"/>
      <c r="B590" s="66"/>
      <c r="C590" s="66"/>
      <c r="D590" s="66"/>
      <c r="E590" s="66"/>
      <c r="F590" s="65"/>
      <c r="G590" s="65"/>
      <c r="H590" s="66"/>
      <c r="I590" s="66"/>
      <c r="J590" s="66"/>
      <c r="K590" s="66"/>
      <c r="L590" s="66"/>
      <c r="M590" s="66"/>
      <c r="N590" s="66"/>
      <c r="O590" s="66"/>
      <c r="P590" s="66"/>
      <c r="Q590" s="23"/>
      <c r="AB590" s="23"/>
      <c r="AC590" s="23"/>
      <c r="AD590" s="23"/>
      <c r="AE590" s="7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71"/>
      <c r="AV590" s="10"/>
      <c r="AW590" s="23"/>
      <c r="BB590" s="66"/>
      <c r="BC590" s="66"/>
      <c r="BD590" s="66"/>
      <c r="BE590" s="66"/>
      <c r="BF590" s="66"/>
      <c r="BG590" s="66"/>
      <c r="BH590" s="66"/>
      <c r="BI590" s="66"/>
      <c r="BJ590" s="66"/>
      <c r="BK590" s="66"/>
      <c r="BL590" s="66"/>
      <c r="BM590" s="66"/>
      <c r="BN590" s="66"/>
      <c r="BO590" s="66"/>
      <c r="BP590" s="66"/>
      <c r="BQ590" s="66"/>
      <c r="BR590" s="66"/>
      <c r="BS590" s="66"/>
      <c r="BT590" s="66"/>
      <c r="BU590" s="66"/>
      <c r="BV590" s="66"/>
      <c r="BW590" s="66"/>
    </row>
    <row r="591" spans="1:75" ht="15.75" customHeight="1">
      <c r="A591" s="65"/>
      <c r="B591" s="66"/>
      <c r="C591" s="66"/>
      <c r="D591" s="66"/>
      <c r="E591" s="66"/>
      <c r="F591" s="65"/>
      <c r="G591" s="65"/>
      <c r="H591" s="66"/>
      <c r="I591" s="66"/>
      <c r="J591" s="66"/>
      <c r="K591" s="66"/>
      <c r="L591" s="66"/>
      <c r="M591" s="66"/>
      <c r="N591" s="66"/>
      <c r="O591" s="66"/>
      <c r="P591" s="66"/>
      <c r="Q591" s="23"/>
      <c r="AB591" s="23"/>
      <c r="AC591" s="23"/>
      <c r="AD591" s="23"/>
      <c r="AE591" s="7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71"/>
      <c r="AV591" s="10"/>
      <c r="AW591" s="23"/>
      <c r="BB591" s="66"/>
      <c r="BC591" s="66"/>
      <c r="BD591" s="66"/>
      <c r="BE591" s="66"/>
      <c r="BF591" s="66"/>
      <c r="BG591" s="66"/>
      <c r="BH591" s="66"/>
      <c r="BI591" s="66"/>
      <c r="BJ591" s="66"/>
      <c r="BK591" s="66"/>
      <c r="BL591" s="66"/>
      <c r="BM591" s="66"/>
      <c r="BN591" s="66"/>
      <c r="BO591" s="66"/>
      <c r="BP591" s="66"/>
      <c r="BQ591" s="66"/>
      <c r="BR591" s="66"/>
      <c r="BS591" s="66"/>
      <c r="BT591" s="66"/>
      <c r="BU591" s="66"/>
      <c r="BV591" s="66"/>
      <c r="BW591" s="66"/>
    </row>
    <row r="592" spans="1:75" ht="15.75" customHeight="1">
      <c r="A592" s="65"/>
      <c r="B592" s="66"/>
      <c r="C592" s="66"/>
      <c r="D592" s="66"/>
      <c r="E592" s="66"/>
      <c r="F592" s="65"/>
      <c r="G592" s="65"/>
      <c r="H592" s="66"/>
      <c r="I592" s="66"/>
      <c r="J592" s="66"/>
      <c r="K592" s="66"/>
      <c r="L592" s="66"/>
      <c r="M592" s="66"/>
      <c r="N592" s="66"/>
      <c r="O592" s="66"/>
      <c r="P592" s="66"/>
      <c r="Q592" s="23"/>
      <c r="AB592" s="23"/>
      <c r="AC592" s="23"/>
      <c r="AD592" s="23"/>
      <c r="AE592" s="7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71"/>
      <c r="AV592" s="10"/>
      <c r="AW592" s="23"/>
      <c r="BB592" s="66"/>
      <c r="BC592" s="66"/>
      <c r="BD592" s="66"/>
      <c r="BE592" s="66"/>
      <c r="BF592" s="66"/>
      <c r="BG592" s="66"/>
      <c r="BH592" s="66"/>
      <c r="BI592" s="66"/>
      <c r="BJ592" s="66"/>
      <c r="BK592" s="66"/>
      <c r="BL592" s="66"/>
      <c r="BM592" s="66"/>
      <c r="BN592" s="66"/>
      <c r="BO592" s="66"/>
      <c r="BP592" s="66"/>
      <c r="BQ592" s="66"/>
      <c r="BR592" s="66"/>
      <c r="BS592" s="66"/>
      <c r="BT592" s="66"/>
      <c r="BU592" s="66"/>
      <c r="BV592" s="66"/>
      <c r="BW592" s="66"/>
    </row>
    <row r="593" spans="1:75" ht="15.75" customHeight="1">
      <c r="A593" s="65"/>
      <c r="B593" s="66"/>
      <c r="C593" s="66"/>
      <c r="D593" s="66"/>
      <c r="E593" s="66"/>
      <c r="F593" s="65"/>
      <c r="G593" s="65"/>
      <c r="H593" s="66"/>
      <c r="I593" s="66"/>
      <c r="J593" s="66"/>
      <c r="K593" s="66"/>
      <c r="L593" s="66"/>
      <c r="M593" s="66"/>
      <c r="N593" s="66"/>
      <c r="O593" s="66"/>
      <c r="P593" s="66"/>
      <c r="Q593" s="23"/>
      <c r="AB593" s="23"/>
      <c r="AC593" s="23"/>
      <c r="AD593" s="23"/>
      <c r="AE593" s="7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71"/>
      <c r="AV593" s="10"/>
      <c r="AW593" s="23"/>
      <c r="BB593" s="66"/>
      <c r="BC593" s="66"/>
      <c r="BD593" s="66"/>
      <c r="BE593" s="66"/>
      <c r="BF593" s="66"/>
      <c r="BG593" s="66"/>
      <c r="BH593" s="66"/>
      <c r="BI593" s="66"/>
      <c r="BJ593" s="66"/>
      <c r="BK593" s="66"/>
      <c r="BL593" s="66"/>
      <c r="BM593" s="66"/>
      <c r="BN593" s="66"/>
      <c r="BO593" s="66"/>
      <c r="BP593" s="66"/>
      <c r="BQ593" s="66"/>
      <c r="BR593" s="66"/>
      <c r="BS593" s="66"/>
      <c r="BT593" s="66"/>
      <c r="BU593" s="66"/>
      <c r="BV593" s="66"/>
      <c r="BW593" s="66"/>
    </row>
    <row r="594" spans="1:75" ht="15.75" customHeight="1">
      <c r="A594" s="65"/>
      <c r="B594" s="66"/>
      <c r="C594" s="66"/>
      <c r="D594" s="66"/>
      <c r="E594" s="66"/>
      <c r="F594" s="65"/>
      <c r="G594" s="65"/>
      <c r="H594" s="66"/>
      <c r="I594" s="66"/>
      <c r="J594" s="66"/>
      <c r="K594" s="66"/>
      <c r="L594" s="66"/>
      <c r="M594" s="66"/>
      <c r="N594" s="66"/>
      <c r="O594" s="66"/>
      <c r="P594" s="66"/>
      <c r="Q594" s="23"/>
      <c r="AB594" s="23"/>
      <c r="AC594" s="23"/>
      <c r="AD594" s="23"/>
      <c r="AE594" s="7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71"/>
      <c r="AV594" s="10"/>
      <c r="AW594" s="23"/>
      <c r="BB594" s="66"/>
      <c r="BC594" s="66"/>
      <c r="BD594" s="66"/>
      <c r="BE594" s="66"/>
      <c r="BF594" s="66"/>
      <c r="BG594" s="66"/>
      <c r="BH594" s="66"/>
      <c r="BI594" s="66"/>
      <c r="BJ594" s="66"/>
      <c r="BK594" s="66"/>
      <c r="BL594" s="66"/>
      <c r="BM594" s="66"/>
      <c r="BN594" s="66"/>
      <c r="BO594" s="66"/>
      <c r="BP594" s="66"/>
      <c r="BQ594" s="66"/>
      <c r="BR594" s="66"/>
      <c r="BS594" s="66"/>
      <c r="BT594" s="66"/>
      <c r="BU594" s="66"/>
      <c r="BV594" s="66"/>
      <c r="BW594" s="66"/>
    </row>
    <row r="595" spans="1:75" ht="15.75" customHeight="1">
      <c r="A595" s="65"/>
      <c r="B595" s="66"/>
      <c r="C595" s="66"/>
      <c r="D595" s="66"/>
      <c r="E595" s="66"/>
      <c r="F595" s="65"/>
      <c r="G595" s="65"/>
      <c r="H595" s="66"/>
      <c r="I595" s="66"/>
      <c r="J595" s="66"/>
      <c r="K595" s="66"/>
      <c r="L595" s="66"/>
      <c r="M595" s="66"/>
      <c r="N595" s="66"/>
      <c r="O595" s="66"/>
      <c r="P595" s="66"/>
      <c r="Q595" s="23"/>
      <c r="AB595" s="23"/>
      <c r="AC595" s="23"/>
      <c r="AD595" s="23"/>
      <c r="AE595" s="7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71"/>
      <c r="AV595" s="10"/>
      <c r="AW595" s="23"/>
      <c r="BB595" s="66"/>
      <c r="BC595" s="66"/>
      <c r="BD595" s="66"/>
      <c r="BE595" s="66"/>
      <c r="BF595" s="66"/>
      <c r="BG595" s="66"/>
      <c r="BH595" s="66"/>
      <c r="BI595" s="66"/>
      <c r="BJ595" s="66"/>
      <c r="BK595" s="66"/>
      <c r="BL595" s="66"/>
      <c r="BM595" s="66"/>
      <c r="BN595" s="66"/>
      <c r="BO595" s="66"/>
      <c r="BP595" s="66"/>
      <c r="BQ595" s="66"/>
      <c r="BR595" s="66"/>
      <c r="BS595" s="66"/>
      <c r="BT595" s="66"/>
      <c r="BU595" s="66"/>
      <c r="BV595" s="66"/>
      <c r="BW595" s="66"/>
    </row>
    <row r="596" spans="1:75" ht="15.75" customHeight="1">
      <c r="A596" s="65"/>
      <c r="B596" s="66"/>
      <c r="C596" s="66"/>
      <c r="D596" s="66"/>
      <c r="E596" s="66"/>
      <c r="F596" s="65"/>
      <c r="G596" s="65"/>
      <c r="H596" s="66"/>
      <c r="I596" s="66"/>
      <c r="J596" s="66"/>
      <c r="K596" s="66"/>
      <c r="L596" s="66"/>
      <c r="M596" s="66"/>
      <c r="N596" s="66"/>
      <c r="O596" s="66"/>
      <c r="P596" s="66"/>
      <c r="Q596" s="23"/>
      <c r="AB596" s="23"/>
      <c r="AC596" s="23"/>
      <c r="AD596" s="23"/>
      <c r="AE596" s="7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71"/>
      <c r="AV596" s="10"/>
      <c r="AW596" s="23"/>
      <c r="BB596" s="66"/>
      <c r="BC596" s="66"/>
      <c r="BD596" s="66"/>
      <c r="BE596" s="66"/>
      <c r="BF596" s="66"/>
      <c r="BG596" s="66"/>
      <c r="BH596" s="66"/>
      <c r="BI596" s="66"/>
      <c r="BJ596" s="66"/>
      <c r="BK596" s="66"/>
      <c r="BL596" s="66"/>
      <c r="BM596" s="66"/>
      <c r="BN596" s="66"/>
      <c r="BO596" s="66"/>
      <c r="BP596" s="66"/>
      <c r="BQ596" s="66"/>
      <c r="BR596" s="66"/>
      <c r="BS596" s="66"/>
      <c r="BT596" s="66"/>
      <c r="BU596" s="66"/>
      <c r="BV596" s="66"/>
      <c r="BW596" s="66"/>
    </row>
    <row r="597" spans="1:75" ht="15.75" customHeight="1">
      <c r="A597" s="65"/>
      <c r="B597" s="66"/>
      <c r="C597" s="66"/>
      <c r="D597" s="66"/>
      <c r="E597" s="66"/>
      <c r="F597" s="65"/>
      <c r="G597" s="65"/>
      <c r="H597" s="66"/>
      <c r="I597" s="66"/>
      <c r="J597" s="66"/>
      <c r="K597" s="66"/>
      <c r="L597" s="66"/>
      <c r="M597" s="66"/>
      <c r="N597" s="66"/>
      <c r="O597" s="66"/>
      <c r="P597" s="66"/>
      <c r="Q597" s="23"/>
      <c r="AB597" s="23"/>
      <c r="AC597" s="23"/>
      <c r="AD597" s="23"/>
      <c r="AE597" s="7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71"/>
      <c r="AV597" s="10"/>
      <c r="AW597" s="23"/>
      <c r="BB597" s="66"/>
      <c r="BC597" s="66"/>
      <c r="BD597" s="66"/>
      <c r="BE597" s="66"/>
      <c r="BF597" s="66"/>
      <c r="BG597" s="66"/>
      <c r="BH597" s="66"/>
      <c r="BI597" s="66"/>
      <c r="BJ597" s="66"/>
      <c r="BK597" s="66"/>
      <c r="BL597" s="66"/>
      <c r="BM597" s="66"/>
      <c r="BN597" s="66"/>
      <c r="BO597" s="66"/>
      <c r="BP597" s="66"/>
      <c r="BQ597" s="66"/>
      <c r="BR597" s="66"/>
      <c r="BS597" s="66"/>
      <c r="BT597" s="66"/>
      <c r="BU597" s="66"/>
      <c r="BV597" s="66"/>
      <c r="BW597" s="66"/>
    </row>
    <row r="598" spans="1:75" ht="15.75" customHeight="1">
      <c r="A598" s="65"/>
      <c r="B598" s="66"/>
      <c r="C598" s="66"/>
      <c r="D598" s="66"/>
      <c r="E598" s="66"/>
      <c r="F598" s="65"/>
      <c r="G598" s="65"/>
      <c r="H598" s="66"/>
      <c r="I598" s="66"/>
      <c r="J598" s="66"/>
      <c r="K598" s="66"/>
      <c r="L598" s="66"/>
      <c r="M598" s="66"/>
      <c r="N598" s="66"/>
      <c r="O598" s="66"/>
      <c r="P598" s="66"/>
      <c r="Q598" s="23"/>
      <c r="AB598" s="23"/>
      <c r="AC598" s="23"/>
      <c r="AD598" s="23"/>
      <c r="AE598" s="7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71"/>
      <c r="AV598" s="10"/>
      <c r="AW598" s="23"/>
      <c r="BB598" s="66"/>
      <c r="BC598" s="66"/>
      <c r="BD598" s="66"/>
      <c r="BE598" s="66"/>
      <c r="BF598" s="66"/>
      <c r="BG598" s="66"/>
      <c r="BH598" s="66"/>
      <c r="BI598" s="66"/>
      <c r="BJ598" s="66"/>
      <c r="BK598" s="66"/>
      <c r="BL598" s="66"/>
      <c r="BM598" s="66"/>
      <c r="BN598" s="66"/>
      <c r="BO598" s="66"/>
      <c r="BP598" s="66"/>
      <c r="BQ598" s="66"/>
      <c r="BR598" s="66"/>
      <c r="BS598" s="66"/>
      <c r="BT598" s="66"/>
      <c r="BU598" s="66"/>
      <c r="BV598" s="66"/>
      <c r="BW598" s="66"/>
    </row>
    <row r="599" spans="1:75" ht="15.75" customHeight="1">
      <c r="A599" s="65"/>
      <c r="B599" s="66"/>
      <c r="C599" s="66"/>
      <c r="D599" s="66"/>
      <c r="E599" s="66"/>
      <c r="F599" s="65"/>
      <c r="G599" s="65"/>
      <c r="H599" s="66"/>
      <c r="I599" s="66"/>
      <c r="J599" s="66"/>
      <c r="K599" s="66"/>
      <c r="L599" s="66"/>
      <c r="M599" s="66"/>
      <c r="N599" s="66"/>
      <c r="O599" s="66"/>
      <c r="P599" s="66"/>
      <c r="Q599" s="23"/>
      <c r="AB599" s="23"/>
      <c r="AC599" s="23"/>
      <c r="AD599" s="23"/>
      <c r="AE599" s="7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71"/>
      <c r="AV599" s="10"/>
      <c r="AW599" s="23"/>
      <c r="BB599" s="66"/>
      <c r="BC599" s="66"/>
      <c r="BD599" s="66"/>
      <c r="BE599" s="66"/>
      <c r="BF599" s="66"/>
      <c r="BG599" s="66"/>
      <c r="BH599" s="66"/>
      <c r="BI599" s="66"/>
      <c r="BJ599" s="66"/>
      <c r="BK599" s="66"/>
      <c r="BL599" s="66"/>
      <c r="BM599" s="66"/>
      <c r="BN599" s="66"/>
      <c r="BO599" s="66"/>
      <c r="BP599" s="66"/>
      <c r="BQ599" s="66"/>
      <c r="BR599" s="66"/>
      <c r="BS599" s="66"/>
      <c r="BT599" s="66"/>
      <c r="BU599" s="66"/>
      <c r="BV599" s="66"/>
      <c r="BW599" s="66"/>
    </row>
    <row r="600" spans="1:75" ht="15.75" customHeight="1">
      <c r="A600" s="65"/>
      <c r="B600" s="66"/>
      <c r="C600" s="66"/>
      <c r="D600" s="66"/>
      <c r="E600" s="66"/>
      <c r="F600" s="65"/>
      <c r="G600" s="65"/>
      <c r="H600" s="66"/>
      <c r="I600" s="66"/>
      <c r="J600" s="66"/>
      <c r="K600" s="66"/>
      <c r="L600" s="66"/>
      <c r="M600" s="66"/>
      <c r="N600" s="66"/>
      <c r="O600" s="66"/>
      <c r="P600" s="66"/>
      <c r="Q600" s="23"/>
      <c r="AB600" s="23"/>
      <c r="AC600" s="23"/>
      <c r="AD600" s="23"/>
      <c r="AE600" s="7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71"/>
      <c r="AV600" s="10"/>
      <c r="AW600" s="23"/>
      <c r="BB600" s="66"/>
      <c r="BC600" s="66"/>
      <c r="BD600" s="66"/>
      <c r="BE600" s="66"/>
      <c r="BF600" s="66"/>
      <c r="BG600" s="66"/>
      <c r="BH600" s="66"/>
      <c r="BI600" s="66"/>
      <c r="BJ600" s="66"/>
      <c r="BK600" s="66"/>
      <c r="BL600" s="66"/>
      <c r="BM600" s="66"/>
      <c r="BN600" s="66"/>
      <c r="BO600" s="66"/>
      <c r="BP600" s="66"/>
      <c r="BQ600" s="66"/>
      <c r="BR600" s="66"/>
      <c r="BS600" s="66"/>
      <c r="BT600" s="66"/>
      <c r="BU600" s="66"/>
      <c r="BV600" s="66"/>
      <c r="BW600" s="66"/>
    </row>
    <row r="601" spans="1:75" ht="15.75" customHeight="1">
      <c r="A601" s="65"/>
      <c r="B601" s="66"/>
      <c r="C601" s="66"/>
      <c r="D601" s="66"/>
      <c r="E601" s="66"/>
      <c r="F601" s="65"/>
      <c r="G601" s="65"/>
      <c r="H601" s="66"/>
      <c r="I601" s="66"/>
      <c r="J601" s="66"/>
      <c r="K601" s="66"/>
      <c r="L601" s="66"/>
      <c r="M601" s="66"/>
      <c r="N601" s="66"/>
      <c r="O601" s="66"/>
      <c r="P601" s="66"/>
      <c r="Q601" s="23"/>
      <c r="AB601" s="23"/>
      <c r="AC601" s="23"/>
      <c r="AD601" s="23"/>
      <c r="AE601" s="7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71"/>
      <c r="AV601" s="10"/>
      <c r="AW601" s="23"/>
      <c r="BB601" s="66"/>
      <c r="BC601" s="66"/>
      <c r="BD601" s="66"/>
      <c r="BE601" s="66"/>
      <c r="BF601" s="66"/>
      <c r="BG601" s="66"/>
      <c r="BH601" s="66"/>
      <c r="BI601" s="66"/>
      <c r="BJ601" s="66"/>
      <c r="BK601" s="66"/>
      <c r="BL601" s="66"/>
      <c r="BM601" s="66"/>
      <c r="BN601" s="66"/>
      <c r="BO601" s="66"/>
      <c r="BP601" s="66"/>
      <c r="BQ601" s="66"/>
      <c r="BR601" s="66"/>
      <c r="BS601" s="66"/>
      <c r="BT601" s="66"/>
      <c r="BU601" s="66"/>
      <c r="BV601" s="66"/>
      <c r="BW601" s="66"/>
    </row>
    <row r="602" spans="1:75" ht="15.75" customHeight="1">
      <c r="A602" s="65"/>
      <c r="B602" s="66"/>
      <c r="C602" s="66"/>
      <c r="D602" s="66"/>
      <c r="E602" s="66"/>
      <c r="F602" s="65"/>
      <c r="G602" s="65"/>
      <c r="H602" s="66"/>
      <c r="I602" s="66"/>
      <c r="J602" s="66"/>
      <c r="K602" s="66"/>
      <c r="L602" s="66"/>
      <c r="M602" s="66"/>
      <c r="N602" s="66"/>
      <c r="O602" s="66"/>
      <c r="P602" s="66"/>
      <c r="Q602" s="23"/>
      <c r="AB602" s="23"/>
      <c r="AC602" s="23"/>
      <c r="AD602" s="23"/>
      <c r="AE602" s="7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71"/>
      <c r="AV602" s="10"/>
      <c r="AW602" s="23"/>
      <c r="BB602" s="66"/>
      <c r="BC602" s="66"/>
      <c r="BD602" s="66"/>
      <c r="BE602" s="66"/>
      <c r="BF602" s="66"/>
      <c r="BG602" s="66"/>
      <c r="BH602" s="66"/>
      <c r="BI602" s="66"/>
      <c r="BJ602" s="66"/>
      <c r="BK602" s="66"/>
      <c r="BL602" s="66"/>
      <c r="BM602" s="66"/>
      <c r="BN602" s="66"/>
      <c r="BO602" s="66"/>
      <c r="BP602" s="66"/>
      <c r="BQ602" s="66"/>
      <c r="BR602" s="66"/>
      <c r="BS602" s="66"/>
      <c r="BT602" s="66"/>
      <c r="BU602" s="66"/>
      <c r="BV602" s="66"/>
      <c r="BW602" s="66"/>
    </row>
    <row r="603" spans="1:75" ht="15.75" customHeight="1">
      <c r="A603" s="65"/>
      <c r="B603" s="66"/>
      <c r="C603" s="66"/>
      <c r="D603" s="66"/>
      <c r="E603" s="66"/>
      <c r="F603" s="65"/>
      <c r="G603" s="65"/>
      <c r="H603" s="66"/>
      <c r="I603" s="66"/>
      <c r="J603" s="66"/>
      <c r="K603" s="66"/>
      <c r="L603" s="66"/>
      <c r="M603" s="66"/>
      <c r="N603" s="66"/>
      <c r="O603" s="66"/>
      <c r="P603" s="66"/>
      <c r="Q603" s="23"/>
      <c r="AB603" s="23"/>
      <c r="AC603" s="23"/>
      <c r="AD603" s="23"/>
      <c r="AE603" s="7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71"/>
      <c r="AV603" s="10"/>
      <c r="AW603" s="23"/>
      <c r="BB603" s="66"/>
      <c r="BC603" s="66"/>
      <c r="BD603" s="66"/>
      <c r="BE603" s="66"/>
      <c r="BF603" s="66"/>
      <c r="BG603" s="66"/>
      <c r="BH603" s="66"/>
      <c r="BI603" s="66"/>
      <c r="BJ603" s="66"/>
      <c r="BK603" s="66"/>
      <c r="BL603" s="66"/>
      <c r="BM603" s="66"/>
      <c r="BN603" s="66"/>
      <c r="BO603" s="66"/>
      <c r="BP603" s="66"/>
      <c r="BQ603" s="66"/>
      <c r="BR603" s="66"/>
      <c r="BS603" s="66"/>
      <c r="BT603" s="66"/>
      <c r="BU603" s="66"/>
      <c r="BV603" s="66"/>
      <c r="BW603" s="66"/>
    </row>
    <row r="604" spans="1:75" ht="15.75" customHeight="1">
      <c r="A604" s="65"/>
      <c r="B604" s="66"/>
      <c r="C604" s="66"/>
      <c r="D604" s="66"/>
      <c r="E604" s="66"/>
      <c r="F604" s="65"/>
      <c r="G604" s="65"/>
      <c r="H604" s="66"/>
      <c r="I604" s="66"/>
      <c r="J604" s="66"/>
      <c r="K604" s="66"/>
      <c r="L604" s="66"/>
      <c r="M604" s="66"/>
      <c r="N604" s="66"/>
      <c r="O604" s="66"/>
      <c r="P604" s="66"/>
      <c r="Q604" s="23"/>
      <c r="AB604" s="23"/>
      <c r="AC604" s="23"/>
      <c r="AD604" s="23"/>
      <c r="AE604" s="7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71"/>
      <c r="AV604" s="10"/>
      <c r="AW604" s="23"/>
      <c r="BB604" s="66"/>
      <c r="BC604" s="66"/>
      <c r="BD604" s="66"/>
      <c r="BE604" s="66"/>
      <c r="BF604" s="66"/>
      <c r="BG604" s="66"/>
      <c r="BH604" s="66"/>
      <c r="BI604" s="66"/>
      <c r="BJ604" s="66"/>
      <c r="BK604" s="66"/>
      <c r="BL604" s="66"/>
      <c r="BM604" s="66"/>
      <c r="BN604" s="66"/>
      <c r="BO604" s="66"/>
      <c r="BP604" s="66"/>
      <c r="BQ604" s="66"/>
      <c r="BR604" s="66"/>
      <c r="BS604" s="66"/>
      <c r="BT604" s="66"/>
      <c r="BU604" s="66"/>
      <c r="BV604" s="66"/>
      <c r="BW604" s="66"/>
    </row>
    <row r="605" spans="1:75" ht="15.75" customHeight="1">
      <c r="A605" s="65"/>
      <c r="B605" s="66"/>
      <c r="C605" s="66"/>
      <c r="D605" s="66"/>
      <c r="E605" s="66"/>
      <c r="F605" s="65"/>
      <c r="G605" s="65"/>
      <c r="H605" s="66"/>
      <c r="I605" s="66"/>
      <c r="J605" s="66"/>
      <c r="K605" s="66"/>
      <c r="L605" s="66"/>
      <c r="M605" s="66"/>
      <c r="N605" s="66"/>
      <c r="O605" s="66"/>
      <c r="P605" s="66"/>
      <c r="Q605" s="23"/>
      <c r="AB605" s="23"/>
      <c r="AC605" s="23"/>
      <c r="AD605" s="23"/>
      <c r="AE605" s="7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71"/>
      <c r="AV605" s="10"/>
      <c r="AW605" s="23"/>
      <c r="BB605" s="66"/>
      <c r="BC605" s="66"/>
      <c r="BD605" s="66"/>
      <c r="BE605" s="66"/>
      <c r="BF605" s="66"/>
      <c r="BG605" s="66"/>
      <c r="BH605" s="66"/>
      <c r="BI605" s="66"/>
      <c r="BJ605" s="66"/>
      <c r="BK605" s="66"/>
      <c r="BL605" s="66"/>
      <c r="BM605" s="66"/>
      <c r="BN605" s="66"/>
      <c r="BO605" s="66"/>
      <c r="BP605" s="66"/>
      <c r="BQ605" s="66"/>
      <c r="BR605" s="66"/>
      <c r="BS605" s="66"/>
      <c r="BT605" s="66"/>
      <c r="BU605" s="66"/>
      <c r="BV605" s="66"/>
      <c r="BW605" s="66"/>
    </row>
    <row r="606" spans="1:75" ht="15.75" customHeight="1">
      <c r="A606" s="65"/>
      <c r="B606" s="66"/>
      <c r="C606" s="66"/>
      <c r="D606" s="66"/>
      <c r="E606" s="66"/>
      <c r="F606" s="65"/>
      <c r="G606" s="65"/>
      <c r="H606" s="66"/>
      <c r="I606" s="66"/>
      <c r="J606" s="66"/>
      <c r="K606" s="66"/>
      <c r="L606" s="66"/>
      <c r="M606" s="66"/>
      <c r="N606" s="66"/>
      <c r="O606" s="66"/>
      <c r="P606" s="66"/>
      <c r="Q606" s="23"/>
      <c r="AB606" s="23"/>
      <c r="AC606" s="23"/>
      <c r="AD606" s="23"/>
      <c r="AE606" s="7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71"/>
      <c r="AV606" s="10"/>
      <c r="AW606" s="23"/>
      <c r="BB606" s="66"/>
      <c r="BC606" s="66"/>
      <c r="BD606" s="66"/>
      <c r="BE606" s="66"/>
      <c r="BF606" s="66"/>
      <c r="BG606" s="66"/>
      <c r="BH606" s="66"/>
      <c r="BI606" s="66"/>
      <c r="BJ606" s="66"/>
      <c r="BK606" s="66"/>
      <c r="BL606" s="66"/>
      <c r="BM606" s="66"/>
      <c r="BN606" s="66"/>
      <c r="BO606" s="66"/>
      <c r="BP606" s="66"/>
      <c r="BQ606" s="66"/>
      <c r="BR606" s="66"/>
      <c r="BS606" s="66"/>
      <c r="BT606" s="66"/>
      <c r="BU606" s="66"/>
      <c r="BV606" s="66"/>
      <c r="BW606" s="66"/>
    </row>
    <row r="607" spans="1:75" ht="15.75" customHeight="1">
      <c r="A607" s="65"/>
      <c r="B607" s="66"/>
      <c r="C607" s="66"/>
      <c r="D607" s="66"/>
      <c r="E607" s="66"/>
      <c r="F607" s="65"/>
      <c r="G607" s="65"/>
      <c r="H607" s="66"/>
      <c r="I607" s="66"/>
      <c r="J607" s="66"/>
      <c r="K607" s="66"/>
      <c r="L607" s="66"/>
      <c r="M607" s="66"/>
      <c r="N607" s="66"/>
      <c r="O607" s="66"/>
      <c r="P607" s="66"/>
      <c r="Q607" s="23"/>
      <c r="AB607" s="23"/>
      <c r="AC607" s="23"/>
      <c r="AD607" s="23"/>
      <c r="AE607" s="7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71"/>
      <c r="AV607" s="10"/>
      <c r="AW607" s="23"/>
      <c r="BB607" s="66"/>
      <c r="BC607" s="66"/>
      <c r="BD607" s="66"/>
      <c r="BE607" s="66"/>
      <c r="BF607" s="66"/>
      <c r="BG607" s="66"/>
      <c r="BH607" s="66"/>
      <c r="BI607" s="66"/>
      <c r="BJ607" s="66"/>
      <c r="BK607" s="66"/>
      <c r="BL607" s="66"/>
      <c r="BM607" s="66"/>
      <c r="BN607" s="66"/>
      <c r="BO607" s="66"/>
      <c r="BP607" s="66"/>
      <c r="BQ607" s="66"/>
      <c r="BR607" s="66"/>
      <c r="BS607" s="66"/>
      <c r="BT607" s="66"/>
      <c r="BU607" s="66"/>
      <c r="BV607" s="66"/>
      <c r="BW607" s="66"/>
    </row>
    <row r="608" spans="1:75" ht="15.75" customHeight="1">
      <c r="A608" s="65"/>
      <c r="B608" s="66"/>
      <c r="C608" s="66"/>
      <c r="D608" s="66"/>
      <c r="E608" s="66"/>
      <c r="F608" s="65"/>
      <c r="G608" s="65"/>
      <c r="H608" s="66"/>
      <c r="I608" s="66"/>
      <c r="J608" s="66"/>
      <c r="K608" s="66"/>
      <c r="L608" s="66"/>
      <c r="M608" s="66"/>
      <c r="N608" s="66"/>
      <c r="O608" s="66"/>
      <c r="P608" s="66"/>
      <c r="Q608" s="23"/>
      <c r="AB608" s="23"/>
      <c r="AC608" s="23"/>
      <c r="AD608" s="23"/>
      <c r="AE608" s="7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71"/>
      <c r="AV608" s="10"/>
      <c r="AW608" s="23"/>
      <c r="BB608" s="66"/>
      <c r="BC608" s="66"/>
      <c r="BD608" s="66"/>
      <c r="BE608" s="66"/>
      <c r="BF608" s="66"/>
      <c r="BG608" s="66"/>
      <c r="BH608" s="66"/>
      <c r="BI608" s="66"/>
      <c r="BJ608" s="66"/>
      <c r="BK608" s="66"/>
      <c r="BL608" s="66"/>
      <c r="BM608" s="66"/>
      <c r="BN608" s="66"/>
      <c r="BO608" s="66"/>
      <c r="BP608" s="66"/>
      <c r="BQ608" s="66"/>
      <c r="BR608" s="66"/>
      <c r="BS608" s="66"/>
      <c r="BT608" s="66"/>
      <c r="BU608" s="66"/>
      <c r="BV608" s="66"/>
      <c r="BW608" s="66"/>
    </row>
    <row r="609" spans="1:75" ht="15.75" customHeight="1">
      <c r="A609" s="65"/>
      <c r="B609" s="66"/>
      <c r="C609" s="66"/>
      <c r="D609" s="66"/>
      <c r="E609" s="66"/>
      <c r="F609" s="65"/>
      <c r="G609" s="65"/>
      <c r="H609" s="66"/>
      <c r="I609" s="66"/>
      <c r="J609" s="66"/>
      <c r="K609" s="66"/>
      <c r="L609" s="66"/>
      <c r="M609" s="66"/>
      <c r="N609" s="66"/>
      <c r="O609" s="66"/>
      <c r="P609" s="66"/>
      <c r="Q609" s="23"/>
      <c r="AB609" s="23"/>
      <c r="AC609" s="23"/>
      <c r="AD609" s="23"/>
      <c r="AE609" s="7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71"/>
      <c r="AV609" s="10"/>
      <c r="AW609" s="23"/>
      <c r="BB609" s="66"/>
      <c r="BC609" s="66"/>
      <c r="BD609" s="66"/>
      <c r="BE609" s="66"/>
      <c r="BF609" s="66"/>
      <c r="BG609" s="66"/>
      <c r="BH609" s="66"/>
      <c r="BI609" s="66"/>
      <c r="BJ609" s="66"/>
      <c r="BK609" s="66"/>
      <c r="BL609" s="66"/>
      <c r="BM609" s="66"/>
      <c r="BN609" s="66"/>
      <c r="BO609" s="66"/>
      <c r="BP609" s="66"/>
      <c r="BQ609" s="66"/>
      <c r="BR609" s="66"/>
      <c r="BS609" s="66"/>
      <c r="BT609" s="66"/>
      <c r="BU609" s="66"/>
      <c r="BV609" s="66"/>
      <c r="BW609" s="66"/>
    </row>
    <row r="610" spans="1:75" ht="15.75" customHeight="1">
      <c r="A610" s="65"/>
      <c r="B610" s="66"/>
      <c r="C610" s="66"/>
      <c r="D610" s="66"/>
      <c r="E610" s="66"/>
      <c r="F610" s="65"/>
      <c r="G610" s="65"/>
      <c r="H610" s="66"/>
      <c r="I610" s="66"/>
      <c r="J610" s="66"/>
      <c r="K610" s="66"/>
      <c r="L610" s="66"/>
      <c r="M610" s="66"/>
      <c r="N610" s="66"/>
      <c r="O610" s="66"/>
      <c r="P610" s="66"/>
      <c r="Q610" s="23"/>
      <c r="AB610" s="23"/>
      <c r="AC610" s="23"/>
      <c r="AD610" s="23"/>
      <c r="AE610" s="7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71"/>
      <c r="AV610" s="10"/>
      <c r="AW610" s="23"/>
      <c r="BB610" s="66"/>
      <c r="BC610" s="66"/>
      <c r="BD610" s="66"/>
      <c r="BE610" s="66"/>
      <c r="BF610" s="66"/>
      <c r="BG610" s="66"/>
      <c r="BH610" s="66"/>
      <c r="BI610" s="66"/>
      <c r="BJ610" s="66"/>
      <c r="BK610" s="66"/>
      <c r="BL610" s="66"/>
      <c r="BM610" s="66"/>
      <c r="BN610" s="66"/>
      <c r="BO610" s="66"/>
      <c r="BP610" s="66"/>
      <c r="BQ610" s="66"/>
      <c r="BR610" s="66"/>
      <c r="BS610" s="66"/>
      <c r="BT610" s="66"/>
      <c r="BU610" s="66"/>
      <c r="BV610" s="66"/>
      <c r="BW610" s="66"/>
    </row>
    <row r="611" spans="1:75" ht="15.75" customHeight="1">
      <c r="A611" s="65"/>
      <c r="B611" s="66"/>
      <c r="C611" s="66"/>
      <c r="D611" s="66"/>
      <c r="E611" s="66"/>
      <c r="F611" s="65"/>
      <c r="G611" s="65"/>
      <c r="H611" s="66"/>
      <c r="I611" s="66"/>
      <c r="J611" s="66"/>
      <c r="K611" s="66"/>
      <c r="L611" s="66"/>
      <c r="M611" s="66"/>
      <c r="N611" s="66"/>
      <c r="O611" s="66"/>
      <c r="P611" s="66"/>
      <c r="Q611" s="23"/>
      <c r="AB611" s="23"/>
      <c r="AC611" s="23"/>
      <c r="AD611" s="23"/>
      <c r="AE611" s="7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71"/>
      <c r="AV611" s="10"/>
      <c r="AW611" s="23"/>
      <c r="BB611" s="66"/>
      <c r="BC611" s="66"/>
      <c r="BD611" s="66"/>
      <c r="BE611" s="66"/>
      <c r="BF611" s="66"/>
      <c r="BG611" s="66"/>
      <c r="BH611" s="66"/>
      <c r="BI611" s="66"/>
      <c r="BJ611" s="66"/>
      <c r="BK611" s="66"/>
      <c r="BL611" s="66"/>
      <c r="BM611" s="66"/>
      <c r="BN611" s="66"/>
      <c r="BO611" s="66"/>
      <c r="BP611" s="66"/>
      <c r="BQ611" s="66"/>
      <c r="BR611" s="66"/>
      <c r="BS611" s="66"/>
      <c r="BT611" s="66"/>
      <c r="BU611" s="66"/>
      <c r="BV611" s="66"/>
      <c r="BW611" s="66"/>
    </row>
    <row r="612" spans="1:75" ht="15.75" customHeight="1">
      <c r="A612" s="65"/>
      <c r="B612" s="66"/>
      <c r="C612" s="66"/>
      <c r="D612" s="66"/>
      <c r="E612" s="66"/>
      <c r="F612" s="65"/>
      <c r="G612" s="65"/>
      <c r="H612" s="66"/>
      <c r="I612" s="66"/>
      <c r="J612" s="66"/>
      <c r="K612" s="66"/>
      <c r="L612" s="66"/>
      <c r="M612" s="66"/>
      <c r="N612" s="66"/>
      <c r="O612" s="66"/>
      <c r="P612" s="66"/>
      <c r="Q612" s="23"/>
      <c r="AB612" s="23"/>
      <c r="AC612" s="23"/>
      <c r="AD612" s="23"/>
      <c r="AE612" s="7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71"/>
      <c r="AV612" s="10"/>
      <c r="AW612" s="23"/>
      <c r="BB612" s="66"/>
      <c r="BC612" s="66"/>
      <c r="BD612" s="66"/>
      <c r="BE612" s="66"/>
      <c r="BF612" s="66"/>
      <c r="BG612" s="66"/>
      <c r="BH612" s="66"/>
      <c r="BI612" s="66"/>
      <c r="BJ612" s="66"/>
      <c r="BK612" s="66"/>
      <c r="BL612" s="66"/>
      <c r="BM612" s="66"/>
      <c r="BN612" s="66"/>
      <c r="BO612" s="66"/>
      <c r="BP612" s="66"/>
      <c r="BQ612" s="66"/>
      <c r="BR612" s="66"/>
      <c r="BS612" s="66"/>
      <c r="BT612" s="66"/>
      <c r="BU612" s="66"/>
      <c r="BV612" s="66"/>
      <c r="BW612" s="66"/>
    </row>
    <row r="613" spans="1:75" ht="15.75" customHeight="1">
      <c r="A613" s="65"/>
      <c r="B613" s="66"/>
      <c r="C613" s="66"/>
      <c r="D613" s="66"/>
      <c r="E613" s="66"/>
      <c r="F613" s="65"/>
      <c r="G613" s="65"/>
      <c r="H613" s="66"/>
      <c r="I613" s="66"/>
      <c r="J613" s="66"/>
      <c r="K613" s="66"/>
      <c r="L613" s="66"/>
      <c r="M613" s="66"/>
      <c r="N613" s="66"/>
      <c r="O613" s="66"/>
      <c r="P613" s="66"/>
      <c r="Q613" s="23"/>
      <c r="AB613" s="23"/>
      <c r="AC613" s="23"/>
      <c r="AD613" s="23"/>
      <c r="AE613" s="7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71"/>
      <c r="AV613" s="10"/>
      <c r="AW613" s="23"/>
      <c r="BB613" s="66"/>
      <c r="BC613" s="66"/>
      <c r="BD613" s="66"/>
      <c r="BE613" s="66"/>
      <c r="BF613" s="66"/>
      <c r="BG613" s="66"/>
      <c r="BH613" s="66"/>
      <c r="BI613" s="66"/>
      <c r="BJ613" s="66"/>
      <c r="BK613" s="66"/>
      <c r="BL613" s="66"/>
      <c r="BM613" s="66"/>
      <c r="BN613" s="66"/>
      <c r="BO613" s="66"/>
      <c r="BP613" s="66"/>
      <c r="BQ613" s="66"/>
      <c r="BR613" s="66"/>
      <c r="BS613" s="66"/>
      <c r="BT613" s="66"/>
      <c r="BU613" s="66"/>
      <c r="BV613" s="66"/>
      <c r="BW613" s="66"/>
    </row>
    <row r="614" spans="1:75" ht="15.75" customHeight="1">
      <c r="A614" s="65"/>
      <c r="B614" s="66"/>
      <c r="C614" s="66"/>
      <c r="D614" s="66"/>
      <c r="E614" s="66"/>
      <c r="F614" s="65"/>
      <c r="G614" s="65"/>
      <c r="H614" s="66"/>
      <c r="I614" s="66"/>
      <c r="J614" s="66"/>
      <c r="K614" s="66"/>
      <c r="L614" s="66"/>
      <c r="M614" s="66"/>
      <c r="N614" s="66"/>
      <c r="O614" s="66"/>
      <c r="P614" s="66"/>
      <c r="Q614" s="23"/>
      <c r="AB614" s="23"/>
      <c r="AC614" s="23"/>
      <c r="AD614" s="23"/>
      <c r="AE614" s="7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71"/>
      <c r="AV614" s="10"/>
      <c r="AW614" s="23"/>
      <c r="BB614" s="66"/>
      <c r="BC614" s="66"/>
      <c r="BD614" s="66"/>
      <c r="BE614" s="66"/>
      <c r="BF614" s="66"/>
      <c r="BG614" s="66"/>
      <c r="BH614" s="66"/>
      <c r="BI614" s="66"/>
      <c r="BJ614" s="66"/>
      <c r="BK614" s="66"/>
      <c r="BL614" s="66"/>
      <c r="BM614" s="66"/>
      <c r="BN614" s="66"/>
      <c r="BO614" s="66"/>
      <c r="BP614" s="66"/>
      <c r="BQ614" s="66"/>
      <c r="BR614" s="66"/>
      <c r="BS614" s="66"/>
      <c r="BT614" s="66"/>
      <c r="BU614" s="66"/>
      <c r="BV614" s="66"/>
      <c r="BW614" s="66"/>
    </row>
    <row r="615" spans="1:75" ht="15.75" customHeight="1">
      <c r="A615" s="65"/>
      <c r="B615" s="66"/>
      <c r="C615" s="66"/>
      <c r="D615" s="66"/>
      <c r="E615" s="66"/>
      <c r="F615" s="65"/>
      <c r="G615" s="65"/>
      <c r="H615" s="66"/>
      <c r="I615" s="66"/>
      <c r="J615" s="66"/>
      <c r="K615" s="66"/>
      <c r="L615" s="66"/>
      <c r="M615" s="66"/>
      <c r="N615" s="66"/>
      <c r="O615" s="66"/>
      <c r="P615" s="66"/>
      <c r="Q615" s="23"/>
      <c r="AB615" s="23"/>
      <c r="AC615" s="23"/>
      <c r="AD615" s="23"/>
      <c r="AE615" s="7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71"/>
      <c r="AV615" s="10"/>
      <c r="AW615" s="23"/>
      <c r="BB615" s="66"/>
      <c r="BC615" s="66"/>
      <c r="BD615" s="66"/>
      <c r="BE615" s="66"/>
      <c r="BF615" s="66"/>
      <c r="BG615" s="66"/>
      <c r="BH615" s="66"/>
      <c r="BI615" s="66"/>
      <c r="BJ615" s="66"/>
      <c r="BK615" s="66"/>
      <c r="BL615" s="66"/>
      <c r="BM615" s="66"/>
      <c r="BN615" s="66"/>
      <c r="BO615" s="66"/>
      <c r="BP615" s="66"/>
      <c r="BQ615" s="66"/>
      <c r="BR615" s="66"/>
      <c r="BS615" s="66"/>
      <c r="BT615" s="66"/>
      <c r="BU615" s="66"/>
      <c r="BV615" s="66"/>
      <c r="BW615" s="66"/>
    </row>
    <row r="616" spans="1:75" ht="15.75" customHeight="1">
      <c r="A616" s="65"/>
      <c r="B616" s="66"/>
      <c r="C616" s="66"/>
      <c r="D616" s="66"/>
      <c r="E616" s="66"/>
      <c r="F616" s="65"/>
      <c r="G616" s="65"/>
      <c r="H616" s="66"/>
      <c r="I616" s="66"/>
      <c r="J616" s="66"/>
      <c r="K616" s="66"/>
      <c r="L616" s="66"/>
      <c r="M616" s="66"/>
      <c r="N616" s="66"/>
      <c r="O616" s="66"/>
      <c r="P616" s="66"/>
      <c r="Q616" s="23"/>
      <c r="AB616" s="23"/>
      <c r="AC616" s="23"/>
      <c r="AD616" s="23"/>
      <c r="AE616" s="7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71"/>
      <c r="AV616" s="10"/>
      <c r="AW616" s="23"/>
      <c r="BB616" s="66"/>
      <c r="BC616" s="66"/>
      <c r="BD616" s="66"/>
      <c r="BE616" s="66"/>
      <c r="BF616" s="66"/>
      <c r="BG616" s="66"/>
      <c r="BH616" s="66"/>
      <c r="BI616" s="66"/>
      <c r="BJ616" s="66"/>
      <c r="BK616" s="66"/>
      <c r="BL616" s="66"/>
      <c r="BM616" s="66"/>
      <c r="BN616" s="66"/>
      <c r="BO616" s="66"/>
      <c r="BP616" s="66"/>
      <c r="BQ616" s="66"/>
      <c r="BR616" s="66"/>
      <c r="BS616" s="66"/>
      <c r="BT616" s="66"/>
      <c r="BU616" s="66"/>
      <c r="BV616" s="66"/>
      <c r="BW616" s="66"/>
    </row>
    <row r="617" spans="1:75" ht="15.75" customHeight="1">
      <c r="A617" s="65"/>
      <c r="B617" s="66"/>
      <c r="C617" s="66"/>
      <c r="D617" s="66"/>
      <c r="E617" s="66"/>
      <c r="F617" s="65"/>
      <c r="G617" s="65"/>
      <c r="H617" s="66"/>
      <c r="I617" s="66"/>
      <c r="J617" s="66"/>
      <c r="K617" s="66"/>
      <c r="L617" s="66"/>
      <c r="M617" s="66"/>
      <c r="N617" s="66"/>
      <c r="O617" s="66"/>
      <c r="P617" s="66"/>
      <c r="Q617" s="23"/>
      <c r="AB617" s="23"/>
      <c r="AC617" s="23"/>
      <c r="AD617" s="23"/>
      <c r="AE617" s="7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71"/>
      <c r="AV617" s="10"/>
      <c r="AW617" s="23"/>
      <c r="BB617" s="66"/>
      <c r="BC617" s="66"/>
      <c r="BD617" s="66"/>
      <c r="BE617" s="66"/>
      <c r="BF617" s="66"/>
      <c r="BG617" s="66"/>
      <c r="BH617" s="66"/>
      <c r="BI617" s="66"/>
      <c r="BJ617" s="66"/>
      <c r="BK617" s="66"/>
      <c r="BL617" s="66"/>
      <c r="BM617" s="66"/>
      <c r="BN617" s="66"/>
      <c r="BO617" s="66"/>
      <c r="BP617" s="66"/>
      <c r="BQ617" s="66"/>
      <c r="BR617" s="66"/>
      <c r="BS617" s="66"/>
      <c r="BT617" s="66"/>
      <c r="BU617" s="66"/>
      <c r="BV617" s="66"/>
      <c r="BW617" s="66"/>
    </row>
    <row r="618" spans="1:75" ht="15.75" customHeight="1">
      <c r="A618" s="65"/>
      <c r="B618" s="66"/>
      <c r="C618" s="66"/>
      <c r="D618" s="66"/>
      <c r="E618" s="66"/>
      <c r="F618" s="65"/>
      <c r="G618" s="65"/>
      <c r="H618" s="66"/>
      <c r="I618" s="66"/>
      <c r="J618" s="66"/>
      <c r="K618" s="66"/>
      <c r="L618" s="66"/>
      <c r="M618" s="66"/>
      <c r="N618" s="66"/>
      <c r="O618" s="66"/>
      <c r="P618" s="66"/>
      <c r="Q618" s="23"/>
      <c r="AB618" s="23"/>
      <c r="AC618" s="23"/>
      <c r="AD618" s="23"/>
      <c r="AE618" s="7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71"/>
      <c r="AV618" s="10"/>
      <c r="AW618" s="23"/>
      <c r="BB618" s="66"/>
      <c r="BC618" s="66"/>
      <c r="BD618" s="66"/>
      <c r="BE618" s="66"/>
      <c r="BF618" s="66"/>
      <c r="BG618" s="66"/>
      <c r="BH618" s="66"/>
      <c r="BI618" s="66"/>
      <c r="BJ618" s="66"/>
      <c r="BK618" s="66"/>
      <c r="BL618" s="66"/>
      <c r="BM618" s="66"/>
      <c r="BN618" s="66"/>
      <c r="BO618" s="66"/>
      <c r="BP618" s="66"/>
      <c r="BQ618" s="66"/>
      <c r="BR618" s="66"/>
      <c r="BS618" s="66"/>
      <c r="BT618" s="66"/>
      <c r="BU618" s="66"/>
      <c r="BV618" s="66"/>
      <c r="BW618" s="66"/>
    </row>
    <row r="619" spans="1:75" ht="15.75" customHeight="1">
      <c r="A619" s="65"/>
      <c r="B619" s="66"/>
      <c r="C619" s="66"/>
      <c r="D619" s="66"/>
      <c r="E619" s="66"/>
      <c r="F619" s="65"/>
      <c r="G619" s="65"/>
      <c r="H619" s="66"/>
      <c r="I619" s="66"/>
      <c r="J619" s="66"/>
      <c r="K619" s="66"/>
      <c r="L619" s="66"/>
      <c r="M619" s="66"/>
      <c r="N619" s="66"/>
      <c r="O619" s="66"/>
      <c r="P619" s="66"/>
      <c r="Q619" s="23"/>
      <c r="AB619" s="23"/>
      <c r="AC619" s="23"/>
      <c r="AD619" s="23"/>
      <c r="AE619" s="7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71"/>
      <c r="AV619" s="10"/>
      <c r="AW619" s="23"/>
      <c r="BB619" s="66"/>
      <c r="BC619" s="66"/>
      <c r="BD619" s="66"/>
      <c r="BE619" s="66"/>
      <c r="BF619" s="66"/>
      <c r="BG619" s="66"/>
      <c r="BH619" s="66"/>
      <c r="BI619" s="66"/>
      <c r="BJ619" s="66"/>
      <c r="BK619" s="66"/>
      <c r="BL619" s="66"/>
      <c r="BM619" s="66"/>
      <c r="BN619" s="66"/>
      <c r="BO619" s="66"/>
      <c r="BP619" s="66"/>
      <c r="BQ619" s="66"/>
      <c r="BR619" s="66"/>
      <c r="BS619" s="66"/>
      <c r="BT619" s="66"/>
      <c r="BU619" s="66"/>
      <c r="BV619" s="66"/>
      <c r="BW619" s="66"/>
    </row>
    <row r="620" spans="1:75" ht="15.75" customHeight="1">
      <c r="A620" s="65"/>
      <c r="B620" s="66"/>
      <c r="C620" s="66"/>
      <c r="D620" s="66"/>
      <c r="E620" s="66"/>
      <c r="F620" s="65"/>
      <c r="G620" s="65"/>
      <c r="H620" s="66"/>
      <c r="I620" s="66"/>
      <c r="J620" s="66"/>
      <c r="K620" s="66"/>
      <c r="L620" s="66"/>
      <c r="M620" s="66"/>
      <c r="N620" s="66"/>
      <c r="O620" s="66"/>
      <c r="P620" s="66"/>
      <c r="Q620" s="23"/>
      <c r="AB620" s="23"/>
      <c r="AC620" s="23"/>
      <c r="AD620" s="23"/>
      <c r="AE620" s="7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71"/>
      <c r="AV620" s="10"/>
      <c r="AW620" s="23"/>
      <c r="BB620" s="66"/>
      <c r="BC620" s="66"/>
      <c r="BD620" s="66"/>
      <c r="BE620" s="66"/>
      <c r="BF620" s="66"/>
      <c r="BG620" s="66"/>
      <c r="BH620" s="66"/>
      <c r="BI620" s="66"/>
      <c r="BJ620" s="66"/>
      <c r="BK620" s="66"/>
      <c r="BL620" s="66"/>
      <c r="BM620" s="66"/>
      <c r="BN620" s="66"/>
      <c r="BO620" s="66"/>
      <c r="BP620" s="66"/>
      <c r="BQ620" s="66"/>
      <c r="BR620" s="66"/>
      <c r="BS620" s="66"/>
      <c r="BT620" s="66"/>
      <c r="BU620" s="66"/>
      <c r="BV620" s="66"/>
      <c r="BW620" s="66"/>
    </row>
    <row r="621" spans="1:75" ht="15.75" customHeight="1">
      <c r="A621" s="65"/>
      <c r="B621" s="66"/>
      <c r="C621" s="66"/>
      <c r="D621" s="66"/>
      <c r="E621" s="66"/>
      <c r="F621" s="65"/>
      <c r="G621" s="65"/>
      <c r="H621" s="66"/>
      <c r="I621" s="66"/>
      <c r="J621" s="66"/>
      <c r="K621" s="66"/>
      <c r="L621" s="66"/>
      <c r="M621" s="66"/>
      <c r="N621" s="66"/>
      <c r="O621" s="66"/>
      <c r="P621" s="66"/>
      <c r="Q621" s="23"/>
      <c r="AB621" s="23"/>
      <c r="AC621" s="23"/>
      <c r="AD621" s="23"/>
      <c r="AE621" s="7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71"/>
      <c r="AV621" s="10"/>
      <c r="AW621" s="23"/>
      <c r="BB621" s="66"/>
      <c r="BC621" s="66"/>
      <c r="BD621" s="66"/>
      <c r="BE621" s="66"/>
      <c r="BF621" s="66"/>
      <c r="BG621" s="66"/>
      <c r="BH621" s="66"/>
      <c r="BI621" s="66"/>
      <c r="BJ621" s="66"/>
      <c r="BK621" s="66"/>
      <c r="BL621" s="66"/>
      <c r="BM621" s="66"/>
      <c r="BN621" s="66"/>
      <c r="BO621" s="66"/>
      <c r="BP621" s="66"/>
      <c r="BQ621" s="66"/>
      <c r="BR621" s="66"/>
      <c r="BS621" s="66"/>
      <c r="BT621" s="66"/>
      <c r="BU621" s="66"/>
      <c r="BV621" s="66"/>
      <c r="BW621" s="66"/>
    </row>
    <row r="622" spans="1:75" ht="15.75" customHeight="1">
      <c r="A622" s="65"/>
      <c r="B622" s="66"/>
      <c r="C622" s="66"/>
      <c r="D622" s="66"/>
      <c r="E622" s="66"/>
      <c r="F622" s="65"/>
      <c r="G622" s="65"/>
      <c r="H622" s="66"/>
      <c r="I622" s="66"/>
      <c r="J622" s="66"/>
      <c r="K622" s="66"/>
      <c r="L622" s="66"/>
      <c r="M622" s="66"/>
      <c r="N622" s="66"/>
      <c r="O622" s="66"/>
      <c r="P622" s="66"/>
      <c r="Q622" s="23"/>
      <c r="AB622" s="23"/>
      <c r="AC622" s="23"/>
      <c r="AD622" s="23"/>
      <c r="AE622" s="7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71"/>
      <c r="AV622" s="10"/>
      <c r="AW622" s="23"/>
      <c r="BB622" s="66"/>
      <c r="BC622" s="66"/>
      <c r="BD622" s="66"/>
      <c r="BE622" s="66"/>
      <c r="BF622" s="66"/>
      <c r="BG622" s="66"/>
      <c r="BH622" s="66"/>
      <c r="BI622" s="66"/>
      <c r="BJ622" s="66"/>
      <c r="BK622" s="66"/>
      <c r="BL622" s="66"/>
      <c r="BM622" s="66"/>
      <c r="BN622" s="66"/>
      <c r="BO622" s="66"/>
      <c r="BP622" s="66"/>
      <c r="BQ622" s="66"/>
      <c r="BR622" s="66"/>
      <c r="BS622" s="66"/>
      <c r="BT622" s="66"/>
      <c r="BU622" s="66"/>
      <c r="BV622" s="66"/>
      <c r="BW622" s="66"/>
    </row>
    <row r="623" spans="1:75" ht="15.75" customHeight="1">
      <c r="A623" s="65"/>
      <c r="B623" s="66"/>
      <c r="C623" s="66"/>
      <c r="D623" s="66"/>
      <c r="E623" s="66"/>
      <c r="F623" s="65"/>
      <c r="G623" s="65"/>
      <c r="H623" s="66"/>
      <c r="I623" s="66"/>
      <c r="J623" s="66"/>
      <c r="K623" s="66"/>
      <c r="L623" s="66"/>
      <c r="M623" s="66"/>
      <c r="N623" s="66"/>
      <c r="O623" s="66"/>
      <c r="P623" s="66"/>
      <c r="Q623" s="23"/>
      <c r="AB623" s="23"/>
      <c r="AC623" s="23"/>
      <c r="AD623" s="23"/>
      <c r="AE623" s="7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71"/>
      <c r="AV623" s="10"/>
      <c r="AW623" s="23"/>
      <c r="BB623" s="66"/>
      <c r="BC623" s="66"/>
      <c r="BD623" s="66"/>
      <c r="BE623" s="66"/>
      <c r="BF623" s="66"/>
      <c r="BG623" s="66"/>
      <c r="BH623" s="66"/>
      <c r="BI623" s="66"/>
      <c r="BJ623" s="66"/>
      <c r="BK623" s="66"/>
      <c r="BL623" s="66"/>
      <c r="BM623" s="66"/>
      <c r="BN623" s="66"/>
      <c r="BO623" s="66"/>
      <c r="BP623" s="66"/>
      <c r="BQ623" s="66"/>
      <c r="BR623" s="66"/>
      <c r="BS623" s="66"/>
      <c r="BT623" s="66"/>
      <c r="BU623" s="66"/>
      <c r="BV623" s="66"/>
      <c r="BW623" s="66"/>
    </row>
    <row r="624" spans="1:75" ht="15.75" customHeight="1">
      <c r="A624" s="65"/>
      <c r="B624" s="66"/>
      <c r="C624" s="66"/>
      <c r="D624" s="66"/>
      <c r="E624" s="66"/>
      <c r="F624" s="65"/>
      <c r="G624" s="65"/>
      <c r="H624" s="66"/>
      <c r="I624" s="66"/>
      <c r="J624" s="66"/>
      <c r="K624" s="66"/>
      <c r="L624" s="66"/>
      <c r="M624" s="66"/>
      <c r="N624" s="66"/>
      <c r="O624" s="66"/>
      <c r="P624" s="66"/>
      <c r="Q624" s="23"/>
      <c r="AB624" s="23"/>
      <c r="AC624" s="23"/>
      <c r="AD624" s="23"/>
      <c r="AE624" s="7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71"/>
      <c r="AV624" s="10"/>
      <c r="AW624" s="23"/>
      <c r="BB624" s="66"/>
      <c r="BC624" s="66"/>
      <c r="BD624" s="66"/>
      <c r="BE624" s="66"/>
      <c r="BF624" s="66"/>
      <c r="BG624" s="66"/>
      <c r="BH624" s="66"/>
      <c r="BI624" s="66"/>
      <c r="BJ624" s="66"/>
      <c r="BK624" s="66"/>
      <c r="BL624" s="66"/>
      <c r="BM624" s="66"/>
      <c r="BN624" s="66"/>
      <c r="BO624" s="66"/>
      <c r="BP624" s="66"/>
      <c r="BQ624" s="66"/>
      <c r="BR624" s="66"/>
      <c r="BS624" s="66"/>
      <c r="BT624" s="66"/>
      <c r="BU624" s="66"/>
      <c r="BV624" s="66"/>
      <c r="BW624" s="66"/>
    </row>
    <row r="625" spans="1:75" ht="15.75" customHeight="1">
      <c r="A625" s="65"/>
      <c r="B625" s="66"/>
      <c r="C625" s="66"/>
      <c r="D625" s="66"/>
      <c r="E625" s="66"/>
      <c r="F625" s="65"/>
      <c r="G625" s="65"/>
      <c r="H625" s="66"/>
      <c r="I625" s="66"/>
      <c r="J625" s="66"/>
      <c r="K625" s="66"/>
      <c r="L625" s="66"/>
      <c r="M625" s="66"/>
      <c r="N625" s="66"/>
      <c r="O625" s="66"/>
      <c r="P625" s="66"/>
      <c r="Q625" s="23"/>
      <c r="AB625" s="23"/>
      <c r="AC625" s="23"/>
      <c r="AD625" s="23"/>
      <c r="AE625" s="7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71"/>
      <c r="AV625" s="10"/>
      <c r="AW625" s="23"/>
      <c r="BB625" s="66"/>
      <c r="BC625" s="66"/>
      <c r="BD625" s="66"/>
      <c r="BE625" s="66"/>
      <c r="BF625" s="66"/>
      <c r="BG625" s="66"/>
      <c r="BH625" s="66"/>
      <c r="BI625" s="66"/>
      <c r="BJ625" s="66"/>
      <c r="BK625" s="66"/>
      <c r="BL625" s="66"/>
      <c r="BM625" s="66"/>
      <c r="BN625" s="66"/>
      <c r="BO625" s="66"/>
      <c r="BP625" s="66"/>
      <c r="BQ625" s="66"/>
      <c r="BR625" s="66"/>
      <c r="BS625" s="66"/>
      <c r="BT625" s="66"/>
      <c r="BU625" s="66"/>
      <c r="BV625" s="66"/>
      <c r="BW625" s="66"/>
    </row>
    <row r="626" spans="1:75" ht="15.75" customHeight="1">
      <c r="A626" s="65"/>
      <c r="B626" s="66"/>
      <c r="C626" s="66"/>
      <c r="D626" s="66"/>
      <c r="E626" s="66"/>
      <c r="F626" s="65"/>
      <c r="G626" s="65"/>
      <c r="H626" s="66"/>
      <c r="I626" s="66"/>
      <c r="J626" s="66"/>
      <c r="K626" s="66"/>
      <c r="L626" s="66"/>
      <c r="M626" s="66"/>
      <c r="N626" s="66"/>
      <c r="O626" s="66"/>
      <c r="P626" s="66"/>
      <c r="Q626" s="23"/>
      <c r="AB626" s="23"/>
      <c r="AC626" s="23"/>
      <c r="AD626" s="23"/>
      <c r="AE626" s="7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71"/>
      <c r="AV626" s="10"/>
      <c r="AW626" s="23"/>
      <c r="BB626" s="66"/>
      <c r="BC626" s="66"/>
      <c r="BD626" s="66"/>
      <c r="BE626" s="66"/>
      <c r="BF626" s="66"/>
      <c r="BG626" s="66"/>
      <c r="BH626" s="66"/>
      <c r="BI626" s="66"/>
      <c r="BJ626" s="66"/>
      <c r="BK626" s="66"/>
      <c r="BL626" s="66"/>
      <c r="BM626" s="66"/>
      <c r="BN626" s="66"/>
      <c r="BO626" s="66"/>
      <c r="BP626" s="66"/>
      <c r="BQ626" s="66"/>
      <c r="BR626" s="66"/>
      <c r="BS626" s="66"/>
      <c r="BT626" s="66"/>
      <c r="BU626" s="66"/>
      <c r="BV626" s="66"/>
      <c r="BW626" s="66"/>
    </row>
    <row r="627" spans="1:75" ht="15.75" customHeight="1">
      <c r="A627" s="65"/>
      <c r="B627" s="66"/>
      <c r="C627" s="66"/>
      <c r="D627" s="66"/>
      <c r="E627" s="66"/>
      <c r="F627" s="65"/>
      <c r="G627" s="65"/>
      <c r="H627" s="66"/>
      <c r="I627" s="66"/>
      <c r="J627" s="66"/>
      <c r="K627" s="66"/>
      <c r="L627" s="66"/>
      <c r="M627" s="66"/>
      <c r="N627" s="66"/>
      <c r="O627" s="66"/>
      <c r="P627" s="66"/>
      <c r="Q627" s="23"/>
      <c r="AB627" s="23"/>
      <c r="AC627" s="23"/>
      <c r="AD627" s="23"/>
      <c r="AE627" s="7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71"/>
      <c r="AV627" s="10"/>
      <c r="AW627" s="23"/>
      <c r="BB627" s="66"/>
      <c r="BC627" s="66"/>
      <c r="BD627" s="66"/>
      <c r="BE627" s="66"/>
      <c r="BF627" s="66"/>
      <c r="BG627" s="66"/>
      <c r="BH627" s="66"/>
      <c r="BI627" s="66"/>
      <c r="BJ627" s="66"/>
      <c r="BK627" s="66"/>
      <c r="BL627" s="66"/>
      <c r="BM627" s="66"/>
      <c r="BN627" s="66"/>
      <c r="BO627" s="66"/>
      <c r="BP627" s="66"/>
      <c r="BQ627" s="66"/>
      <c r="BR627" s="66"/>
      <c r="BS627" s="66"/>
      <c r="BT627" s="66"/>
      <c r="BU627" s="66"/>
      <c r="BV627" s="66"/>
      <c r="BW627" s="66"/>
    </row>
    <row r="628" spans="1:75" ht="15.75" customHeight="1">
      <c r="A628" s="65"/>
      <c r="B628" s="66"/>
      <c r="C628" s="66"/>
      <c r="D628" s="66"/>
      <c r="E628" s="66"/>
      <c r="F628" s="65"/>
      <c r="G628" s="65"/>
      <c r="H628" s="66"/>
      <c r="I628" s="66"/>
      <c r="J628" s="66"/>
      <c r="K628" s="66"/>
      <c r="L628" s="66"/>
      <c r="M628" s="66"/>
      <c r="N628" s="66"/>
      <c r="O628" s="66"/>
      <c r="P628" s="66"/>
      <c r="Q628" s="23"/>
      <c r="AB628" s="23"/>
      <c r="AC628" s="23"/>
      <c r="AD628" s="23"/>
      <c r="AE628" s="7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71"/>
      <c r="AV628" s="10"/>
      <c r="AW628" s="23"/>
      <c r="BB628" s="66"/>
      <c r="BC628" s="66"/>
      <c r="BD628" s="66"/>
      <c r="BE628" s="66"/>
      <c r="BF628" s="66"/>
      <c r="BG628" s="66"/>
      <c r="BH628" s="66"/>
      <c r="BI628" s="66"/>
      <c r="BJ628" s="66"/>
      <c r="BK628" s="66"/>
      <c r="BL628" s="66"/>
      <c r="BM628" s="66"/>
      <c r="BN628" s="66"/>
      <c r="BO628" s="66"/>
      <c r="BP628" s="66"/>
      <c r="BQ628" s="66"/>
      <c r="BR628" s="66"/>
      <c r="BS628" s="66"/>
      <c r="BT628" s="66"/>
      <c r="BU628" s="66"/>
      <c r="BV628" s="66"/>
      <c r="BW628" s="66"/>
    </row>
    <row r="629" spans="1:75" ht="15.75" customHeight="1">
      <c r="A629" s="65"/>
      <c r="B629" s="66"/>
      <c r="C629" s="66"/>
      <c r="D629" s="66"/>
      <c r="E629" s="66"/>
      <c r="F629" s="65"/>
      <c r="G629" s="65"/>
      <c r="H629" s="66"/>
      <c r="I629" s="66"/>
      <c r="J629" s="66"/>
      <c r="K629" s="66"/>
      <c r="L629" s="66"/>
      <c r="M629" s="66"/>
      <c r="N629" s="66"/>
      <c r="O629" s="66"/>
      <c r="P629" s="66"/>
      <c r="Q629" s="23"/>
      <c r="AB629" s="23"/>
      <c r="AC629" s="23"/>
      <c r="AD629" s="23"/>
      <c r="AE629" s="7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71"/>
      <c r="AV629" s="10"/>
      <c r="AW629" s="23"/>
      <c r="BB629" s="66"/>
      <c r="BC629" s="66"/>
      <c r="BD629" s="66"/>
      <c r="BE629" s="66"/>
      <c r="BF629" s="66"/>
      <c r="BG629" s="66"/>
      <c r="BH629" s="66"/>
      <c r="BI629" s="66"/>
      <c r="BJ629" s="66"/>
      <c r="BK629" s="66"/>
      <c r="BL629" s="66"/>
      <c r="BM629" s="66"/>
      <c r="BN629" s="66"/>
      <c r="BO629" s="66"/>
      <c r="BP629" s="66"/>
      <c r="BQ629" s="66"/>
      <c r="BR629" s="66"/>
      <c r="BS629" s="66"/>
      <c r="BT629" s="66"/>
      <c r="BU629" s="66"/>
      <c r="BV629" s="66"/>
      <c r="BW629" s="66"/>
    </row>
    <row r="630" spans="1:75" ht="15.75" customHeight="1">
      <c r="A630" s="65"/>
      <c r="B630" s="66"/>
      <c r="C630" s="66"/>
      <c r="D630" s="66"/>
      <c r="E630" s="66"/>
      <c r="F630" s="65"/>
      <c r="G630" s="65"/>
      <c r="H630" s="66"/>
      <c r="I630" s="66"/>
      <c r="J630" s="66"/>
      <c r="K630" s="66"/>
      <c r="L630" s="66"/>
      <c r="M630" s="66"/>
      <c r="N630" s="66"/>
      <c r="O630" s="66"/>
      <c r="P630" s="66"/>
      <c r="Q630" s="23"/>
      <c r="AB630" s="23"/>
      <c r="AC630" s="23"/>
      <c r="AD630" s="23"/>
      <c r="AE630" s="7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71"/>
      <c r="AV630" s="10"/>
      <c r="AW630" s="23"/>
      <c r="BB630" s="66"/>
      <c r="BC630" s="66"/>
      <c r="BD630" s="66"/>
      <c r="BE630" s="66"/>
      <c r="BF630" s="66"/>
      <c r="BG630" s="66"/>
      <c r="BH630" s="66"/>
      <c r="BI630" s="66"/>
      <c r="BJ630" s="66"/>
      <c r="BK630" s="66"/>
      <c r="BL630" s="66"/>
      <c r="BM630" s="66"/>
      <c r="BN630" s="66"/>
      <c r="BO630" s="66"/>
      <c r="BP630" s="66"/>
      <c r="BQ630" s="66"/>
      <c r="BR630" s="66"/>
      <c r="BS630" s="66"/>
      <c r="BT630" s="66"/>
      <c r="BU630" s="66"/>
      <c r="BV630" s="66"/>
      <c r="BW630" s="66"/>
    </row>
    <row r="631" spans="1:75" ht="15.75" customHeight="1">
      <c r="A631" s="65"/>
      <c r="B631" s="66"/>
      <c r="C631" s="66"/>
      <c r="D631" s="66"/>
      <c r="E631" s="66"/>
      <c r="F631" s="65"/>
      <c r="G631" s="65"/>
      <c r="H631" s="66"/>
      <c r="I631" s="66"/>
      <c r="J631" s="66"/>
      <c r="K631" s="66"/>
      <c r="L631" s="66"/>
      <c r="M631" s="66"/>
      <c r="N631" s="66"/>
      <c r="O631" s="66"/>
      <c r="P631" s="66"/>
      <c r="Q631" s="23"/>
      <c r="AB631" s="23"/>
      <c r="AC631" s="23"/>
      <c r="AD631" s="23"/>
      <c r="AE631" s="7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71"/>
      <c r="AV631" s="10"/>
      <c r="AW631" s="23"/>
      <c r="BB631" s="66"/>
      <c r="BC631" s="66"/>
      <c r="BD631" s="66"/>
      <c r="BE631" s="66"/>
      <c r="BF631" s="66"/>
      <c r="BG631" s="66"/>
      <c r="BH631" s="66"/>
      <c r="BI631" s="66"/>
      <c r="BJ631" s="66"/>
      <c r="BK631" s="66"/>
      <c r="BL631" s="66"/>
      <c r="BM631" s="66"/>
      <c r="BN631" s="66"/>
      <c r="BO631" s="66"/>
      <c r="BP631" s="66"/>
      <c r="BQ631" s="66"/>
      <c r="BR631" s="66"/>
      <c r="BS631" s="66"/>
      <c r="BT631" s="66"/>
      <c r="BU631" s="66"/>
      <c r="BV631" s="66"/>
      <c r="BW631" s="66"/>
    </row>
    <row r="632" spans="1:75" ht="15.75" customHeight="1">
      <c r="A632" s="65"/>
      <c r="B632" s="66"/>
      <c r="C632" s="66"/>
      <c r="D632" s="66"/>
      <c r="E632" s="66"/>
      <c r="F632" s="65"/>
      <c r="G632" s="65"/>
      <c r="H632" s="66"/>
      <c r="I632" s="66"/>
      <c r="J632" s="66"/>
      <c r="K632" s="66"/>
      <c r="L632" s="66"/>
      <c r="M632" s="66"/>
      <c r="N632" s="66"/>
      <c r="O632" s="66"/>
      <c r="P632" s="66"/>
      <c r="Q632" s="23"/>
      <c r="AB632" s="23"/>
      <c r="AC632" s="23"/>
      <c r="AD632" s="23"/>
      <c r="AE632" s="7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71"/>
      <c r="AV632" s="10"/>
      <c r="AW632" s="23"/>
      <c r="BB632" s="66"/>
      <c r="BC632" s="66"/>
      <c r="BD632" s="66"/>
      <c r="BE632" s="66"/>
      <c r="BF632" s="66"/>
      <c r="BG632" s="66"/>
      <c r="BH632" s="66"/>
      <c r="BI632" s="66"/>
      <c r="BJ632" s="66"/>
      <c r="BK632" s="66"/>
      <c r="BL632" s="66"/>
      <c r="BM632" s="66"/>
      <c r="BN632" s="66"/>
      <c r="BO632" s="66"/>
      <c r="BP632" s="66"/>
      <c r="BQ632" s="66"/>
      <c r="BR632" s="66"/>
      <c r="BS632" s="66"/>
      <c r="BT632" s="66"/>
      <c r="BU632" s="66"/>
      <c r="BV632" s="66"/>
      <c r="BW632" s="66"/>
    </row>
    <row r="633" spans="1:75" ht="15.75" customHeight="1">
      <c r="A633" s="65"/>
      <c r="B633" s="66"/>
      <c r="C633" s="66"/>
      <c r="D633" s="66"/>
      <c r="E633" s="66"/>
      <c r="F633" s="65"/>
      <c r="G633" s="65"/>
      <c r="H633" s="66"/>
      <c r="I633" s="66"/>
      <c r="J633" s="66"/>
      <c r="K633" s="66"/>
      <c r="L633" s="66"/>
      <c r="M633" s="66"/>
      <c r="N633" s="66"/>
      <c r="O633" s="66"/>
      <c r="P633" s="66"/>
      <c r="Q633" s="23"/>
      <c r="AB633" s="23"/>
      <c r="AC633" s="23"/>
      <c r="AD633" s="23"/>
      <c r="AE633" s="7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71"/>
      <c r="AV633" s="10"/>
      <c r="AW633" s="23"/>
      <c r="BB633" s="66"/>
      <c r="BC633" s="66"/>
      <c r="BD633" s="66"/>
      <c r="BE633" s="66"/>
      <c r="BF633" s="66"/>
      <c r="BG633" s="66"/>
      <c r="BH633" s="66"/>
      <c r="BI633" s="66"/>
      <c r="BJ633" s="66"/>
      <c r="BK633" s="66"/>
      <c r="BL633" s="66"/>
      <c r="BM633" s="66"/>
      <c r="BN633" s="66"/>
      <c r="BO633" s="66"/>
      <c r="BP633" s="66"/>
      <c r="BQ633" s="66"/>
      <c r="BR633" s="66"/>
      <c r="BS633" s="66"/>
      <c r="BT633" s="66"/>
      <c r="BU633" s="66"/>
      <c r="BV633" s="66"/>
      <c r="BW633" s="66"/>
    </row>
    <row r="634" spans="1:75" ht="15.75" customHeight="1">
      <c r="A634" s="65"/>
      <c r="B634" s="66"/>
      <c r="C634" s="66"/>
      <c r="D634" s="66"/>
      <c r="E634" s="66"/>
      <c r="F634" s="65"/>
      <c r="G634" s="65"/>
      <c r="H634" s="66"/>
      <c r="I634" s="66"/>
      <c r="J634" s="66"/>
      <c r="K634" s="66"/>
      <c r="L634" s="66"/>
      <c r="M634" s="66"/>
      <c r="N634" s="66"/>
      <c r="O634" s="66"/>
      <c r="P634" s="66"/>
      <c r="Q634" s="23"/>
      <c r="AB634" s="23"/>
      <c r="AC634" s="23"/>
      <c r="AD634" s="23"/>
      <c r="AE634" s="7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71"/>
      <c r="AV634" s="10"/>
      <c r="AW634" s="23"/>
      <c r="BB634" s="66"/>
      <c r="BC634" s="66"/>
      <c r="BD634" s="66"/>
      <c r="BE634" s="66"/>
      <c r="BF634" s="66"/>
      <c r="BG634" s="66"/>
      <c r="BH634" s="66"/>
      <c r="BI634" s="66"/>
      <c r="BJ634" s="66"/>
      <c r="BK634" s="66"/>
      <c r="BL634" s="66"/>
      <c r="BM634" s="66"/>
      <c r="BN634" s="66"/>
      <c r="BO634" s="66"/>
      <c r="BP634" s="66"/>
      <c r="BQ634" s="66"/>
      <c r="BR634" s="66"/>
      <c r="BS634" s="66"/>
      <c r="BT634" s="66"/>
      <c r="BU634" s="66"/>
      <c r="BV634" s="66"/>
      <c r="BW634" s="66"/>
    </row>
    <row r="635" spans="1:75" ht="15.75" customHeight="1">
      <c r="A635" s="65"/>
      <c r="B635" s="66"/>
      <c r="C635" s="66"/>
      <c r="D635" s="66"/>
      <c r="E635" s="66"/>
      <c r="F635" s="65"/>
      <c r="G635" s="65"/>
      <c r="H635" s="66"/>
      <c r="I635" s="66"/>
      <c r="J635" s="66"/>
      <c r="K635" s="66"/>
      <c r="L635" s="66"/>
      <c r="M635" s="66"/>
      <c r="N635" s="66"/>
      <c r="O635" s="66"/>
      <c r="P635" s="66"/>
      <c r="Q635" s="23"/>
      <c r="AB635" s="23"/>
      <c r="AC635" s="23"/>
      <c r="AD635" s="23"/>
      <c r="AE635" s="7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71"/>
      <c r="AV635" s="10"/>
      <c r="AW635" s="23"/>
      <c r="BB635" s="66"/>
      <c r="BC635" s="66"/>
      <c r="BD635" s="66"/>
      <c r="BE635" s="66"/>
      <c r="BF635" s="66"/>
      <c r="BG635" s="66"/>
      <c r="BH635" s="66"/>
      <c r="BI635" s="66"/>
      <c r="BJ635" s="66"/>
      <c r="BK635" s="66"/>
      <c r="BL635" s="66"/>
      <c r="BM635" s="66"/>
      <c r="BN635" s="66"/>
      <c r="BO635" s="66"/>
      <c r="BP635" s="66"/>
      <c r="BQ635" s="66"/>
      <c r="BR635" s="66"/>
      <c r="BS635" s="66"/>
      <c r="BT635" s="66"/>
      <c r="BU635" s="66"/>
      <c r="BV635" s="66"/>
      <c r="BW635" s="66"/>
    </row>
    <row r="636" spans="1:75" ht="15.75" customHeight="1">
      <c r="A636" s="65"/>
      <c r="B636" s="66"/>
      <c r="C636" s="66"/>
      <c r="D636" s="66"/>
      <c r="E636" s="66"/>
      <c r="F636" s="65"/>
      <c r="G636" s="65"/>
      <c r="H636" s="66"/>
      <c r="I636" s="66"/>
      <c r="J636" s="66"/>
      <c r="K636" s="66"/>
      <c r="L636" s="66"/>
      <c r="M636" s="66"/>
      <c r="N636" s="66"/>
      <c r="O636" s="66"/>
      <c r="P636" s="66"/>
      <c r="Q636" s="23"/>
      <c r="AB636" s="23"/>
      <c r="AC636" s="23"/>
      <c r="AD636" s="23"/>
      <c r="AE636" s="7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71"/>
      <c r="AV636" s="10"/>
      <c r="AW636" s="23"/>
      <c r="BB636" s="66"/>
      <c r="BC636" s="66"/>
      <c r="BD636" s="66"/>
      <c r="BE636" s="66"/>
      <c r="BF636" s="66"/>
      <c r="BG636" s="66"/>
      <c r="BH636" s="66"/>
      <c r="BI636" s="66"/>
      <c r="BJ636" s="66"/>
      <c r="BK636" s="66"/>
      <c r="BL636" s="66"/>
      <c r="BM636" s="66"/>
      <c r="BN636" s="66"/>
      <c r="BO636" s="66"/>
      <c r="BP636" s="66"/>
      <c r="BQ636" s="66"/>
      <c r="BR636" s="66"/>
      <c r="BS636" s="66"/>
      <c r="BT636" s="66"/>
      <c r="BU636" s="66"/>
      <c r="BV636" s="66"/>
      <c r="BW636" s="66"/>
    </row>
    <row r="637" spans="1:75" ht="15.75" customHeight="1">
      <c r="A637" s="65"/>
      <c r="B637" s="66"/>
      <c r="C637" s="66"/>
      <c r="D637" s="66"/>
      <c r="E637" s="66"/>
      <c r="F637" s="65"/>
      <c r="G637" s="65"/>
      <c r="H637" s="66"/>
      <c r="I637" s="66"/>
      <c r="J637" s="66"/>
      <c r="K637" s="66"/>
      <c r="L637" s="66"/>
      <c r="M637" s="66"/>
      <c r="N637" s="66"/>
      <c r="O637" s="66"/>
      <c r="P637" s="66"/>
      <c r="Q637" s="23"/>
      <c r="AB637" s="23"/>
      <c r="AC637" s="23"/>
      <c r="AD637" s="23"/>
      <c r="AE637" s="7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71"/>
      <c r="AV637" s="10"/>
      <c r="AW637" s="23"/>
      <c r="BB637" s="66"/>
      <c r="BC637" s="66"/>
      <c r="BD637" s="66"/>
      <c r="BE637" s="66"/>
      <c r="BF637" s="66"/>
      <c r="BG637" s="66"/>
      <c r="BH637" s="66"/>
      <c r="BI637" s="66"/>
      <c r="BJ637" s="66"/>
      <c r="BK637" s="66"/>
      <c r="BL637" s="66"/>
      <c r="BM637" s="66"/>
      <c r="BN637" s="66"/>
      <c r="BO637" s="66"/>
      <c r="BP637" s="66"/>
      <c r="BQ637" s="66"/>
      <c r="BR637" s="66"/>
      <c r="BS637" s="66"/>
      <c r="BT637" s="66"/>
      <c r="BU637" s="66"/>
      <c r="BV637" s="66"/>
      <c r="BW637" s="66"/>
    </row>
    <row r="638" spans="1:75" ht="15.75" customHeight="1">
      <c r="A638" s="65"/>
      <c r="B638" s="66"/>
      <c r="C638" s="66"/>
      <c r="D638" s="66"/>
      <c r="E638" s="66"/>
      <c r="F638" s="65"/>
      <c r="G638" s="65"/>
      <c r="H638" s="66"/>
      <c r="I638" s="66"/>
      <c r="J638" s="66"/>
      <c r="K638" s="66"/>
      <c r="L638" s="66"/>
      <c r="M638" s="66"/>
      <c r="N638" s="66"/>
      <c r="O638" s="66"/>
      <c r="P638" s="66"/>
      <c r="Q638" s="23"/>
      <c r="AB638" s="23"/>
      <c r="AC638" s="23"/>
      <c r="AD638" s="23"/>
      <c r="AE638" s="7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71"/>
      <c r="AV638" s="10"/>
      <c r="AW638" s="23"/>
      <c r="BB638" s="66"/>
      <c r="BC638" s="66"/>
      <c r="BD638" s="66"/>
      <c r="BE638" s="66"/>
      <c r="BF638" s="66"/>
      <c r="BG638" s="66"/>
      <c r="BH638" s="66"/>
      <c r="BI638" s="66"/>
      <c r="BJ638" s="66"/>
      <c r="BK638" s="66"/>
      <c r="BL638" s="66"/>
      <c r="BM638" s="66"/>
      <c r="BN638" s="66"/>
      <c r="BO638" s="66"/>
      <c r="BP638" s="66"/>
      <c r="BQ638" s="66"/>
      <c r="BR638" s="66"/>
      <c r="BS638" s="66"/>
      <c r="BT638" s="66"/>
      <c r="BU638" s="66"/>
      <c r="BV638" s="66"/>
      <c r="BW638" s="66"/>
    </row>
    <row r="639" spans="1:75" ht="15.75" customHeight="1">
      <c r="A639" s="65"/>
      <c r="B639" s="66"/>
      <c r="C639" s="66"/>
      <c r="D639" s="66"/>
      <c r="E639" s="66"/>
      <c r="F639" s="65"/>
      <c r="G639" s="65"/>
      <c r="H639" s="66"/>
      <c r="I639" s="66"/>
      <c r="J639" s="66"/>
      <c r="K639" s="66"/>
      <c r="L639" s="66"/>
      <c r="M639" s="66"/>
      <c r="N639" s="66"/>
      <c r="O639" s="66"/>
      <c r="P639" s="66"/>
      <c r="Q639" s="23"/>
      <c r="AB639" s="23"/>
      <c r="AC639" s="23"/>
      <c r="AD639" s="23"/>
      <c r="AE639" s="7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71"/>
      <c r="AV639" s="10"/>
      <c r="AW639" s="23"/>
      <c r="BB639" s="66"/>
      <c r="BC639" s="66"/>
      <c r="BD639" s="66"/>
      <c r="BE639" s="66"/>
      <c r="BF639" s="66"/>
      <c r="BG639" s="66"/>
      <c r="BH639" s="66"/>
      <c r="BI639" s="66"/>
      <c r="BJ639" s="66"/>
      <c r="BK639" s="66"/>
      <c r="BL639" s="66"/>
      <c r="BM639" s="66"/>
      <c r="BN639" s="66"/>
      <c r="BO639" s="66"/>
      <c r="BP639" s="66"/>
      <c r="BQ639" s="66"/>
      <c r="BR639" s="66"/>
      <c r="BS639" s="66"/>
      <c r="BT639" s="66"/>
      <c r="BU639" s="66"/>
      <c r="BV639" s="66"/>
      <c r="BW639" s="66"/>
    </row>
    <row r="640" spans="1:75" ht="15.75" customHeight="1">
      <c r="A640" s="65"/>
      <c r="B640" s="66"/>
      <c r="C640" s="66"/>
      <c r="D640" s="66"/>
      <c r="E640" s="66"/>
      <c r="F640" s="65"/>
      <c r="G640" s="65"/>
      <c r="H640" s="66"/>
      <c r="I640" s="66"/>
      <c r="J640" s="66"/>
      <c r="K640" s="66"/>
      <c r="L640" s="66"/>
      <c r="M640" s="66"/>
      <c r="N640" s="66"/>
      <c r="O640" s="66"/>
      <c r="P640" s="66"/>
      <c r="Q640" s="23"/>
      <c r="AB640" s="23"/>
      <c r="AC640" s="23"/>
      <c r="AD640" s="23"/>
      <c r="AE640" s="7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71"/>
      <c r="AV640" s="10"/>
      <c r="AW640" s="23"/>
      <c r="BB640" s="66"/>
      <c r="BC640" s="66"/>
      <c r="BD640" s="66"/>
      <c r="BE640" s="66"/>
      <c r="BF640" s="66"/>
      <c r="BG640" s="66"/>
      <c r="BH640" s="66"/>
      <c r="BI640" s="66"/>
      <c r="BJ640" s="66"/>
      <c r="BK640" s="66"/>
      <c r="BL640" s="66"/>
      <c r="BM640" s="66"/>
      <c r="BN640" s="66"/>
      <c r="BO640" s="66"/>
      <c r="BP640" s="66"/>
      <c r="BQ640" s="66"/>
      <c r="BR640" s="66"/>
      <c r="BS640" s="66"/>
      <c r="BT640" s="66"/>
      <c r="BU640" s="66"/>
      <c r="BV640" s="66"/>
      <c r="BW640" s="66"/>
    </row>
    <row r="641" spans="1:75" ht="15.75" customHeight="1">
      <c r="A641" s="65"/>
      <c r="B641" s="66"/>
      <c r="C641" s="66"/>
      <c r="D641" s="66"/>
      <c r="E641" s="66"/>
      <c r="F641" s="65"/>
      <c r="G641" s="65"/>
      <c r="H641" s="66"/>
      <c r="I641" s="66"/>
      <c r="J641" s="66"/>
      <c r="K641" s="66"/>
      <c r="L641" s="66"/>
      <c r="M641" s="66"/>
      <c r="N641" s="66"/>
      <c r="O641" s="66"/>
      <c r="P641" s="66"/>
      <c r="Q641" s="23"/>
      <c r="AB641" s="23"/>
      <c r="AC641" s="23"/>
      <c r="AD641" s="23"/>
      <c r="AE641" s="7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71"/>
      <c r="AV641" s="10"/>
      <c r="AW641" s="23"/>
      <c r="BB641" s="66"/>
      <c r="BC641" s="66"/>
      <c r="BD641" s="66"/>
      <c r="BE641" s="66"/>
      <c r="BF641" s="66"/>
      <c r="BG641" s="66"/>
      <c r="BH641" s="66"/>
      <c r="BI641" s="66"/>
      <c r="BJ641" s="66"/>
      <c r="BK641" s="66"/>
      <c r="BL641" s="66"/>
      <c r="BM641" s="66"/>
      <c r="BN641" s="66"/>
      <c r="BO641" s="66"/>
      <c r="BP641" s="66"/>
      <c r="BQ641" s="66"/>
      <c r="BR641" s="66"/>
      <c r="BS641" s="66"/>
      <c r="BT641" s="66"/>
      <c r="BU641" s="66"/>
      <c r="BV641" s="66"/>
      <c r="BW641" s="66"/>
    </row>
    <row r="642" spans="1:75" ht="15.75" customHeight="1">
      <c r="A642" s="65"/>
      <c r="B642" s="66"/>
      <c r="C642" s="66"/>
      <c r="D642" s="66"/>
      <c r="E642" s="66"/>
      <c r="F642" s="65"/>
      <c r="G642" s="65"/>
      <c r="H642" s="66"/>
      <c r="I642" s="66"/>
      <c r="J642" s="66"/>
      <c r="K642" s="66"/>
      <c r="L642" s="66"/>
      <c r="M642" s="66"/>
      <c r="N642" s="66"/>
      <c r="O642" s="66"/>
      <c r="P642" s="66"/>
      <c r="Q642" s="23"/>
      <c r="AB642" s="23"/>
      <c r="AC642" s="23"/>
      <c r="AD642" s="23"/>
      <c r="AE642" s="7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71"/>
      <c r="AV642" s="10"/>
      <c r="AW642" s="23"/>
      <c r="BB642" s="66"/>
      <c r="BC642" s="66"/>
      <c r="BD642" s="66"/>
      <c r="BE642" s="66"/>
      <c r="BF642" s="66"/>
      <c r="BG642" s="66"/>
      <c r="BH642" s="66"/>
      <c r="BI642" s="66"/>
      <c r="BJ642" s="66"/>
      <c r="BK642" s="66"/>
      <c r="BL642" s="66"/>
      <c r="BM642" s="66"/>
      <c r="BN642" s="66"/>
      <c r="BO642" s="66"/>
      <c r="BP642" s="66"/>
      <c r="BQ642" s="66"/>
      <c r="BR642" s="66"/>
      <c r="BS642" s="66"/>
      <c r="BT642" s="66"/>
      <c r="BU642" s="66"/>
      <c r="BV642" s="66"/>
      <c r="BW642" s="66"/>
    </row>
    <row r="643" spans="1:75" ht="15.75" customHeight="1">
      <c r="A643" s="65"/>
      <c r="B643" s="66"/>
      <c r="C643" s="66"/>
      <c r="D643" s="66"/>
      <c r="E643" s="66"/>
      <c r="F643" s="65"/>
      <c r="G643" s="65"/>
      <c r="H643" s="66"/>
      <c r="I643" s="66"/>
      <c r="J643" s="66"/>
      <c r="K643" s="66"/>
      <c r="L643" s="66"/>
      <c r="M643" s="66"/>
      <c r="N643" s="66"/>
      <c r="O643" s="66"/>
      <c r="P643" s="66"/>
      <c r="Q643" s="23"/>
      <c r="AB643" s="23"/>
      <c r="AC643" s="23"/>
      <c r="AD643" s="23"/>
      <c r="AE643" s="7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71"/>
      <c r="AV643" s="10"/>
      <c r="AW643" s="23"/>
      <c r="BB643" s="66"/>
      <c r="BC643" s="66"/>
      <c r="BD643" s="66"/>
      <c r="BE643" s="66"/>
      <c r="BF643" s="66"/>
      <c r="BG643" s="66"/>
      <c r="BH643" s="66"/>
      <c r="BI643" s="66"/>
      <c r="BJ643" s="66"/>
      <c r="BK643" s="66"/>
      <c r="BL643" s="66"/>
      <c r="BM643" s="66"/>
      <c r="BN643" s="66"/>
      <c r="BO643" s="66"/>
      <c r="BP643" s="66"/>
      <c r="BQ643" s="66"/>
      <c r="BR643" s="66"/>
      <c r="BS643" s="66"/>
      <c r="BT643" s="66"/>
      <c r="BU643" s="66"/>
      <c r="BV643" s="66"/>
      <c r="BW643" s="66"/>
    </row>
    <row r="644" spans="1:75" ht="15.75" customHeight="1">
      <c r="A644" s="65"/>
      <c r="B644" s="66"/>
      <c r="C644" s="66"/>
      <c r="D644" s="66"/>
      <c r="E644" s="66"/>
      <c r="F644" s="65"/>
      <c r="G644" s="65"/>
      <c r="H644" s="66"/>
      <c r="I644" s="66"/>
      <c r="J644" s="66"/>
      <c r="K644" s="66"/>
      <c r="L644" s="66"/>
      <c r="M644" s="66"/>
      <c r="N644" s="66"/>
      <c r="O644" s="66"/>
      <c r="P644" s="66"/>
      <c r="Q644" s="23"/>
      <c r="AB644" s="23"/>
      <c r="AC644" s="23"/>
      <c r="AD644" s="23"/>
      <c r="AE644" s="7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71"/>
      <c r="AV644" s="10"/>
      <c r="AW644" s="23"/>
      <c r="BB644" s="66"/>
      <c r="BC644" s="66"/>
      <c r="BD644" s="66"/>
      <c r="BE644" s="66"/>
      <c r="BF644" s="66"/>
      <c r="BG644" s="66"/>
      <c r="BH644" s="66"/>
      <c r="BI644" s="66"/>
      <c r="BJ644" s="66"/>
      <c r="BK644" s="66"/>
      <c r="BL644" s="66"/>
      <c r="BM644" s="66"/>
      <c r="BN644" s="66"/>
      <c r="BO644" s="66"/>
      <c r="BP644" s="66"/>
      <c r="BQ644" s="66"/>
      <c r="BR644" s="66"/>
      <c r="BS644" s="66"/>
      <c r="BT644" s="66"/>
      <c r="BU644" s="66"/>
      <c r="BV644" s="66"/>
      <c r="BW644" s="66"/>
    </row>
    <row r="645" spans="1:75" ht="15.75" customHeight="1">
      <c r="A645" s="65"/>
      <c r="B645" s="66"/>
      <c r="C645" s="66"/>
      <c r="D645" s="66"/>
      <c r="E645" s="66"/>
      <c r="F645" s="65"/>
      <c r="G645" s="65"/>
      <c r="H645" s="66"/>
      <c r="I645" s="66"/>
      <c r="J645" s="66"/>
      <c r="K645" s="66"/>
      <c r="L645" s="66"/>
      <c r="M645" s="66"/>
      <c r="N645" s="66"/>
      <c r="O645" s="66"/>
      <c r="P645" s="66"/>
      <c r="Q645" s="23"/>
      <c r="AB645" s="23"/>
      <c r="AC645" s="23"/>
      <c r="AD645" s="23"/>
      <c r="AE645" s="7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71"/>
      <c r="AV645" s="10"/>
      <c r="AW645" s="23"/>
      <c r="BB645" s="66"/>
      <c r="BC645" s="66"/>
      <c r="BD645" s="66"/>
      <c r="BE645" s="66"/>
      <c r="BF645" s="66"/>
      <c r="BG645" s="66"/>
      <c r="BH645" s="66"/>
      <c r="BI645" s="66"/>
      <c r="BJ645" s="66"/>
      <c r="BK645" s="66"/>
      <c r="BL645" s="66"/>
      <c r="BM645" s="66"/>
      <c r="BN645" s="66"/>
      <c r="BO645" s="66"/>
      <c r="BP645" s="66"/>
      <c r="BQ645" s="66"/>
      <c r="BR645" s="66"/>
      <c r="BS645" s="66"/>
      <c r="BT645" s="66"/>
      <c r="BU645" s="66"/>
      <c r="BV645" s="66"/>
      <c r="BW645" s="66"/>
    </row>
    <row r="646" spans="1:75" ht="15.75" customHeight="1">
      <c r="A646" s="65"/>
      <c r="B646" s="66"/>
      <c r="C646" s="66"/>
      <c r="D646" s="66"/>
      <c r="E646" s="66"/>
      <c r="F646" s="65"/>
      <c r="G646" s="65"/>
      <c r="H646" s="66"/>
      <c r="I646" s="66"/>
      <c r="J646" s="66"/>
      <c r="K646" s="66"/>
      <c r="L646" s="66"/>
      <c r="M646" s="66"/>
      <c r="N646" s="66"/>
      <c r="O646" s="66"/>
      <c r="P646" s="66"/>
      <c r="Q646" s="23"/>
      <c r="AB646" s="23"/>
      <c r="AC646" s="23"/>
      <c r="AD646" s="23"/>
      <c r="AE646" s="7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71"/>
      <c r="AV646" s="10"/>
      <c r="AW646" s="23"/>
      <c r="BB646" s="66"/>
      <c r="BC646" s="66"/>
      <c r="BD646" s="66"/>
      <c r="BE646" s="66"/>
      <c r="BF646" s="66"/>
      <c r="BG646" s="66"/>
      <c r="BH646" s="66"/>
      <c r="BI646" s="66"/>
      <c r="BJ646" s="66"/>
      <c r="BK646" s="66"/>
      <c r="BL646" s="66"/>
      <c r="BM646" s="66"/>
      <c r="BN646" s="66"/>
      <c r="BO646" s="66"/>
      <c r="BP646" s="66"/>
      <c r="BQ646" s="66"/>
      <c r="BR646" s="66"/>
      <c r="BS646" s="66"/>
      <c r="BT646" s="66"/>
      <c r="BU646" s="66"/>
      <c r="BV646" s="66"/>
      <c r="BW646" s="66"/>
    </row>
    <row r="647" spans="1:75" ht="15.75" customHeight="1">
      <c r="A647" s="65"/>
      <c r="B647" s="66"/>
      <c r="C647" s="66"/>
      <c r="D647" s="66"/>
      <c r="E647" s="66"/>
      <c r="F647" s="65"/>
      <c r="G647" s="65"/>
      <c r="H647" s="66"/>
      <c r="I647" s="66"/>
      <c r="J647" s="66"/>
      <c r="K647" s="66"/>
      <c r="L647" s="66"/>
      <c r="M647" s="66"/>
      <c r="N647" s="66"/>
      <c r="O647" s="66"/>
      <c r="P647" s="66"/>
      <c r="Q647" s="23"/>
      <c r="AB647" s="23"/>
      <c r="AC647" s="23"/>
      <c r="AD647" s="23"/>
      <c r="AE647" s="7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71"/>
      <c r="AV647" s="10"/>
      <c r="AW647" s="23"/>
      <c r="BB647" s="66"/>
      <c r="BC647" s="66"/>
      <c r="BD647" s="66"/>
      <c r="BE647" s="66"/>
      <c r="BF647" s="66"/>
      <c r="BG647" s="66"/>
      <c r="BH647" s="66"/>
      <c r="BI647" s="66"/>
      <c r="BJ647" s="66"/>
      <c r="BK647" s="66"/>
      <c r="BL647" s="66"/>
      <c r="BM647" s="66"/>
      <c r="BN647" s="66"/>
      <c r="BO647" s="66"/>
      <c r="BP647" s="66"/>
      <c r="BQ647" s="66"/>
      <c r="BR647" s="66"/>
      <c r="BS647" s="66"/>
      <c r="BT647" s="66"/>
      <c r="BU647" s="66"/>
      <c r="BV647" s="66"/>
      <c r="BW647" s="66"/>
    </row>
    <row r="648" spans="1:75" ht="15.75" customHeight="1">
      <c r="A648" s="65"/>
      <c r="B648" s="66"/>
      <c r="C648" s="66"/>
      <c r="D648" s="66"/>
      <c r="E648" s="66"/>
      <c r="F648" s="65"/>
      <c r="G648" s="65"/>
      <c r="H648" s="66"/>
      <c r="I648" s="66"/>
      <c r="J648" s="66"/>
      <c r="K648" s="66"/>
      <c r="L648" s="66"/>
      <c r="M648" s="66"/>
      <c r="N648" s="66"/>
      <c r="O648" s="66"/>
      <c r="P648" s="66"/>
      <c r="Q648" s="23"/>
      <c r="AB648" s="23"/>
      <c r="AC648" s="23"/>
      <c r="AD648" s="23"/>
      <c r="AE648" s="7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71"/>
      <c r="AV648" s="10"/>
      <c r="AW648" s="23"/>
      <c r="BB648" s="66"/>
      <c r="BC648" s="66"/>
      <c r="BD648" s="66"/>
      <c r="BE648" s="66"/>
      <c r="BF648" s="66"/>
      <c r="BG648" s="66"/>
      <c r="BH648" s="66"/>
      <c r="BI648" s="66"/>
      <c r="BJ648" s="66"/>
      <c r="BK648" s="66"/>
      <c r="BL648" s="66"/>
      <c r="BM648" s="66"/>
      <c r="BN648" s="66"/>
      <c r="BO648" s="66"/>
      <c r="BP648" s="66"/>
      <c r="BQ648" s="66"/>
      <c r="BR648" s="66"/>
      <c r="BS648" s="66"/>
      <c r="BT648" s="66"/>
      <c r="BU648" s="66"/>
      <c r="BV648" s="66"/>
      <c r="BW648" s="66"/>
    </row>
    <row r="649" spans="1:75" ht="15.75" customHeight="1">
      <c r="A649" s="65"/>
      <c r="B649" s="66"/>
      <c r="C649" s="66"/>
      <c r="D649" s="66"/>
      <c r="E649" s="66"/>
      <c r="F649" s="65"/>
      <c r="G649" s="65"/>
      <c r="H649" s="66"/>
      <c r="I649" s="66"/>
      <c r="J649" s="66"/>
      <c r="K649" s="66"/>
      <c r="L649" s="66"/>
      <c r="M649" s="66"/>
      <c r="N649" s="66"/>
      <c r="O649" s="66"/>
      <c r="P649" s="66"/>
      <c r="Q649" s="23"/>
      <c r="AB649" s="23"/>
      <c r="AC649" s="23"/>
      <c r="AD649" s="23"/>
      <c r="AE649" s="7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71"/>
      <c r="AV649" s="10"/>
      <c r="AW649" s="23"/>
      <c r="BB649" s="66"/>
      <c r="BC649" s="66"/>
      <c r="BD649" s="66"/>
      <c r="BE649" s="66"/>
      <c r="BF649" s="66"/>
      <c r="BG649" s="66"/>
      <c r="BH649" s="66"/>
      <c r="BI649" s="66"/>
      <c r="BJ649" s="66"/>
      <c r="BK649" s="66"/>
      <c r="BL649" s="66"/>
      <c r="BM649" s="66"/>
      <c r="BN649" s="66"/>
      <c r="BO649" s="66"/>
      <c r="BP649" s="66"/>
      <c r="BQ649" s="66"/>
      <c r="BR649" s="66"/>
      <c r="BS649" s="66"/>
      <c r="BT649" s="66"/>
      <c r="BU649" s="66"/>
      <c r="BV649" s="66"/>
      <c r="BW649" s="66"/>
    </row>
    <row r="650" spans="1:75" ht="15.75" customHeight="1">
      <c r="A650" s="65"/>
      <c r="B650" s="66"/>
      <c r="C650" s="66"/>
      <c r="D650" s="66"/>
      <c r="E650" s="66"/>
      <c r="F650" s="65"/>
      <c r="G650" s="65"/>
      <c r="H650" s="66"/>
      <c r="I650" s="66"/>
      <c r="J650" s="66"/>
      <c r="K650" s="66"/>
      <c r="L650" s="66"/>
      <c r="M650" s="66"/>
      <c r="N650" s="66"/>
      <c r="O650" s="66"/>
      <c r="P650" s="66"/>
      <c r="Q650" s="23"/>
      <c r="AB650" s="23"/>
      <c r="AC650" s="23"/>
      <c r="AD650" s="23"/>
      <c r="AE650" s="7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71"/>
      <c r="AV650" s="10"/>
      <c r="AW650" s="23"/>
      <c r="BB650" s="66"/>
      <c r="BC650" s="66"/>
      <c r="BD650" s="66"/>
      <c r="BE650" s="66"/>
      <c r="BF650" s="66"/>
      <c r="BG650" s="66"/>
      <c r="BH650" s="66"/>
      <c r="BI650" s="66"/>
      <c r="BJ650" s="66"/>
      <c r="BK650" s="66"/>
      <c r="BL650" s="66"/>
      <c r="BM650" s="66"/>
      <c r="BN650" s="66"/>
      <c r="BO650" s="66"/>
      <c r="BP650" s="66"/>
      <c r="BQ650" s="66"/>
      <c r="BR650" s="66"/>
      <c r="BS650" s="66"/>
      <c r="BT650" s="66"/>
      <c r="BU650" s="66"/>
      <c r="BV650" s="66"/>
      <c r="BW650" s="66"/>
    </row>
    <row r="651" spans="1:75" ht="15.75" customHeight="1">
      <c r="A651" s="65"/>
      <c r="B651" s="66"/>
      <c r="C651" s="66"/>
      <c r="D651" s="66"/>
      <c r="E651" s="66"/>
      <c r="F651" s="65"/>
      <c r="G651" s="65"/>
      <c r="H651" s="66"/>
      <c r="I651" s="66"/>
      <c r="J651" s="66"/>
      <c r="K651" s="66"/>
      <c r="L651" s="66"/>
      <c r="M651" s="66"/>
      <c r="N651" s="66"/>
      <c r="O651" s="66"/>
      <c r="P651" s="66"/>
      <c r="Q651" s="23"/>
      <c r="AB651" s="23"/>
      <c r="AC651" s="23"/>
      <c r="AD651" s="23"/>
      <c r="AE651" s="7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71"/>
      <c r="AV651" s="10"/>
      <c r="AW651" s="23"/>
      <c r="BB651" s="66"/>
      <c r="BC651" s="66"/>
      <c r="BD651" s="66"/>
      <c r="BE651" s="66"/>
      <c r="BF651" s="66"/>
      <c r="BG651" s="66"/>
      <c r="BH651" s="66"/>
      <c r="BI651" s="66"/>
      <c r="BJ651" s="66"/>
      <c r="BK651" s="66"/>
      <c r="BL651" s="66"/>
      <c r="BM651" s="66"/>
      <c r="BN651" s="66"/>
      <c r="BO651" s="66"/>
      <c r="BP651" s="66"/>
      <c r="BQ651" s="66"/>
      <c r="BR651" s="66"/>
      <c r="BS651" s="66"/>
      <c r="BT651" s="66"/>
      <c r="BU651" s="66"/>
      <c r="BV651" s="66"/>
      <c r="BW651" s="66"/>
    </row>
    <row r="652" spans="1:75" ht="15.75" customHeight="1">
      <c r="A652" s="65"/>
      <c r="B652" s="66"/>
      <c r="C652" s="66"/>
      <c r="D652" s="66"/>
      <c r="E652" s="66"/>
      <c r="F652" s="65"/>
      <c r="G652" s="65"/>
      <c r="H652" s="66"/>
      <c r="I652" s="66"/>
      <c r="J652" s="66"/>
      <c r="K652" s="66"/>
      <c r="L652" s="66"/>
      <c r="M652" s="66"/>
      <c r="N652" s="66"/>
      <c r="O652" s="66"/>
      <c r="P652" s="66"/>
      <c r="Q652" s="23"/>
      <c r="AB652" s="23"/>
      <c r="AC652" s="23"/>
      <c r="AD652" s="23"/>
      <c r="AE652" s="7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71"/>
      <c r="AV652" s="10"/>
      <c r="AW652" s="23"/>
      <c r="BB652" s="66"/>
      <c r="BC652" s="66"/>
      <c r="BD652" s="66"/>
      <c r="BE652" s="66"/>
      <c r="BF652" s="66"/>
      <c r="BG652" s="66"/>
      <c r="BH652" s="66"/>
      <c r="BI652" s="66"/>
      <c r="BJ652" s="66"/>
      <c r="BK652" s="66"/>
      <c r="BL652" s="66"/>
      <c r="BM652" s="66"/>
      <c r="BN652" s="66"/>
      <c r="BO652" s="66"/>
      <c r="BP652" s="66"/>
      <c r="BQ652" s="66"/>
      <c r="BR652" s="66"/>
      <c r="BS652" s="66"/>
      <c r="BT652" s="66"/>
      <c r="BU652" s="66"/>
      <c r="BV652" s="66"/>
      <c r="BW652" s="66"/>
    </row>
    <row r="653" spans="1:75" ht="15.75" customHeight="1">
      <c r="A653" s="65"/>
      <c r="B653" s="66"/>
      <c r="C653" s="66"/>
      <c r="D653" s="66"/>
      <c r="E653" s="66"/>
      <c r="F653" s="65"/>
      <c r="G653" s="65"/>
      <c r="H653" s="66"/>
      <c r="I653" s="66"/>
      <c r="J653" s="66"/>
      <c r="K653" s="66"/>
      <c r="L653" s="66"/>
      <c r="M653" s="66"/>
      <c r="N653" s="66"/>
      <c r="O653" s="66"/>
      <c r="P653" s="66"/>
      <c r="Q653" s="23"/>
      <c r="AB653" s="23"/>
      <c r="AC653" s="23"/>
      <c r="AD653" s="23"/>
      <c r="AE653" s="7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71"/>
      <c r="AV653" s="10"/>
      <c r="AW653" s="23"/>
      <c r="BB653" s="66"/>
      <c r="BC653" s="66"/>
      <c r="BD653" s="66"/>
      <c r="BE653" s="66"/>
      <c r="BF653" s="66"/>
      <c r="BG653" s="66"/>
      <c r="BH653" s="66"/>
      <c r="BI653" s="66"/>
      <c r="BJ653" s="66"/>
      <c r="BK653" s="66"/>
      <c r="BL653" s="66"/>
      <c r="BM653" s="66"/>
      <c r="BN653" s="66"/>
      <c r="BO653" s="66"/>
      <c r="BP653" s="66"/>
      <c r="BQ653" s="66"/>
      <c r="BR653" s="66"/>
      <c r="BS653" s="66"/>
      <c r="BT653" s="66"/>
      <c r="BU653" s="66"/>
      <c r="BV653" s="66"/>
      <c r="BW653" s="66"/>
    </row>
    <row r="654" spans="1:75" ht="15.75" customHeight="1">
      <c r="A654" s="65"/>
      <c r="B654" s="66"/>
      <c r="C654" s="66"/>
      <c r="D654" s="66"/>
      <c r="E654" s="66"/>
      <c r="F654" s="65"/>
      <c r="G654" s="65"/>
      <c r="H654" s="66"/>
      <c r="I654" s="66"/>
      <c r="J654" s="66"/>
      <c r="K654" s="66"/>
      <c r="L654" s="66"/>
      <c r="M654" s="66"/>
      <c r="N654" s="66"/>
      <c r="O654" s="66"/>
      <c r="P654" s="66"/>
      <c r="Q654" s="23"/>
      <c r="AB654" s="23"/>
      <c r="AC654" s="23"/>
      <c r="AD654" s="23"/>
      <c r="AE654" s="7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71"/>
      <c r="AV654" s="10"/>
      <c r="AW654" s="23"/>
      <c r="BB654" s="66"/>
      <c r="BC654" s="66"/>
      <c r="BD654" s="66"/>
      <c r="BE654" s="66"/>
      <c r="BF654" s="66"/>
      <c r="BG654" s="66"/>
      <c r="BH654" s="66"/>
      <c r="BI654" s="66"/>
      <c r="BJ654" s="66"/>
      <c r="BK654" s="66"/>
      <c r="BL654" s="66"/>
      <c r="BM654" s="66"/>
      <c r="BN654" s="66"/>
      <c r="BO654" s="66"/>
      <c r="BP654" s="66"/>
      <c r="BQ654" s="66"/>
      <c r="BR654" s="66"/>
      <c r="BS654" s="66"/>
      <c r="BT654" s="66"/>
      <c r="BU654" s="66"/>
      <c r="BV654" s="66"/>
      <c r="BW654" s="66"/>
    </row>
    <row r="655" spans="1:75" ht="15.75" customHeight="1">
      <c r="A655" s="65"/>
      <c r="B655" s="66"/>
      <c r="C655" s="66"/>
      <c r="D655" s="66"/>
      <c r="E655" s="66"/>
      <c r="F655" s="65"/>
      <c r="G655" s="65"/>
      <c r="H655" s="66"/>
      <c r="I655" s="66"/>
      <c r="J655" s="66"/>
      <c r="K655" s="66"/>
      <c r="L655" s="66"/>
      <c r="M655" s="66"/>
      <c r="N655" s="66"/>
      <c r="O655" s="66"/>
      <c r="P655" s="66"/>
      <c r="Q655" s="23"/>
      <c r="AB655" s="23"/>
      <c r="AC655" s="23"/>
      <c r="AD655" s="23"/>
      <c r="AE655" s="7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71"/>
      <c r="AV655" s="10"/>
      <c r="AW655" s="23"/>
      <c r="BB655" s="66"/>
      <c r="BC655" s="66"/>
      <c r="BD655" s="66"/>
      <c r="BE655" s="66"/>
      <c r="BF655" s="66"/>
      <c r="BG655" s="66"/>
      <c r="BH655" s="66"/>
      <c r="BI655" s="66"/>
      <c r="BJ655" s="66"/>
      <c r="BK655" s="66"/>
      <c r="BL655" s="66"/>
      <c r="BM655" s="66"/>
      <c r="BN655" s="66"/>
      <c r="BO655" s="66"/>
      <c r="BP655" s="66"/>
      <c r="BQ655" s="66"/>
      <c r="BR655" s="66"/>
      <c r="BS655" s="66"/>
      <c r="BT655" s="66"/>
      <c r="BU655" s="66"/>
      <c r="BV655" s="66"/>
      <c r="BW655" s="66"/>
    </row>
    <row r="656" spans="1:75" ht="15.75" customHeight="1">
      <c r="A656" s="65"/>
      <c r="B656" s="66"/>
      <c r="C656" s="66"/>
      <c r="D656" s="66"/>
      <c r="E656" s="66"/>
      <c r="F656" s="65"/>
      <c r="G656" s="65"/>
      <c r="H656" s="66"/>
      <c r="I656" s="66"/>
      <c r="J656" s="66"/>
      <c r="K656" s="66"/>
      <c r="L656" s="66"/>
      <c r="M656" s="66"/>
      <c r="N656" s="66"/>
      <c r="O656" s="66"/>
      <c r="P656" s="66"/>
      <c r="Q656" s="23"/>
      <c r="AB656" s="23"/>
      <c r="AC656" s="23"/>
      <c r="AD656" s="23"/>
      <c r="AE656" s="7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71"/>
      <c r="AV656" s="10"/>
      <c r="AW656" s="23"/>
      <c r="BB656" s="66"/>
      <c r="BC656" s="66"/>
      <c r="BD656" s="66"/>
      <c r="BE656" s="66"/>
      <c r="BF656" s="66"/>
      <c r="BG656" s="66"/>
      <c r="BH656" s="66"/>
      <c r="BI656" s="66"/>
      <c r="BJ656" s="66"/>
      <c r="BK656" s="66"/>
      <c r="BL656" s="66"/>
      <c r="BM656" s="66"/>
      <c r="BN656" s="66"/>
      <c r="BO656" s="66"/>
      <c r="BP656" s="66"/>
      <c r="BQ656" s="66"/>
      <c r="BR656" s="66"/>
      <c r="BS656" s="66"/>
      <c r="BT656" s="66"/>
      <c r="BU656" s="66"/>
      <c r="BV656" s="66"/>
      <c r="BW656" s="66"/>
    </row>
    <row r="657" spans="1:75" ht="15.75" customHeight="1">
      <c r="A657" s="65"/>
      <c r="B657" s="66"/>
      <c r="C657" s="66"/>
      <c r="D657" s="66"/>
      <c r="E657" s="66"/>
      <c r="F657" s="65"/>
      <c r="G657" s="65"/>
      <c r="H657" s="66"/>
      <c r="I657" s="66"/>
      <c r="J657" s="66"/>
      <c r="K657" s="66"/>
      <c r="L657" s="66"/>
      <c r="M657" s="66"/>
      <c r="N657" s="66"/>
      <c r="O657" s="66"/>
      <c r="P657" s="66"/>
      <c r="Q657" s="23"/>
      <c r="AB657" s="23"/>
      <c r="AC657" s="23"/>
      <c r="AD657" s="23"/>
      <c r="AE657" s="7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71"/>
      <c r="AV657" s="10"/>
      <c r="AW657" s="23"/>
      <c r="BB657" s="66"/>
      <c r="BC657" s="66"/>
      <c r="BD657" s="66"/>
      <c r="BE657" s="66"/>
      <c r="BF657" s="66"/>
      <c r="BG657" s="66"/>
      <c r="BH657" s="66"/>
      <c r="BI657" s="66"/>
      <c r="BJ657" s="66"/>
      <c r="BK657" s="66"/>
      <c r="BL657" s="66"/>
      <c r="BM657" s="66"/>
      <c r="BN657" s="66"/>
      <c r="BO657" s="66"/>
      <c r="BP657" s="66"/>
      <c r="BQ657" s="66"/>
      <c r="BR657" s="66"/>
      <c r="BS657" s="66"/>
      <c r="BT657" s="66"/>
      <c r="BU657" s="66"/>
      <c r="BV657" s="66"/>
      <c r="BW657" s="66"/>
    </row>
    <row r="658" spans="1:75" ht="15.75" customHeight="1">
      <c r="A658" s="65"/>
      <c r="B658" s="66"/>
      <c r="C658" s="66"/>
      <c r="D658" s="66"/>
      <c r="E658" s="66"/>
      <c r="F658" s="65"/>
      <c r="G658" s="65"/>
      <c r="H658" s="66"/>
      <c r="I658" s="66"/>
      <c r="J658" s="66"/>
      <c r="K658" s="66"/>
      <c r="L658" s="66"/>
      <c r="M658" s="66"/>
      <c r="N658" s="66"/>
      <c r="O658" s="66"/>
      <c r="P658" s="66"/>
      <c r="Q658" s="23"/>
      <c r="AB658" s="23"/>
      <c r="AC658" s="23"/>
      <c r="AD658" s="23"/>
      <c r="AE658" s="7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71"/>
      <c r="AV658" s="10"/>
      <c r="AW658" s="23"/>
      <c r="BB658" s="66"/>
      <c r="BC658" s="66"/>
      <c r="BD658" s="66"/>
      <c r="BE658" s="66"/>
      <c r="BF658" s="66"/>
      <c r="BG658" s="66"/>
      <c r="BH658" s="66"/>
      <c r="BI658" s="66"/>
      <c r="BJ658" s="66"/>
      <c r="BK658" s="66"/>
      <c r="BL658" s="66"/>
      <c r="BM658" s="66"/>
      <c r="BN658" s="66"/>
      <c r="BO658" s="66"/>
      <c r="BP658" s="66"/>
      <c r="BQ658" s="66"/>
      <c r="BR658" s="66"/>
      <c r="BS658" s="66"/>
      <c r="BT658" s="66"/>
      <c r="BU658" s="66"/>
      <c r="BV658" s="66"/>
      <c r="BW658" s="66"/>
    </row>
    <row r="659" spans="1:75" ht="15.75" customHeight="1">
      <c r="A659" s="65"/>
      <c r="B659" s="66"/>
      <c r="C659" s="66"/>
      <c r="D659" s="66"/>
      <c r="E659" s="66"/>
      <c r="F659" s="65"/>
      <c r="G659" s="65"/>
      <c r="H659" s="66"/>
      <c r="I659" s="66"/>
      <c r="J659" s="66"/>
      <c r="K659" s="66"/>
      <c r="L659" s="66"/>
      <c r="M659" s="66"/>
      <c r="N659" s="66"/>
      <c r="O659" s="66"/>
      <c r="P659" s="66"/>
      <c r="Q659" s="23"/>
      <c r="AB659" s="23"/>
      <c r="AC659" s="23"/>
      <c r="AD659" s="23"/>
      <c r="AE659" s="7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71"/>
      <c r="AV659" s="10"/>
      <c r="AW659" s="23"/>
      <c r="BB659" s="66"/>
      <c r="BC659" s="66"/>
      <c r="BD659" s="66"/>
      <c r="BE659" s="66"/>
      <c r="BF659" s="66"/>
      <c r="BG659" s="66"/>
      <c r="BH659" s="66"/>
      <c r="BI659" s="66"/>
      <c r="BJ659" s="66"/>
      <c r="BK659" s="66"/>
      <c r="BL659" s="66"/>
      <c r="BM659" s="66"/>
      <c r="BN659" s="66"/>
      <c r="BO659" s="66"/>
      <c r="BP659" s="66"/>
      <c r="BQ659" s="66"/>
      <c r="BR659" s="66"/>
      <c r="BS659" s="66"/>
      <c r="BT659" s="66"/>
      <c r="BU659" s="66"/>
      <c r="BV659" s="66"/>
      <c r="BW659" s="66"/>
    </row>
    <row r="660" spans="1:75" ht="15.75" customHeight="1">
      <c r="A660" s="65"/>
      <c r="B660" s="66"/>
      <c r="C660" s="66"/>
      <c r="D660" s="66"/>
      <c r="E660" s="66"/>
      <c r="F660" s="65"/>
      <c r="G660" s="65"/>
      <c r="H660" s="66"/>
      <c r="I660" s="66"/>
      <c r="J660" s="66"/>
      <c r="K660" s="66"/>
      <c r="L660" s="66"/>
      <c r="M660" s="66"/>
      <c r="N660" s="66"/>
      <c r="O660" s="66"/>
      <c r="P660" s="66"/>
      <c r="Q660" s="23"/>
      <c r="AB660" s="23"/>
      <c r="AC660" s="23"/>
      <c r="AD660" s="23"/>
      <c r="AE660" s="7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71"/>
      <c r="AV660" s="10"/>
      <c r="AW660" s="23"/>
      <c r="BB660" s="66"/>
      <c r="BC660" s="66"/>
      <c r="BD660" s="66"/>
      <c r="BE660" s="66"/>
      <c r="BF660" s="66"/>
      <c r="BG660" s="66"/>
      <c r="BH660" s="66"/>
      <c r="BI660" s="66"/>
      <c r="BJ660" s="66"/>
      <c r="BK660" s="66"/>
      <c r="BL660" s="66"/>
      <c r="BM660" s="66"/>
      <c r="BN660" s="66"/>
      <c r="BO660" s="66"/>
      <c r="BP660" s="66"/>
      <c r="BQ660" s="66"/>
      <c r="BR660" s="66"/>
      <c r="BS660" s="66"/>
      <c r="BT660" s="66"/>
      <c r="BU660" s="66"/>
      <c r="BV660" s="66"/>
      <c r="BW660" s="66"/>
    </row>
    <row r="661" spans="1:75" ht="15.75" customHeight="1">
      <c r="A661" s="65"/>
      <c r="B661" s="66"/>
      <c r="C661" s="66"/>
      <c r="D661" s="66"/>
      <c r="E661" s="66"/>
      <c r="F661" s="65"/>
      <c r="G661" s="65"/>
      <c r="H661" s="66"/>
      <c r="I661" s="66"/>
      <c r="J661" s="66"/>
      <c r="K661" s="66"/>
      <c r="L661" s="66"/>
      <c r="M661" s="66"/>
      <c r="N661" s="66"/>
      <c r="O661" s="66"/>
      <c r="P661" s="66"/>
      <c r="Q661" s="23"/>
      <c r="AB661" s="23"/>
      <c r="AC661" s="23"/>
      <c r="AD661" s="23"/>
      <c r="AE661" s="7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71"/>
      <c r="AV661" s="10"/>
      <c r="AW661" s="23"/>
      <c r="BB661" s="66"/>
      <c r="BC661" s="66"/>
      <c r="BD661" s="66"/>
      <c r="BE661" s="66"/>
      <c r="BF661" s="66"/>
      <c r="BG661" s="66"/>
      <c r="BH661" s="66"/>
      <c r="BI661" s="66"/>
      <c r="BJ661" s="66"/>
      <c r="BK661" s="66"/>
      <c r="BL661" s="66"/>
      <c r="BM661" s="66"/>
      <c r="BN661" s="66"/>
      <c r="BO661" s="66"/>
      <c r="BP661" s="66"/>
      <c r="BQ661" s="66"/>
      <c r="BR661" s="66"/>
      <c r="BS661" s="66"/>
      <c r="BT661" s="66"/>
      <c r="BU661" s="66"/>
      <c r="BV661" s="66"/>
      <c r="BW661" s="66"/>
    </row>
    <row r="662" spans="1:75" ht="15.75" customHeight="1">
      <c r="A662" s="65"/>
      <c r="B662" s="66"/>
      <c r="C662" s="66"/>
      <c r="D662" s="66"/>
      <c r="E662" s="66"/>
      <c r="F662" s="65"/>
      <c r="G662" s="65"/>
      <c r="H662" s="66"/>
      <c r="I662" s="66"/>
      <c r="J662" s="66"/>
      <c r="K662" s="66"/>
      <c r="L662" s="66"/>
      <c r="M662" s="66"/>
      <c r="N662" s="66"/>
      <c r="O662" s="66"/>
      <c r="P662" s="66"/>
      <c r="Q662" s="23"/>
      <c r="AB662" s="23"/>
      <c r="AC662" s="23"/>
      <c r="AD662" s="23"/>
      <c r="AE662" s="7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71"/>
      <c r="AV662" s="10"/>
      <c r="AW662" s="23"/>
      <c r="BB662" s="66"/>
      <c r="BC662" s="66"/>
      <c r="BD662" s="66"/>
      <c r="BE662" s="66"/>
      <c r="BF662" s="66"/>
      <c r="BG662" s="66"/>
      <c r="BH662" s="66"/>
      <c r="BI662" s="66"/>
      <c r="BJ662" s="66"/>
      <c r="BK662" s="66"/>
      <c r="BL662" s="66"/>
      <c r="BM662" s="66"/>
      <c r="BN662" s="66"/>
      <c r="BO662" s="66"/>
      <c r="BP662" s="66"/>
      <c r="BQ662" s="66"/>
      <c r="BR662" s="66"/>
      <c r="BS662" s="66"/>
      <c r="BT662" s="66"/>
      <c r="BU662" s="66"/>
      <c r="BV662" s="66"/>
      <c r="BW662" s="66"/>
    </row>
    <row r="663" spans="1:75" ht="15.75" customHeight="1">
      <c r="A663" s="65"/>
      <c r="B663" s="66"/>
      <c r="C663" s="66"/>
      <c r="D663" s="66"/>
      <c r="E663" s="66"/>
      <c r="F663" s="65"/>
      <c r="G663" s="65"/>
      <c r="H663" s="66"/>
      <c r="I663" s="66"/>
      <c r="J663" s="66"/>
      <c r="K663" s="66"/>
      <c r="L663" s="66"/>
      <c r="M663" s="66"/>
      <c r="N663" s="66"/>
      <c r="O663" s="66"/>
      <c r="P663" s="66"/>
      <c r="Q663" s="23"/>
      <c r="AB663" s="23"/>
      <c r="AC663" s="23"/>
      <c r="AD663" s="23"/>
      <c r="AE663" s="7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71"/>
      <c r="AV663" s="10"/>
      <c r="AW663" s="23"/>
      <c r="BB663" s="66"/>
      <c r="BC663" s="66"/>
      <c r="BD663" s="66"/>
      <c r="BE663" s="66"/>
      <c r="BF663" s="66"/>
      <c r="BG663" s="66"/>
      <c r="BH663" s="66"/>
      <c r="BI663" s="66"/>
      <c r="BJ663" s="66"/>
      <c r="BK663" s="66"/>
      <c r="BL663" s="66"/>
      <c r="BM663" s="66"/>
      <c r="BN663" s="66"/>
      <c r="BO663" s="66"/>
      <c r="BP663" s="66"/>
      <c r="BQ663" s="66"/>
      <c r="BR663" s="66"/>
      <c r="BS663" s="66"/>
      <c r="BT663" s="66"/>
      <c r="BU663" s="66"/>
      <c r="BV663" s="66"/>
      <c r="BW663" s="66"/>
    </row>
    <row r="664" spans="1:75" ht="15.75" customHeight="1">
      <c r="A664" s="65"/>
      <c r="B664" s="66"/>
      <c r="C664" s="66"/>
      <c r="D664" s="66"/>
      <c r="E664" s="66"/>
      <c r="F664" s="65"/>
      <c r="G664" s="65"/>
      <c r="H664" s="66"/>
      <c r="I664" s="66"/>
      <c r="J664" s="66"/>
      <c r="K664" s="66"/>
      <c r="L664" s="66"/>
      <c r="M664" s="66"/>
      <c r="N664" s="66"/>
      <c r="O664" s="66"/>
      <c r="P664" s="66"/>
      <c r="Q664" s="23"/>
      <c r="AB664" s="23"/>
      <c r="AC664" s="23"/>
      <c r="AD664" s="23"/>
      <c r="AE664" s="7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71"/>
      <c r="AV664" s="10"/>
      <c r="AW664" s="23"/>
      <c r="BB664" s="66"/>
      <c r="BC664" s="66"/>
      <c r="BD664" s="66"/>
      <c r="BE664" s="66"/>
      <c r="BF664" s="66"/>
      <c r="BG664" s="66"/>
      <c r="BH664" s="66"/>
      <c r="BI664" s="66"/>
      <c r="BJ664" s="66"/>
      <c r="BK664" s="66"/>
      <c r="BL664" s="66"/>
      <c r="BM664" s="66"/>
      <c r="BN664" s="66"/>
      <c r="BO664" s="66"/>
      <c r="BP664" s="66"/>
      <c r="BQ664" s="66"/>
      <c r="BR664" s="66"/>
      <c r="BS664" s="66"/>
      <c r="BT664" s="66"/>
      <c r="BU664" s="66"/>
      <c r="BV664" s="66"/>
      <c r="BW664" s="66"/>
    </row>
    <row r="665" spans="1:75" ht="15.75" customHeight="1">
      <c r="A665" s="65"/>
      <c r="B665" s="66"/>
      <c r="C665" s="66"/>
      <c r="D665" s="66"/>
      <c r="E665" s="66"/>
      <c r="F665" s="65"/>
      <c r="G665" s="65"/>
      <c r="H665" s="66"/>
      <c r="I665" s="66"/>
      <c r="J665" s="66"/>
      <c r="K665" s="66"/>
      <c r="L665" s="66"/>
      <c r="M665" s="66"/>
      <c r="N665" s="66"/>
      <c r="O665" s="66"/>
      <c r="P665" s="66"/>
      <c r="Q665" s="23"/>
      <c r="AB665" s="23"/>
      <c r="AC665" s="23"/>
      <c r="AD665" s="23"/>
      <c r="AE665" s="7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71"/>
      <c r="AV665" s="10"/>
      <c r="AW665" s="23"/>
      <c r="BB665" s="66"/>
      <c r="BC665" s="66"/>
      <c r="BD665" s="66"/>
      <c r="BE665" s="66"/>
      <c r="BF665" s="66"/>
      <c r="BG665" s="66"/>
      <c r="BH665" s="66"/>
      <c r="BI665" s="66"/>
      <c r="BJ665" s="66"/>
      <c r="BK665" s="66"/>
      <c r="BL665" s="66"/>
      <c r="BM665" s="66"/>
      <c r="BN665" s="66"/>
      <c r="BO665" s="66"/>
      <c r="BP665" s="66"/>
      <c r="BQ665" s="66"/>
      <c r="BR665" s="66"/>
      <c r="BS665" s="66"/>
      <c r="BT665" s="66"/>
      <c r="BU665" s="66"/>
      <c r="BV665" s="66"/>
      <c r="BW665" s="66"/>
    </row>
    <row r="666" spans="1:75" ht="15.75" customHeight="1">
      <c r="A666" s="65"/>
      <c r="B666" s="66"/>
      <c r="C666" s="66"/>
      <c r="D666" s="66"/>
      <c r="E666" s="66"/>
      <c r="F666" s="65"/>
      <c r="G666" s="65"/>
      <c r="H666" s="66"/>
      <c r="I666" s="66"/>
      <c r="J666" s="66"/>
      <c r="K666" s="66"/>
      <c r="L666" s="66"/>
      <c r="M666" s="66"/>
      <c r="N666" s="66"/>
      <c r="O666" s="66"/>
      <c r="P666" s="66"/>
      <c r="Q666" s="23"/>
      <c r="AB666" s="23"/>
      <c r="AC666" s="23"/>
      <c r="AD666" s="23"/>
      <c r="AE666" s="7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71"/>
      <c r="AV666" s="10"/>
      <c r="AW666" s="23"/>
      <c r="BB666" s="66"/>
      <c r="BC666" s="66"/>
      <c r="BD666" s="66"/>
      <c r="BE666" s="66"/>
      <c r="BF666" s="66"/>
      <c r="BG666" s="66"/>
      <c r="BH666" s="66"/>
      <c r="BI666" s="66"/>
      <c r="BJ666" s="66"/>
      <c r="BK666" s="66"/>
      <c r="BL666" s="66"/>
      <c r="BM666" s="66"/>
      <c r="BN666" s="66"/>
      <c r="BO666" s="66"/>
      <c r="BP666" s="66"/>
      <c r="BQ666" s="66"/>
      <c r="BR666" s="66"/>
      <c r="BS666" s="66"/>
      <c r="BT666" s="66"/>
      <c r="BU666" s="66"/>
      <c r="BV666" s="66"/>
      <c r="BW666" s="66"/>
    </row>
    <row r="667" spans="1:75" ht="15.75" customHeight="1">
      <c r="A667" s="65"/>
      <c r="B667" s="66"/>
      <c r="C667" s="66"/>
      <c r="D667" s="66"/>
      <c r="E667" s="66"/>
      <c r="F667" s="65"/>
      <c r="G667" s="65"/>
      <c r="H667" s="66"/>
      <c r="I667" s="66"/>
      <c r="J667" s="66"/>
      <c r="K667" s="66"/>
      <c r="L667" s="66"/>
      <c r="M667" s="66"/>
      <c r="N667" s="66"/>
      <c r="O667" s="66"/>
      <c r="P667" s="66"/>
      <c r="Q667" s="23"/>
      <c r="AB667" s="23"/>
      <c r="AC667" s="23"/>
      <c r="AD667" s="23"/>
      <c r="AE667" s="7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71"/>
      <c r="AV667" s="10"/>
      <c r="AW667" s="23"/>
      <c r="BB667" s="66"/>
      <c r="BC667" s="66"/>
      <c r="BD667" s="66"/>
      <c r="BE667" s="66"/>
      <c r="BF667" s="66"/>
      <c r="BG667" s="66"/>
      <c r="BH667" s="66"/>
      <c r="BI667" s="66"/>
      <c r="BJ667" s="66"/>
      <c r="BK667" s="66"/>
      <c r="BL667" s="66"/>
      <c r="BM667" s="66"/>
      <c r="BN667" s="66"/>
      <c r="BO667" s="66"/>
      <c r="BP667" s="66"/>
      <c r="BQ667" s="66"/>
      <c r="BR667" s="66"/>
      <c r="BS667" s="66"/>
      <c r="BT667" s="66"/>
      <c r="BU667" s="66"/>
      <c r="BV667" s="66"/>
      <c r="BW667" s="66"/>
    </row>
    <row r="668" spans="1:75" ht="15.75" customHeight="1">
      <c r="A668" s="65"/>
      <c r="B668" s="66"/>
      <c r="C668" s="66"/>
      <c r="D668" s="66"/>
      <c r="E668" s="66"/>
      <c r="F668" s="65"/>
      <c r="G668" s="65"/>
      <c r="H668" s="66"/>
      <c r="I668" s="66"/>
      <c r="J668" s="66"/>
      <c r="K668" s="66"/>
      <c r="L668" s="66"/>
      <c r="M668" s="66"/>
      <c r="N668" s="66"/>
      <c r="O668" s="66"/>
      <c r="P668" s="66"/>
      <c r="Q668" s="23"/>
      <c r="AB668" s="23"/>
      <c r="AC668" s="23"/>
      <c r="AD668" s="23"/>
      <c r="AE668" s="7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71"/>
      <c r="AV668" s="10"/>
      <c r="AW668" s="23"/>
      <c r="BB668" s="66"/>
      <c r="BC668" s="66"/>
      <c r="BD668" s="66"/>
      <c r="BE668" s="66"/>
      <c r="BF668" s="66"/>
      <c r="BG668" s="66"/>
      <c r="BH668" s="66"/>
      <c r="BI668" s="66"/>
      <c r="BJ668" s="66"/>
      <c r="BK668" s="66"/>
      <c r="BL668" s="66"/>
      <c r="BM668" s="66"/>
      <c r="BN668" s="66"/>
      <c r="BO668" s="66"/>
      <c r="BP668" s="66"/>
      <c r="BQ668" s="66"/>
      <c r="BR668" s="66"/>
      <c r="BS668" s="66"/>
      <c r="BT668" s="66"/>
      <c r="BU668" s="66"/>
      <c r="BV668" s="66"/>
      <c r="BW668" s="66"/>
    </row>
    <row r="669" spans="1:75" ht="15.75" customHeight="1">
      <c r="A669" s="65"/>
      <c r="B669" s="66"/>
      <c r="C669" s="66"/>
      <c r="D669" s="66"/>
      <c r="E669" s="66"/>
      <c r="F669" s="65"/>
      <c r="G669" s="65"/>
      <c r="H669" s="66"/>
      <c r="I669" s="66"/>
      <c r="J669" s="66"/>
      <c r="K669" s="66"/>
      <c r="L669" s="66"/>
      <c r="M669" s="66"/>
      <c r="N669" s="66"/>
      <c r="O669" s="66"/>
      <c r="P669" s="66"/>
      <c r="Q669" s="23"/>
      <c r="AB669" s="23"/>
      <c r="AC669" s="23"/>
      <c r="AD669" s="23"/>
      <c r="AE669" s="7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71"/>
      <c r="AV669" s="10"/>
      <c r="AW669" s="23"/>
      <c r="BB669" s="66"/>
      <c r="BC669" s="66"/>
      <c r="BD669" s="66"/>
      <c r="BE669" s="66"/>
      <c r="BF669" s="66"/>
      <c r="BG669" s="66"/>
      <c r="BH669" s="66"/>
      <c r="BI669" s="66"/>
      <c r="BJ669" s="66"/>
      <c r="BK669" s="66"/>
      <c r="BL669" s="66"/>
      <c r="BM669" s="66"/>
      <c r="BN669" s="66"/>
      <c r="BO669" s="66"/>
      <c r="BP669" s="66"/>
      <c r="BQ669" s="66"/>
      <c r="BR669" s="66"/>
      <c r="BS669" s="66"/>
      <c r="BT669" s="66"/>
      <c r="BU669" s="66"/>
      <c r="BV669" s="66"/>
      <c r="BW669" s="66"/>
    </row>
    <row r="670" spans="1:75" ht="15.75" customHeight="1">
      <c r="A670" s="65"/>
      <c r="B670" s="66"/>
      <c r="C670" s="66"/>
      <c r="D670" s="66"/>
      <c r="E670" s="66"/>
      <c r="F670" s="65"/>
      <c r="G670" s="65"/>
      <c r="H670" s="66"/>
      <c r="I670" s="66"/>
      <c r="J670" s="66"/>
      <c r="K670" s="66"/>
      <c r="L670" s="66"/>
      <c r="M670" s="66"/>
      <c r="N670" s="66"/>
      <c r="O670" s="66"/>
      <c r="P670" s="66"/>
      <c r="Q670" s="23"/>
      <c r="AB670" s="23"/>
      <c r="AC670" s="23"/>
      <c r="AD670" s="23"/>
      <c r="AE670" s="7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71"/>
      <c r="AV670" s="10"/>
      <c r="AW670" s="23"/>
      <c r="BB670" s="66"/>
      <c r="BC670" s="66"/>
      <c r="BD670" s="66"/>
      <c r="BE670" s="66"/>
      <c r="BF670" s="66"/>
      <c r="BG670" s="66"/>
      <c r="BH670" s="66"/>
      <c r="BI670" s="66"/>
      <c r="BJ670" s="66"/>
      <c r="BK670" s="66"/>
      <c r="BL670" s="66"/>
      <c r="BM670" s="66"/>
      <c r="BN670" s="66"/>
      <c r="BO670" s="66"/>
      <c r="BP670" s="66"/>
      <c r="BQ670" s="66"/>
      <c r="BR670" s="66"/>
      <c r="BS670" s="66"/>
      <c r="BT670" s="66"/>
      <c r="BU670" s="66"/>
      <c r="BV670" s="66"/>
      <c r="BW670" s="66"/>
    </row>
    <row r="671" spans="1:75" ht="15.75" customHeight="1">
      <c r="A671" s="65"/>
      <c r="B671" s="66"/>
      <c r="C671" s="66"/>
      <c r="D671" s="66"/>
      <c r="E671" s="66"/>
      <c r="F671" s="65"/>
      <c r="G671" s="65"/>
      <c r="H671" s="66"/>
      <c r="I671" s="66"/>
      <c r="J671" s="66"/>
      <c r="K671" s="66"/>
      <c r="L671" s="66"/>
      <c r="M671" s="66"/>
      <c r="N671" s="66"/>
      <c r="O671" s="66"/>
      <c r="P671" s="66"/>
      <c r="Q671" s="23"/>
      <c r="AB671" s="23"/>
      <c r="AC671" s="23"/>
      <c r="AD671" s="23"/>
      <c r="AE671" s="7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71"/>
      <c r="AV671" s="10"/>
      <c r="AW671" s="23"/>
      <c r="BB671" s="66"/>
      <c r="BC671" s="66"/>
      <c r="BD671" s="66"/>
      <c r="BE671" s="66"/>
      <c r="BF671" s="66"/>
      <c r="BG671" s="66"/>
      <c r="BH671" s="66"/>
      <c r="BI671" s="66"/>
      <c r="BJ671" s="66"/>
      <c r="BK671" s="66"/>
      <c r="BL671" s="66"/>
      <c r="BM671" s="66"/>
      <c r="BN671" s="66"/>
      <c r="BO671" s="66"/>
      <c r="BP671" s="66"/>
      <c r="BQ671" s="66"/>
      <c r="BR671" s="66"/>
      <c r="BS671" s="66"/>
      <c r="BT671" s="66"/>
      <c r="BU671" s="66"/>
      <c r="BV671" s="66"/>
      <c r="BW671" s="66"/>
    </row>
    <row r="672" spans="1:75" ht="15.75" customHeight="1">
      <c r="A672" s="65"/>
      <c r="B672" s="66"/>
      <c r="C672" s="66"/>
      <c r="D672" s="66"/>
      <c r="E672" s="66"/>
      <c r="F672" s="65"/>
      <c r="G672" s="65"/>
      <c r="H672" s="66"/>
      <c r="I672" s="66"/>
      <c r="J672" s="66"/>
      <c r="K672" s="66"/>
      <c r="L672" s="66"/>
      <c r="M672" s="66"/>
      <c r="N672" s="66"/>
      <c r="O672" s="66"/>
      <c r="P672" s="66"/>
      <c r="Q672" s="23"/>
      <c r="AB672" s="23"/>
      <c r="AC672" s="23"/>
      <c r="AD672" s="23"/>
      <c r="AE672" s="7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71"/>
      <c r="AV672" s="10"/>
      <c r="AW672" s="23"/>
      <c r="BB672" s="66"/>
      <c r="BC672" s="66"/>
      <c r="BD672" s="66"/>
      <c r="BE672" s="66"/>
      <c r="BF672" s="66"/>
      <c r="BG672" s="66"/>
      <c r="BH672" s="66"/>
      <c r="BI672" s="66"/>
      <c r="BJ672" s="66"/>
      <c r="BK672" s="66"/>
      <c r="BL672" s="66"/>
      <c r="BM672" s="66"/>
      <c r="BN672" s="66"/>
      <c r="BO672" s="66"/>
      <c r="BP672" s="66"/>
      <c r="BQ672" s="66"/>
      <c r="BR672" s="66"/>
      <c r="BS672" s="66"/>
      <c r="BT672" s="66"/>
      <c r="BU672" s="66"/>
      <c r="BV672" s="66"/>
      <c r="BW672" s="66"/>
    </row>
    <row r="673" spans="1:75" ht="15.75" customHeight="1">
      <c r="A673" s="65"/>
      <c r="B673" s="66"/>
      <c r="C673" s="66"/>
      <c r="D673" s="66"/>
      <c r="E673" s="66"/>
      <c r="F673" s="65"/>
      <c r="G673" s="65"/>
      <c r="H673" s="66"/>
      <c r="I673" s="66"/>
      <c r="J673" s="66"/>
      <c r="K673" s="66"/>
      <c r="L673" s="66"/>
      <c r="M673" s="66"/>
      <c r="N673" s="66"/>
      <c r="O673" s="66"/>
      <c r="P673" s="66"/>
      <c r="Q673" s="23"/>
      <c r="AB673" s="23"/>
      <c r="AC673" s="23"/>
      <c r="AD673" s="23"/>
      <c r="AE673" s="7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71"/>
      <c r="AV673" s="10"/>
      <c r="AW673" s="23"/>
      <c r="BB673" s="66"/>
      <c r="BC673" s="66"/>
      <c r="BD673" s="66"/>
      <c r="BE673" s="66"/>
      <c r="BF673" s="66"/>
      <c r="BG673" s="66"/>
      <c r="BH673" s="66"/>
      <c r="BI673" s="66"/>
      <c r="BJ673" s="66"/>
      <c r="BK673" s="66"/>
      <c r="BL673" s="66"/>
      <c r="BM673" s="66"/>
      <c r="BN673" s="66"/>
      <c r="BO673" s="66"/>
      <c r="BP673" s="66"/>
      <c r="BQ673" s="66"/>
      <c r="BR673" s="66"/>
      <c r="BS673" s="66"/>
      <c r="BT673" s="66"/>
      <c r="BU673" s="66"/>
      <c r="BV673" s="66"/>
      <c r="BW673" s="66"/>
    </row>
    <row r="674" spans="1:75" ht="15.75" customHeight="1">
      <c r="A674" s="65"/>
      <c r="B674" s="66"/>
      <c r="C674" s="66"/>
      <c r="D674" s="66"/>
      <c r="E674" s="66"/>
      <c r="F674" s="65"/>
      <c r="G674" s="65"/>
      <c r="H674" s="66"/>
      <c r="I674" s="66"/>
      <c r="J674" s="66"/>
      <c r="K674" s="66"/>
      <c r="L674" s="66"/>
      <c r="M674" s="66"/>
      <c r="N674" s="66"/>
      <c r="O674" s="66"/>
      <c r="P674" s="66"/>
      <c r="Q674" s="23"/>
      <c r="AB674" s="23"/>
      <c r="AC674" s="23"/>
      <c r="AD674" s="23"/>
      <c r="AE674" s="7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71"/>
      <c r="AV674" s="10"/>
      <c r="AW674" s="23"/>
      <c r="BB674" s="66"/>
      <c r="BC674" s="66"/>
      <c r="BD674" s="66"/>
      <c r="BE674" s="66"/>
      <c r="BF674" s="66"/>
      <c r="BG674" s="66"/>
      <c r="BH674" s="66"/>
      <c r="BI674" s="66"/>
      <c r="BJ674" s="66"/>
      <c r="BK674" s="66"/>
      <c r="BL674" s="66"/>
      <c r="BM674" s="66"/>
      <c r="BN674" s="66"/>
      <c r="BO674" s="66"/>
      <c r="BP674" s="66"/>
      <c r="BQ674" s="66"/>
      <c r="BR674" s="66"/>
      <c r="BS674" s="66"/>
      <c r="BT674" s="66"/>
      <c r="BU674" s="66"/>
      <c r="BV674" s="66"/>
      <c r="BW674" s="66"/>
    </row>
    <row r="675" spans="1:75" ht="15.75" customHeight="1">
      <c r="A675" s="65"/>
      <c r="B675" s="66"/>
      <c r="C675" s="66"/>
      <c r="D675" s="66"/>
      <c r="E675" s="66"/>
      <c r="F675" s="65"/>
      <c r="G675" s="65"/>
      <c r="H675" s="66"/>
      <c r="I675" s="66"/>
      <c r="J675" s="66"/>
      <c r="K675" s="66"/>
      <c r="L675" s="66"/>
      <c r="M675" s="66"/>
      <c r="N675" s="66"/>
      <c r="O675" s="66"/>
      <c r="P675" s="66"/>
      <c r="Q675" s="23"/>
      <c r="AB675" s="23"/>
      <c r="AC675" s="23"/>
      <c r="AD675" s="23"/>
      <c r="AE675" s="7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71"/>
      <c r="AV675" s="10"/>
      <c r="AW675" s="23"/>
      <c r="BB675" s="66"/>
      <c r="BC675" s="66"/>
      <c r="BD675" s="66"/>
      <c r="BE675" s="66"/>
      <c r="BF675" s="66"/>
      <c r="BG675" s="66"/>
      <c r="BH675" s="66"/>
      <c r="BI675" s="66"/>
      <c r="BJ675" s="66"/>
      <c r="BK675" s="66"/>
      <c r="BL675" s="66"/>
      <c r="BM675" s="66"/>
      <c r="BN675" s="66"/>
      <c r="BO675" s="66"/>
      <c r="BP675" s="66"/>
      <c r="BQ675" s="66"/>
      <c r="BR675" s="66"/>
      <c r="BS675" s="66"/>
      <c r="BT675" s="66"/>
      <c r="BU675" s="66"/>
      <c r="BV675" s="66"/>
      <c r="BW675" s="66"/>
    </row>
    <row r="676" spans="1:75" ht="15.75" customHeight="1">
      <c r="A676" s="65"/>
      <c r="B676" s="66"/>
      <c r="C676" s="66"/>
      <c r="D676" s="66"/>
      <c r="E676" s="66"/>
      <c r="F676" s="65"/>
      <c r="G676" s="65"/>
      <c r="H676" s="66"/>
      <c r="I676" s="66"/>
      <c r="J676" s="66"/>
      <c r="K676" s="66"/>
      <c r="L676" s="66"/>
      <c r="M676" s="66"/>
      <c r="N676" s="66"/>
      <c r="O676" s="66"/>
      <c r="P676" s="66"/>
      <c r="Q676" s="23"/>
      <c r="AB676" s="23"/>
      <c r="AC676" s="23"/>
      <c r="AD676" s="23"/>
      <c r="AE676" s="7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71"/>
      <c r="AV676" s="10"/>
      <c r="AW676" s="23"/>
      <c r="BB676" s="66"/>
      <c r="BC676" s="66"/>
      <c r="BD676" s="66"/>
      <c r="BE676" s="66"/>
      <c r="BF676" s="66"/>
      <c r="BG676" s="66"/>
      <c r="BH676" s="66"/>
      <c r="BI676" s="66"/>
      <c r="BJ676" s="66"/>
      <c r="BK676" s="66"/>
      <c r="BL676" s="66"/>
      <c r="BM676" s="66"/>
      <c r="BN676" s="66"/>
      <c r="BO676" s="66"/>
      <c r="BP676" s="66"/>
      <c r="BQ676" s="66"/>
      <c r="BR676" s="66"/>
      <c r="BS676" s="66"/>
      <c r="BT676" s="66"/>
      <c r="BU676" s="66"/>
      <c r="BV676" s="66"/>
      <c r="BW676" s="66"/>
    </row>
    <row r="677" spans="1:75" ht="15.75" customHeight="1">
      <c r="A677" s="65"/>
      <c r="B677" s="66"/>
      <c r="C677" s="66"/>
      <c r="D677" s="66"/>
      <c r="E677" s="66"/>
      <c r="F677" s="65"/>
      <c r="G677" s="65"/>
      <c r="H677" s="66"/>
      <c r="I677" s="66"/>
      <c r="J677" s="66"/>
      <c r="K677" s="66"/>
      <c r="L677" s="66"/>
      <c r="M677" s="66"/>
      <c r="N677" s="66"/>
      <c r="O677" s="66"/>
      <c r="P677" s="66"/>
      <c r="Q677" s="23"/>
      <c r="AB677" s="23"/>
      <c r="AC677" s="23"/>
      <c r="AD677" s="23"/>
      <c r="AE677" s="7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71"/>
      <c r="AV677" s="10"/>
      <c r="AW677" s="23"/>
      <c r="BB677" s="66"/>
      <c r="BC677" s="66"/>
      <c r="BD677" s="66"/>
      <c r="BE677" s="66"/>
      <c r="BF677" s="66"/>
      <c r="BG677" s="66"/>
      <c r="BH677" s="66"/>
      <c r="BI677" s="66"/>
      <c r="BJ677" s="66"/>
      <c r="BK677" s="66"/>
      <c r="BL677" s="66"/>
      <c r="BM677" s="66"/>
      <c r="BN677" s="66"/>
      <c r="BO677" s="66"/>
      <c r="BP677" s="66"/>
      <c r="BQ677" s="66"/>
      <c r="BR677" s="66"/>
      <c r="BS677" s="66"/>
      <c r="BT677" s="66"/>
      <c r="BU677" s="66"/>
      <c r="BV677" s="66"/>
      <c r="BW677" s="66"/>
    </row>
    <row r="678" spans="1:75" ht="15.75" customHeight="1">
      <c r="A678" s="65"/>
      <c r="B678" s="66"/>
      <c r="C678" s="66"/>
      <c r="D678" s="66"/>
      <c r="E678" s="66"/>
      <c r="F678" s="65"/>
      <c r="G678" s="65"/>
      <c r="H678" s="66"/>
      <c r="I678" s="66"/>
      <c r="J678" s="66"/>
      <c r="K678" s="66"/>
      <c r="L678" s="66"/>
      <c r="M678" s="66"/>
      <c r="N678" s="66"/>
      <c r="O678" s="66"/>
      <c r="P678" s="66"/>
      <c r="Q678" s="23"/>
      <c r="AB678" s="23"/>
      <c r="AC678" s="23"/>
      <c r="AD678" s="23"/>
      <c r="AE678" s="7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71"/>
      <c r="AV678" s="10"/>
      <c r="AW678" s="23"/>
      <c r="BB678" s="66"/>
      <c r="BC678" s="66"/>
      <c r="BD678" s="66"/>
      <c r="BE678" s="66"/>
      <c r="BF678" s="66"/>
      <c r="BG678" s="66"/>
      <c r="BH678" s="66"/>
      <c r="BI678" s="66"/>
      <c r="BJ678" s="66"/>
      <c r="BK678" s="66"/>
      <c r="BL678" s="66"/>
      <c r="BM678" s="66"/>
      <c r="BN678" s="66"/>
      <c r="BO678" s="66"/>
      <c r="BP678" s="66"/>
      <c r="BQ678" s="66"/>
      <c r="BR678" s="66"/>
      <c r="BS678" s="66"/>
      <c r="BT678" s="66"/>
      <c r="BU678" s="66"/>
      <c r="BV678" s="66"/>
      <c r="BW678" s="66"/>
    </row>
    <row r="679" spans="1:75" ht="15.75" customHeight="1">
      <c r="A679" s="65"/>
      <c r="B679" s="66"/>
      <c r="C679" s="66"/>
      <c r="D679" s="66"/>
      <c r="E679" s="66"/>
      <c r="F679" s="65"/>
      <c r="G679" s="65"/>
      <c r="H679" s="66"/>
      <c r="I679" s="66"/>
      <c r="J679" s="66"/>
      <c r="K679" s="66"/>
      <c r="L679" s="66"/>
      <c r="M679" s="66"/>
      <c r="N679" s="66"/>
      <c r="O679" s="66"/>
      <c r="P679" s="66"/>
      <c r="Q679" s="23"/>
      <c r="AB679" s="23"/>
      <c r="AC679" s="23"/>
      <c r="AD679" s="23"/>
      <c r="AE679" s="7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71"/>
      <c r="AV679" s="10"/>
      <c r="AW679" s="23"/>
      <c r="BB679" s="66"/>
      <c r="BC679" s="66"/>
      <c r="BD679" s="66"/>
      <c r="BE679" s="66"/>
      <c r="BF679" s="66"/>
      <c r="BG679" s="66"/>
      <c r="BH679" s="66"/>
      <c r="BI679" s="66"/>
      <c r="BJ679" s="66"/>
      <c r="BK679" s="66"/>
      <c r="BL679" s="66"/>
      <c r="BM679" s="66"/>
      <c r="BN679" s="66"/>
      <c r="BO679" s="66"/>
      <c r="BP679" s="66"/>
      <c r="BQ679" s="66"/>
      <c r="BR679" s="66"/>
      <c r="BS679" s="66"/>
      <c r="BT679" s="66"/>
      <c r="BU679" s="66"/>
      <c r="BV679" s="66"/>
      <c r="BW679" s="66"/>
    </row>
    <row r="680" spans="1:75" ht="15.75" customHeight="1">
      <c r="A680" s="65"/>
      <c r="B680" s="66"/>
      <c r="C680" s="66"/>
      <c r="D680" s="66"/>
      <c r="E680" s="66"/>
      <c r="F680" s="65"/>
      <c r="G680" s="65"/>
      <c r="H680" s="66"/>
      <c r="I680" s="66"/>
      <c r="J680" s="66"/>
      <c r="K680" s="66"/>
      <c r="L680" s="66"/>
      <c r="M680" s="66"/>
      <c r="N680" s="66"/>
      <c r="O680" s="66"/>
      <c r="P680" s="66"/>
      <c r="Q680" s="23"/>
      <c r="AB680" s="23"/>
      <c r="AC680" s="23"/>
      <c r="AD680" s="23"/>
      <c r="AE680" s="7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71"/>
      <c r="AV680" s="10"/>
      <c r="AW680" s="23"/>
      <c r="BB680" s="66"/>
      <c r="BC680" s="66"/>
      <c r="BD680" s="66"/>
      <c r="BE680" s="66"/>
      <c r="BF680" s="66"/>
      <c r="BG680" s="66"/>
      <c r="BH680" s="66"/>
      <c r="BI680" s="66"/>
      <c r="BJ680" s="66"/>
      <c r="BK680" s="66"/>
      <c r="BL680" s="66"/>
      <c r="BM680" s="66"/>
      <c r="BN680" s="66"/>
      <c r="BO680" s="66"/>
      <c r="BP680" s="66"/>
      <c r="BQ680" s="66"/>
      <c r="BR680" s="66"/>
      <c r="BS680" s="66"/>
      <c r="BT680" s="66"/>
      <c r="BU680" s="66"/>
      <c r="BV680" s="66"/>
      <c r="BW680" s="66"/>
    </row>
    <row r="681" spans="1:75" ht="15.75" customHeight="1">
      <c r="A681" s="65"/>
      <c r="B681" s="66"/>
      <c r="C681" s="66"/>
      <c r="D681" s="66"/>
      <c r="E681" s="66"/>
      <c r="F681" s="65"/>
      <c r="G681" s="65"/>
      <c r="H681" s="66"/>
      <c r="I681" s="66"/>
      <c r="J681" s="66"/>
      <c r="K681" s="66"/>
      <c r="L681" s="66"/>
      <c r="M681" s="66"/>
      <c r="N681" s="66"/>
      <c r="O681" s="66"/>
      <c r="P681" s="66"/>
      <c r="Q681" s="23"/>
      <c r="AB681" s="23"/>
      <c r="AC681" s="23"/>
      <c r="AD681" s="23"/>
      <c r="AE681" s="7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71"/>
      <c r="AV681" s="10"/>
      <c r="AW681" s="23"/>
      <c r="BB681" s="66"/>
      <c r="BC681" s="66"/>
      <c r="BD681" s="66"/>
      <c r="BE681" s="66"/>
      <c r="BF681" s="66"/>
      <c r="BG681" s="66"/>
      <c r="BH681" s="66"/>
      <c r="BI681" s="66"/>
      <c r="BJ681" s="66"/>
      <c r="BK681" s="66"/>
      <c r="BL681" s="66"/>
      <c r="BM681" s="66"/>
      <c r="BN681" s="66"/>
      <c r="BO681" s="66"/>
      <c r="BP681" s="66"/>
      <c r="BQ681" s="66"/>
      <c r="BR681" s="66"/>
      <c r="BS681" s="66"/>
      <c r="BT681" s="66"/>
      <c r="BU681" s="66"/>
      <c r="BV681" s="66"/>
      <c r="BW681" s="66"/>
    </row>
    <row r="682" spans="1:75" ht="15.75" customHeight="1">
      <c r="A682" s="65"/>
      <c r="B682" s="66"/>
      <c r="C682" s="66"/>
      <c r="D682" s="66"/>
      <c r="E682" s="66"/>
      <c r="F682" s="65"/>
      <c r="G682" s="65"/>
      <c r="H682" s="66"/>
      <c r="I682" s="66"/>
      <c r="J682" s="66"/>
      <c r="K682" s="66"/>
      <c r="L682" s="66"/>
      <c r="M682" s="66"/>
      <c r="N682" s="66"/>
      <c r="O682" s="66"/>
      <c r="P682" s="66"/>
      <c r="Q682" s="23"/>
      <c r="AB682" s="23"/>
      <c r="AC682" s="23"/>
      <c r="AD682" s="23"/>
      <c r="AE682" s="7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71"/>
      <c r="AV682" s="10"/>
      <c r="AW682" s="23"/>
      <c r="BB682" s="66"/>
      <c r="BC682" s="66"/>
      <c r="BD682" s="66"/>
      <c r="BE682" s="66"/>
      <c r="BF682" s="66"/>
      <c r="BG682" s="66"/>
      <c r="BH682" s="66"/>
      <c r="BI682" s="66"/>
      <c r="BJ682" s="66"/>
      <c r="BK682" s="66"/>
      <c r="BL682" s="66"/>
      <c r="BM682" s="66"/>
      <c r="BN682" s="66"/>
      <c r="BO682" s="66"/>
      <c r="BP682" s="66"/>
      <c r="BQ682" s="66"/>
      <c r="BR682" s="66"/>
      <c r="BS682" s="66"/>
      <c r="BT682" s="66"/>
      <c r="BU682" s="66"/>
      <c r="BV682" s="66"/>
      <c r="BW682" s="66"/>
    </row>
    <row r="683" spans="1:75" ht="15.75" customHeight="1">
      <c r="A683" s="65"/>
      <c r="B683" s="66"/>
      <c r="C683" s="66"/>
      <c r="D683" s="66"/>
      <c r="E683" s="66"/>
      <c r="F683" s="65"/>
      <c r="G683" s="65"/>
      <c r="H683" s="66"/>
      <c r="I683" s="66"/>
      <c r="J683" s="66"/>
      <c r="K683" s="66"/>
      <c r="L683" s="66"/>
      <c r="M683" s="66"/>
      <c r="N683" s="66"/>
      <c r="O683" s="66"/>
      <c r="P683" s="66"/>
      <c r="Q683" s="23"/>
      <c r="AB683" s="23"/>
      <c r="AC683" s="23"/>
      <c r="AD683" s="23"/>
      <c r="AE683" s="7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71"/>
      <c r="AV683" s="10"/>
      <c r="AW683" s="23"/>
      <c r="BB683" s="66"/>
      <c r="BC683" s="66"/>
      <c r="BD683" s="66"/>
      <c r="BE683" s="66"/>
      <c r="BF683" s="66"/>
      <c r="BG683" s="66"/>
      <c r="BH683" s="66"/>
      <c r="BI683" s="66"/>
      <c r="BJ683" s="66"/>
      <c r="BK683" s="66"/>
      <c r="BL683" s="66"/>
      <c r="BM683" s="66"/>
      <c r="BN683" s="66"/>
      <c r="BO683" s="66"/>
      <c r="BP683" s="66"/>
      <c r="BQ683" s="66"/>
      <c r="BR683" s="66"/>
      <c r="BS683" s="66"/>
      <c r="BT683" s="66"/>
      <c r="BU683" s="66"/>
      <c r="BV683" s="66"/>
      <c r="BW683" s="66"/>
    </row>
    <row r="684" spans="1:75" ht="15.75" customHeight="1">
      <c r="A684" s="65"/>
      <c r="B684" s="66"/>
      <c r="C684" s="66"/>
      <c r="D684" s="66"/>
      <c r="E684" s="66"/>
      <c r="F684" s="65"/>
      <c r="G684" s="65"/>
      <c r="H684" s="66"/>
      <c r="I684" s="66"/>
      <c r="J684" s="66"/>
      <c r="K684" s="66"/>
      <c r="L684" s="66"/>
      <c r="M684" s="66"/>
      <c r="N684" s="66"/>
      <c r="O684" s="66"/>
      <c r="P684" s="66"/>
      <c r="Q684" s="23"/>
      <c r="AB684" s="23"/>
      <c r="AC684" s="23"/>
      <c r="AD684" s="23"/>
      <c r="AE684" s="7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71"/>
      <c r="AV684" s="10"/>
      <c r="AW684" s="23"/>
      <c r="BB684" s="66"/>
      <c r="BC684" s="66"/>
      <c r="BD684" s="66"/>
      <c r="BE684" s="66"/>
      <c r="BF684" s="66"/>
      <c r="BG684" s="66"/>
      <c r="BH684" s="66"/>
      <c r="BI684" s="66"/>
      <c r="BJ684" s="66"/>
      <c r="BK684" s="66"/>
      <c r="BL684" s="66"/>
      <c r="BM684" s="66"/>
      <c r="BN684" s="66"/>
      <c r="BO684" s="66"/>
      <c r="BP684" s="66"/>
      <c r="BQ684" s="66"/>
      <c r="BR684" s="66"/>
      <c r="BS684" s="66"/>
      <c r="BT684" s="66"/>
      <c r="BU684" s="66"/>
      <c r="BV684" s="66"/>
      <c r="BW684" s="66"/>
    </row>
    <row r="685" spans="1:75" ht="15.75" customHeight="1">
      <c r="A685" s="65"/>
      <c r="B685" s="66"/>
      <c r="C685" s="66"/>
      <c r="D685" s="66"/>
      <c r="E685" s="66"/>
      <c r="F685" s="65"/>
      <c r="G685" s="65"/>
      <c r="H685" s="66"/>
      <c r="I685" s="66"/>
      <c r="J685" s="66"/>
      <c r="K685" s="66"/>
      <c r="L685" s="66"/>
      <c r="M685" s="66"/>
      <c r="N685" s="66"/>
      <c r="O685" s="66"/>
      <c r="P685" s="66"/>
      <c r="Q685" s="23"/>
      <c r="AB685" s="23"/>
      <c r="AC685" s="23"/>
      <c r="AD685" s="23"/>
      <c r="AE685" s="7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71"/>
      <c r="AV685" s="10"/>
      <c r="AW685" s="23"/>
      <c r="BB685" s="66"/>
      <c r="BC685" s="66"/>
      <c r="BD685" s="66"/>
      <c r="BE685" s="66"/>
      <c r="BF685" s="66"/>
      <c r="BG685" s="66"/>
      <c r="BH685" s="66"/>
      <c r="BI685" s="66"/>
      <c r="BJ685" s="66"/>
      <c r="BK685" s="66"/>
      <c r="BL685" s="66"/>
      <c r="BM685" s="66"/>
      <c r="BN685" s="66"/>
      <c r="BO685" s="66"/>
      <c r="BP685" s="66"/>
      <c r="BQ685" s="66"/>
      <c r="BR685" s="66"/>
      <c r="BS685" s="66"/>
      <c r="BT685" s="66"/>
      <c r="BU685" s="66"/>
      <c r="BV685" s="66"/>
      <c r="BW685" s="66"/>
    </row>
    <row r="686" spans="1:75" ht="15.75" customHeight="1">
      <c r="A686" s="65"/>
      <c r="B686" s="66"/>
      <c r="C686" s="66"/>
      <c r="D686" s="66"/>
      <c r="E686" s="66"/>
      <c r="F686" s="65"/>
      <c r="G686" s="65"/>
      <c r="H686" s="66"/>
      <c r="I686" s="66"/>
      <c r="J686" s="66"/>
      <c r="K686" s="66"/>
      <c r="L686" s="66"/>
      <c r="M686" s="66"/>
      <c r="N686" s="66"/>
      <c r="O686" s="66"/>
      <c r="P686" s="66"/>
      <c r="Q686" s="23"/>
      <c r="AB686" s="23"/>
      <c r="AC686" s="23"/>
      <c r="AD686" s="23"/>
      <c r="AE686" s="7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71"/>
      <c r="AV686" s="10"/>
      <c r="AW686" s="23"/>
      <c r="BB686" s="66"/>
      <c r="BC686" s="66"/>
      <c r="BD686" s="66"/>
      <c r="BE686" s="66"/>
      <c r="BF686" s="66"/>
      <c r="BG686" s="66"/>
      <c r="BH686" s="66"/>
      <c r="BI686" s="66"/>
      <c r="BJ686" s="66"/>
      <c r="BK686" s="66"/>
      <c r="BL686" s="66"/>
      <c r="BM686" s="66"/>
      <c r="BN686" s="66"/>
      <c r="BO686" s="66"/>
      <c r="BP686" s="66"/>
      <c r="BQ686" s="66"/>
      <c r="BR686" s="66"/>
      <c r="BS686" s="66"/>
      <c r="BT686" s="66"/>
      <c r="BU686" s="66"/>
      <c r="BV686" s="66"/>
      <c r="BW686" s="66"/>
    </row>
    <row r="687" spans="1:75" ht="15.75" customHeight="1">
      <c r="A687" s="65"/>
      <c r="B687" s="66"/>
      <c r="C687" s="66"/>
      <c r="D687" s="66"/>
      <c r="E687" s="66"/>
      <c r="F687" s="65"/>
      <c r="G687" s="65"/>
      <c r="H687" s="66"/>
      <c r="I687" s="66"/>
      <c r="J687" s="66"/>
      <c r="K687" s="66"/>
      <c r="L687" s="66"/>
      <c r="M687" s="66"/>
      <c r="N687" s="66"/>
      <c r="O687" s="66"/>
      <c r="P687" s="66"/>
      <c r="Q687" s="23"/>
      <c r="AB687" s="23"/>
      <c r="AC687" s="23"/>
      <c r="AD687" s="23"/>
      <c r="AE687" s="7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71"/>
      <c r="AV687" s="10"/>
      <c r="AW687" s="23"/>
      <c r="BB687" s="66"/>
      <c r="BC687" s="66"/>
      <c r="BD687" s="66"/>
      <c r="BE687" s="66"/>
      <c r="BF687" s="66"/>
      <c r="BG687" s="66"/>
      <c r="BH687" s="66"/>
      <c r="BI687" s="66"/>
      <c r="BJ687" s="66"/>
      <c r="BK687" s="66"/>
      <c r="BL687" s="66"/>
      <c r="BM687" s="66"/>
      <c r="BN687" s="66"/>
      <c r="BO687" s="66"/>
      <c r="BP687" s="66"/>
      <c r="BQ687" s="66"/>
      <c r="BR687" s="66"/>
      <c r="BS687" s="66"/>
      <c r="BT687" s="66"/>
      <c r="BU687" s="66"/>
      <c r="BV687" s="66"/>
      <c r="BW687" s="66"/>
    </row>
    <row r="688" spans="1:75" ht="15.75" customHeight="1">
      <c r="A688" s="65"/>
      <c r="B688" s="66"/>
      <c r="C688" s="66"/>
      <c r="D688" s="66"/>
      <c r="E688" s="66"/>
      <c r="F688" s="65"/>
      <c r="G688" s="65"/>
      <c r="H688" s="66"/>
      <c r="I688" s="66"/>
      <c r="J688" s="66"/>
      <c r="K688" s="66"/>
      <c r="L688" s="66"/>
      <c r="M688" s="66"/>
      <c r="N688" s="66"/>
      <c r="O688" s="66"/>
      <c r="P688" s="66"/>
      <c r="Q688" s="23"/>
      <c r="AB688" s="23"/>
      <c r="AC688" s="23"/>
      <c r="AD688" s="23"/>
      <c r="AE688" s="7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71"/>
      <c r="AV688" s="10"/>
      <c r="AW688" s="23"/>
      <c r="BB688" s="66"/>
      <c r="BC688" s="66"/>
      <c r="BD688" s="66"/>
      <c r="BE688" s="66"/>
      <c r="BF688" s="66"/>
      <c r="BG688" s="66"/>
      <c r="BH688" s="66"/>
      <c r="BI688" s="66"/>
      <c r="BJ688" s="66"/>
      <c r="BK688" s="66"/>
      <c r="BL688" s="66"/>
      <c r="BM688" s="66"/>
      <c r="BN688" s="66"/>
      <c r="BO688" s="66"/>
      <c r="BP688" s="66"/>
      <c r="BQ688" s="66"/>
      <c r="BR688" s="66"/>
      <c r="BS688" s="66"/>
      <c r="BT688" s="66"/>
      <c r="BU688" s="66"/>
      <c r="BV688" s="66"/>
      <c r="BW688" s="66"/>
    </row>
    <row r="689" spans="1:75" ht="15.75" customHeight="1">
      <c r="A689" s="65"/>
      <c r="B689" s="66"/>
      <c r="C689" s="66"/>
      <c r="D689" s="66"/>
      <c r="E689" s="66"/>
      <c r="F689" s="65"/>
      <c r="G689" s="65"/>
      <c r="H689" s="66"/>
      <c r="I689" s="66"/>
      <c r="J689" s="66"/>
      <c r="K689" s="66"/>
      <c r="L689" s="66"/>
      <c r="M689" s="66"/>
      <c r="N689" s="66"/>
      <c r="O689" s="66"/>
      <c r="P689" s="66"/>
      <c r="Q689" s="23"/>
      <c r="AB689" s="23"/>
      <c r="AC689" s="23"/>
      <c r="AD689" s="23"/>
      <c r="AE689" s="7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71"/>
      <c r="AV689" s="10"/>
      <c r="AW689" s="23"/>
      <c r="BB689" s="66"/>
      <c r="BC689" s="66"/>
      <c r="BD689" s="66"/>
      <c r="BE689" s="66"/>
      <c r="BF689" s="66"/>
      <c r="BG689" s="66"/>
      <c r="BH689" s="66"/>
      <c r="BI689" s="66"/>
      <c r="BJ689" s="66"/>
      <c r="BK689" s="66"/>
      <c r="BL689" s="66"/>
      <c r="BM689" s="66"/>
      <c r="BN689" s="66"/>
      <c r="BO689" s="66"/>
      <c r="BP689" s="66"/>
      <c r="BQ689" s="66"/>
      <c r="BR689" s="66"/>
      <c r="BS689" s="66"/>
      <c r="BT689" s="66"/>
      <c r="BU689" s="66"/>
      <c r="BV689" s="66"/>
      <c r="BW689" s="66"/>
    </row>
    <row r="690" spans="1:75" ht="15.75" customHeight="1">
      <c r="A690" s="65"/>
      <c r="B690" s="66"/>
      <c r="C690" s="66"/>
      <c r="D690" s="66"/>
      <c r="E690" s="66"/>
      <c r="F690" s="65"/>
      <c r="G690" s="65"/>
      <c r="H690" s="66"/>
      <c r="I690" s="66"/>
      <c r="J690" s="66"/>
      <c r="K690" s="66"/>
      <c r="L690" s="66"/>
      <c r="M690" s="66"/>
      <c r="N690" s="66"/>
      <c r="O690" s="66"/>
      <c r="P690" s="66"/>
      <c r="Q690" s="23"/>
      <c r="AB690" s="23"/>
      <c r="AC690" s="23"/>
      <c r="AD690" s="23"/>
      <c r="AE690" s="7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71"/>
      <c r="AV690" s="10"/>
      <c r="AW690" s="23"/>
      <c r="BB690" s="66"/>
      <c r="BC690" s="66"/>
      <c r="BD690" s="66"/>
      <c r="BE690" s="66"/>
      <c r="BF690" s="66"/>
      <c r="BG690" s="66"/>
      <c r="BH690" s="66"/>
      <c r="BI690" s="66"/>
      <c r="BJ690" s="66"/>
      <c r="BK690" s="66"/>
      <c r="BL690" s="66"/>
      <c r="BM690" s="66"/>
      <c r="BN690" s="66"/>
      <c r="BO690" s="66"/>
      <c r="BP690" s="66"/>
      <c r="BQ690" s="66"/>
      <c r="BR690" s="66"/>
      <c r="BS690" s="66"/>
      <c r="BT690" s="66"/>
      <c r="BU690" s="66"/>
      <c r="BV690" s="66"/>
      <c r="BW690" s="66"/>
    </row>
    <row r="691" spans="1:75" ht="15.75" customHeight="1">
      <c r="A691" s="65"/>
      <c r="B691" s="66"/>
      <c r="C691" s="66"/>
      <c r="D691" s="66"/>
      <c r="E691" s="66"/>
      <c r="F691" s="65"/>
      <c r="G691" s="65"/>
      <c r="H691" s="66"/>
      <c r="I691" s="66"/>
      <c r="J691" s="66"/>
      <c r="K691" s="66"/>
      <c r="L691" s="66"/>
      <c r="M691" s="66"/>
      <c r="N691" s="66"/>
      <c r="O691" s="66"/>
      <c r="P691" s="66"/>
      <c r="Q691" s="23"/>
      <c r="AB691" s="23"/>
      <c r="AC691" s="23"/>
      <c r="AD691" s="23"/>
      <c r="AE691" s="7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71"/>
      <c r="AV691" s="10"/>
      <c r="AW691" s="23"/>
      <c r="BB691" s="66"/>
      <c r="BC691" s="66"/>
      <c r="BD691" s="66"/>
      <c r="BE691" s="66"/>
      <c r="BF691" s="66"/>
      <c r="BG691" s="66"/>
      <c r="BH691" s="66"/>
      <c r="BI691" s="66"/>
      <c r="BJ691" s="66"/>
      <c r="BK691" s="66"/>
      <c r="BL691" s="66"/>
      <c r="BM691" s="66"/>
      <c r="BN691" s="66"/>
      <c r="BO691" s="66"/>
      <c r="BP691" s="66"/>
      <c r="BQ691" s="66"/>
      <c r="BR691" s="66"/>
      <c r="BS691" s="66"/>
      <c r="BT691" s="66"/>
      <c r="BU691" s="66"/>
      <c r="BV691" s="66"/>
      <c r="BW691" s="66"/>
    </row>
    <row r="692" spans="1:75" ht="15.75" customHeight="1">
      <c r="A692" s="65"/>
      <c r="B692" s="66"/>
      <c r="C692" s="66"/>
      <c r="D692" s="66"/>
      <c r="E692" s="66"/>
      <c r="F692" s="65"/>
      <c r="G692" s="65"/>
      <c r="H692" s="66"/>
      <c r="I692" s="66"/>
      <c r="J692" s="66"/>
      <c r="K692" s="66"/>
      <c r="L692" s="66"/>
      <c r="M692" s="66"/>
      <c r="N692" s="66"/>
      <c r="O692" s="66"/>
      <c r="P692" s="66"/>
      <c r="Q692" s="23"/>
      <c r="AB692" s="23"/>
      <c r="AC692" s="23"/>
      <c r="AD692" s="23"/>
      <c r="AE692" s="7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71"/>
      <c r="AV692" s="10"/>
      <c r="AW692" s="23"/>
      <c r="BB692" s="66"/>
      <c r="BC692" s="66"/>
      <c r="BD692" s="66"/>
      <c r="BE692" s="66"/>
      <c r="BF692" s="66"/>
      <c r="BG692" s="66"/>
      <c r="BH692" s="66"/>
      <c r="BI692" s="66"/>
      <c r="BJ692" s="66"/>
      <c r="BK692" s="66"/>
      <c r="BL692" s="66"/>
      <c r="BM692" s="66"/>
      <c r="BN692" s="66"/>
      <c r="BO692" s="66"/>
      <c r="BP692" s="66"/>
      <c r="BQ692" s="66"/>
      <c r="BR692" s="66"/>
      <c r="BS692" s="66"/>
      <c r="BT692" s="66"/>
      <c r="BU692" s="66"/>
      <c r="BV692" s="66"/>
      <c r="BW692" s="66"/>
    </row>
    <row r="693" spans="1:75" ht="15.75" customHeight="1">
      <c r="A693" s="65"/>
      <c r="B693" s="66"/>
      <c r="C693" s="66"/>
      <c r="D693" s="66"/>
      <c r="E693" s="66"/>
      <c r="F693" s="65"/>
      <c r="G693" s="65"/>
      <c r="H693" s="66"/>
      <c r="I693" s="66"/>
      <c r="J693" s="66"/>
      <c r="K693" s="66"/>
      <c r="L693" s="66"/>
      <c r="M693" s="66"/>
      <c r="N693" s="66"/>
      <c r="O693" s="66"/>
      <c r="P693" s="66"/>
      <c r="Q693" s="23"/>
      <c r="AB693" s="23"/>
      <c r="AC693" s="23"/>
      <c r="AD693" s="23"/>
      <c r="AE693" s="7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71"/>
      <c r="AV693" s="10"/>
      <c r="AW693" s="23"/>
      <c r="BB693" s="66"/>
      <c r="BC693" s="66"/>
      <c r="BD693" s="66"/>
      <c r="BE693" s="66"/>
      <c r="BF693" s="66"/>
      <c r="BG693" s="66"/>
      <c r="BH693" s="66"/>
      <c r="BI693" s="66"/>
      <c r="BJ693" s="66"/>
      <c r="BK693" s="66"/>
      <c r="BL693" s="66"/>
      <c r="BM693" s="66"/>
      <c r="BN693" s="66"/>
      <c r="BO693" s="66"/>
      <c r="BP693" s="66"/>
      <c r="BQ693" s="66"/>
      <c r="BR693" s="66"/>
      <c r="BS693" s="66"/>
      <c r="BT693" s="66"/>
      <c r="BU693" s="66"/>
      <c r="BV693" s="66"/>
      <c r="BW693" s="66"/>
    </row>
    <row r="694" spans="1:75" ht="15.75" customHeight="1">
      <c r="A694" s="65"/>
      <c r="B694" s="66"/>
      <c r="C694" s="66"/>
      <c r="D694" s="66"/>
      <c r="E694" s="66"/>
      <c r="F694" s="65"/>
      <c r="G694" s="65"/>
      <c r="H694" s="66"/>
      <c r="I694" s="66"/>
      <c r="J694" s="66"/>
      <c r="K694" s="66"/>
      <c r="L694" s="66"/>
      <c r="M694" s="66"/>
      <c r="N694" s="66"/>
      <c r="O694" s="66"/>
      <c r="P694" s="66"/>
      <c r="Q694" s="23"/>
      <c r="AB694" s="23"/>
      <c r="AC694" s="23"/>
      <c r="AD694" s="23"/>
      <c r="AE694" s="7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71"/>
      <c r="AV694" s="10"/>
      <c r="AW694" s="23"/>
      <c r="BB694" s="66"/>
      <c r="BC694" s="66"/>
      <c r="BD694" s="66"/>
      <c r="BE694" s="66"/>
      <c r="BF694" s="66"/>
      <c r="BG694" s="66"/>
      <c r="BH694" s="66"/>
      <c r="BI694" s="66"/>
      <c r="BJ694" s="66"/>
      <c r="BK694" s="66"/>
      <c r="BL694" s="66"/>
      <c r="BM694" s="66"/>
      <c r="BN694" s="66"/>
      <c r="BO694" s="66"/>
      <c r="BP694" s="66"/>
      <c r="BQ694" s="66"/>
      <c r="BR694" s="66"/>
      <c r="BS694" s="66"/>
      <c r="BT694" s="66"/>
      <c r="BU694" s="66"/>
      <c r="BV694" s="66"/>
      <c r="BW694" s="66"/>
    </row>
    <row r="695" spans="1:75" ht="15.75" customHeight="1">
      <c r="A695" s="65"/>
      <c r="B695" s="66"/>
      <c r="C695" s="66"/>
      <c r="D695" s="66"/>
      <c r="E695" s="66"/>
      <c r="F695" s="65"/>
      <c r="G695" s="65"/>
      <c r="H695" s="66"/>
      <c r="I695" s="66"/>
      <c r="J695" s="66"/>
      <c r="K695" s="66"/>
      <c r="L695" s="66"/>
      <c r="M695" s="66"/>
      <c r="N695" s="66"/>
      <c r="O695" s="66"/>
      <c r="P695" s="66"/>
      <c r="Q695" s="23"/>
      <c r="AB695" s="23"/>
      <c r="AC695" s="23"/>
      <c r="AD695" s="23"/>
      <c r="AE695" s="7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71"/>
      <c r="AV695" s="10"/>
      <c r="AW695" s="23"/>
      <c r="BB695" s="66"/>
      <c r="BC695" s="66"/>
      <c r="BD695" s="66"/>
      <c r="BE695" s="66"/>
      <c r="BF695" s="66"/>
      <c r="BG695" s="66"/>
      <c r="BH695" s="66"/>
      <c r="BI695" s="66"/>
      <c r="BJ695" s="66"/>
      <c r="BK695" s="66"/>
      <c r="BL695" s="66"/>
      <c r="BM695" s="66"/>
      <c r="BN695" s="66"/>
      <c r="BO695" s="66"/>
      <c r="BP695" s="66"/>
      <c r="BQ695" s="66"/>
      <c r="BR695" s="66"/>
      <c r="BS695" s="66"/>
      <c r="BT695" s="66"/>
      <c r="BU695" s="66"/>
      <c r="BV695" s="66"/>
      <c r="BW695" s="66"/>
    </row>
    <row r="696" spans="1:75" ht="15.75" customHeight="1">
      <c r="A696" s="65"/>
      <c r="B696" s="66"/>
      <c r="C696" s="66"/>
      <c r="D696" s="66"/>
      <c r="E696" s="66"/>
      <c r="F696" s="65"/>
      <c r="G696" s="65"/>
      <c r="H696" s="66"/>
      <c r="I696" s="66"/>
      <c r="J696" s="66"/>
      <c r="K696" s="66"/>
      <c r="L696" s="66"/>
      <c r="M696" s="66"/>
      <c r="N696" s="66"/>
      <c r="O696" s="66"/>
      <c r="P696" s="66"/>
      <c r="Q696" s="23"/>
      <c r="AB696" s="23"/>
      <c r="AC696" s="23"/>
      <c r="AD696" s="23"/>
      <c r="AE696" s="7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71"/>
      <c r="AV696" s="10"/>
      <c r="AW696" s="23"/>
      <c r="BB696" s="66"/>
      <c r="BC696" s="66"/>
      <c r="BD696" s="66"/>
      <c r="BE696" s="66"/>
      <c r="BF696" s="66"/>
      <c r="BG696" s="66"/>
      <c r="BH696" s="66"/>
      <c r="BI696" s="66"/>
      <c r="BJ696" s="66"/>
      <c r="BK696" s="66"/>
      <c r="BL696" s="66"/>
      <c r="BM696" s="66"/>
      <c r="BN696" s="66"/>
      <c r="BO696" s="66"/>
      <c r="BP696" s="66"/>
      <c r="BQ696" s="66"/>
      <c r="BR696" s="66"/>
      <c r="BS696" s="66"/>
      <c r="BT696" s="66"/>
      <c r="BU696" s="66"/>
      <c r="BV696" s="66"/>
      <c r="BW696" s="66"/>
    </row>
    <row r="697" spans="1:75" ht="15.75" customHeight="1">
      <c r="A697" s="65"/>
      <c r="B697" s="66"/>
      <c r="C697" s="66"/>
      <c r="D697" s="66"/>
      <c r="E697" s="66"/>
      <c r="F697" s="65"/>
      <c r="G697" s="65"/>
      <c r="H697" s="66"/>
      <c r="I697" s="66"/>
      <c r="J697" s="66"/>
      <c r="K697" s="66"/>
      <c r="L697" s="66"/>
      <c r="M697" s="66"/>
      <c r="N697" s="66"/>
      <c r="O697" s="66"/>
      <c r="P697" s="66"/>
      <c r="Q697" s="23"/>
      <c r="AB697" s="23"/>
      <c r="AC697" s="23"/>
      <c r="AD697" s="23"/>
      <c r="AE697" s="7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71"/>
      <c r="AV697" s="10"/>
      <c r="AW697" s="23"/>
      <c r="BB697" s="66"/>
      <c r="BC697" s="66"/>
      <c r="BD697" s="66"/>
      <c r="BE697" s="66"/>
      <c r="BF697" s="66"/>
      <c r="BG697" s="66"/>
      <c r="BH697" s="66"/>
      <c r="BI697" s="66"/>
      <c r="BJ697" s="66"/>
      <c r="BK697" s="66"/>
      <c r="BL697" s="66"/>
      <c r="BM697" s="66"/>
      <c r="BN697" s="66"/>
      <c r="BO697" s="66"/>
      <c r="BP697" s="66"/>
      <c r="BQ697" s="66"/>
      <c r="BR697" s="66"/>
      <c r="BS697" s="66"/>
      <c r="BT697" s="66"/>
      <c r="BU697" s="66"/>
      <c r="BV697" s="66"/>
      <c r="BW697" s="66"/>
    </row>
    <row r="698" spans="1:75" ht="15.75" customHeight="1">
      <c r="A698" s="65"/>
      <c r="B698" s="66"/>
      <c r="C698" s="66"/>
      <c r="D698" s="66"/>
      <c r="E698" s="66"/>
      <c r="F698" s="65"/>
      <c r="G698" s="65"/>
      <c r="H698" s="66"/>
      <c r="I698" s="66"/>
      <c r="J698" s="66"/>
      <c r="K698" s="66"/>
      <c r="L698" s="66"/>
      <c r="M698" s="66"/>
      <c r="N698" s="66"/>
      <c r="O698" s="66"/>
      <c r="P698" s="66"/>
      <c r="Q698" s="23"/>
      <c r="AB698" s="23"/>
      <c r="AC698" s="23"/>
      <c r="AD698" s="23"/>
      <c r="AE698" s="7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71"/>
      <c r="AV698" s="10"/>
      <c r="AW698" s="23"/>
      <c r="BB698" s="66"/>
      <c r="BC698" s="66"/>
      <c r="BD698" s="66"/>
      <c r="BE698" s="66"/>
      <c r="BF698" s="66"/>
      <c r="BG698" s="66"/>
      <c r="BH698" s="66"/>
      <c r="BI698" s="66"/>
      <c r="BJ698" s="66"/>
      <c r="BK698" s="66"/>
      <c r="BL698" s="66"/>
      <c r="BM698" s="66"/>
      <c r="BN698" s="66"/>
      <c r="BO698" s="66"/>
      <c r="BP698" s="66"/>
      <c r="BQ698" s="66"/>
      <c r="BR698" s="66"/>
      <c r="BS698" s="66"/>
      <c r="BT698" s="66"/>
      <c r="BU698" s="66"/>
      <c r="BV698" s="66"/>
      <c r="BW698" s="66"/>
    </row>
    <row r="699" spans="1:75" ht="15.75" customHeight="1">
      <c r="A699" s="65"/>
      <c r="B699" s="66"/>
      <c r="C699" s="66"/>
      <c r="D699" s="66"/>
      <c r="E699" s="66"/>
      <c r="F699" s="65"/>
      <c r="G699" s="65"/>
      <c r="H699" s="66"/>
      <c r="I699" s="66"/>
      <c r="J699" s="66"/>
      <c r="K699" s="66"/>
      <c r="L699" s="66"/>
      <c r="M699" s="66"/>
      <c r="N699" s="66"/>
      <c r="O699" s="66"/>
      <c r="P699" s="66"/>
      <c r="Q699" s="23"/>
      <c r="AB699" s="23"/>
      <c r="AC699" s="23"/>
      <c r="AD699" s="23"/>
      <c r="AE699" s="7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71"/>
      <c r="AV699" s="10"/>
      <c r="AW699" s="23"/>
      <c r="BB699" s="66"/>
      <c r="BC699" s="66"/>
      <c r="BD699" s="66"/>
      <c r="BE699" s="66"/>
      <c r="BF699" s="66"/>
      <c r="BG699" s="66"/>
      <c r="BH699" s="66"/>
      <c r="BI699" s="66"/>
      <c r="BJ699" s="66"/>
      <c r="BK699" s="66"/>
      <c r="BL699" s="66"/>
      <c r="BM699" s="66"/>
      <c r="BN699" s="66"/>
      <c r="BO699" s="66"/>
      <c r="BP699" s="66"/>
      <c r="BQ699" s="66"/>
      <c r="BR699" s="66"/>
      <c r="BS699" s="66"/>
      <c r="BT699" s="66"/>
      <c r="BU699" s="66"/>
      <c r="BV699" s="66"/>
      <c r="BW699" s="66"/>
    </row>
    <row r="700" spans="1:75" ht="15.75" customHeight="1">
      <c r="A700" s="65"/>
      <c r="B700" s="66"/>
      <c r="C700" s="66"/>
      <c r="D700" s="66"/>
      <c r="E700" s="66"/>
      <c r="F700" s="65"/>
      <c r="G700" s="65"/>
      <c r="H700" s="66"/>
      <c r="I700" s="66"/>
      <c r="J700" s="66"/>
      <c r="K700" s="66"/>
      <c r="L700" s="66"/>
      <c r="M700" s="66"/>
      <c r="N700" s="66"/>
      <c r="O700" s="66"/>
      <c r="P700" s="66"/>
      <c r="Q700" s="23"/>
      <c r="AB700" s="23"/>
      <c r="AC700" s="23"/>
      <c r="AD700" s="23"/>
      <c r="AE700" s="7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71"/>
      <c r="AV700" s="10"/>
      <c r="AW700" s="23"/>
      <c r="BB700" s="66"/>
      <c r="BC700" s="66"/>
      <c r="BD700" s="66"/>
      <c r="BE700" s="66"/>
      <c r="BF700" s="66"/>
      <c r="BG700" s="66"/>
      <c r="BH700" s="66"/>
      <c r="BI700" s="66"/>
      <c r="BJ700" s="66"/>
      <c r="BK700" s="66"/>
      <c r="BL700" s="66"/>
      <c r="BM700" s="66"/>
      <c r="BN700" s="66"/>
      <c r="BO700" s="66"/>
      <c r="BP700" s="66"/>
      <c r="BQ700" s="66"/>
      <c r="BR700" s="66"/>
      <c r="BS700" s="66"/>
      <c r="BT700" s="66"/>
      <c r="BU700" s="66"/>
      <c r="BV700" s="66"/>
      <c r="BW700" s="66"/>
    </row>
    <row r="701" spans="1:75" ht="15.75" customHeight="1">
      <c r="A701" s="65"/>
      <c r="B701" s="66"/>
      <c r="C701" s="66"/>
      <c r="D701" s="66"/>
      <c r="E701" s="66"/>
      <c r="F701" s="65"/>
      <c r="G701" s="65"/>
      <c r="H701" s="66"/>
      <c r="I701" s="66"/>
      <c r="J701" s="66"/>
      <c r="K701" s="66"/>
      <c r="L701" s="66"/>
      <c r="M701" s="66"/>
      <c r="N701" s="66"/>
      <c r="O701" s="66"/>
      <c r="P701" s="66"/>
      <c r="Q701" s="23"/>
      <c r="AB701" s="23"/>
      <c r="AC701" s="23"/>
      <c r="AD701" s="23"/>
      <c r="AE701" s="7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71"/>
      <c r="AV701" s="10"/>
      <c r="AW701" s="23"/>
      <c r="BB701" s="66"/>
      <c r="BC701" s="66"/>
      <c r="BD701" s="66"/>
      <c r="BE701" s="66"/>
      <c r="BF701" s="66"/>
      <c r="BG701" s="66"/>
      <c r="BH701" s="66"/>
      <c r="BI701" s="66"/>
      <c r="BJ701" s="66"/>
      <c r="BK701" s="66"/>
      <c r="BL701" s="66"/>
      <c r="BM701" s="66"/>
      <c r="BN701" s="66"/>
      <c r="BO701" s="66"/>
      <c r="BP701" s="66"/>
      <c r="BQ701" s="66"/>
      <c r="BR701" s="66"/>
      <c r="BS701" s="66"/>
      <c r="BT701" s="66"/>
      <c r="BU701" s="66"/>
      <c r="BV701" s="66"/>
      <c r="BW701" s="66"/>
    </row>
    <row r="702" spans="1:75" ht="15.75" customHeight="1">
      <c r="A702" s="65"/>
      <c r="B702" s="66"/>
      <c r="C702" s="66"/>
      <c r="D702" s="66"/>
      <c r="E702" s="66"/>
      <c r="F702" s="65"/>
      <c r="G702" s="65"/>
      <c r="H702" s="66"/>
      <c r="I702" s="66"/>
      <c r="J702" s="66"/>
      <c r="K702" s="66"/>
      <c r="L702" s="66"/>
      <c r="M702" s="66"/>
      <c r="N702" s="66"/>
      <c r="O702" s="66"/>
      <c r="P702" s="66"/>
      <c r="Q702" s="23"/>
      <c r="AB702" s="23"/>
      <c r="AC702" s="23"/>
      <c r="AD702" s="23"/>
      <c r="AE702" s="7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71"/>
      <c r="AV702" s="10"/>
      <c r="AW702" s="23"/>
      <c r="BB702" s="66"/>
      <c r="BC702" s="66"/>
      <c r="BD702" s="66"/>
      <c r="BE702" s="66"/>
      <c r="BF702" s="66"/>
      <c r="BG702" s="66"/>
      <c r="BH702" s="66"/>
      <c r="BI702" s="66"/>
      <c r="BJ702" s="66"/>
      <c r="BK702" s="66"/>
      <c r="BL702" s="66"/>
      <c r="BM702" s="66"/>
      <c r="BN702" s="66"/>
      <c r="BO702" s="66"/>
      <c r="BP702" s="66"/>
      <c r="BQ702" s="66"/>
      <c r="BR702" s="66"/>
      <c r="BS702" s="66"/>
      <c r="BT702" s="66"/>
      <c r="BU702" s="66"/>
      <c r="BV702" s="66"/>
      <c r="BW702" s="66"/>
    </row>
    <row r="703" spans="1:75" ht="15.75" customHeight="1">
      <c r="A703" s="65"/>
      <c r="B703" s="66"/>
      <c r="C703" s="66"/>
      <c r="D703" s="66"/>
      <c r="E703" s="66"/>
      <c r="F703" s="65"/>
      <c r="G703" s="65"/>
      <c r="H703" s="66"/>
      <c r="I703" s="66"/>
      <c r="J703" s="66"/>
      <c r="K703" s="66"/>
      <c r="L703" s="66"/>
      <c r="M703" s="66"/>
      <c r="N703" s="66"/>
      <c r="O703" s="66"/>
      <c r="P703" s="66"/>
      <c r="Q703" s="23"/>
      <c r="AB703" s="23"/>
      <c r="AC703" s="23"/>
      <c r="AD703" s="23"/>
      <c r="AE703" s="7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71"/>
      <c r="AV703" s="10"/>
      <c r="AW703" s="23"/>
      <c r="BB703" s="66"/>
      <c r="BC703" s="66"/>
      <c r="BD703" s="66"/>
      <c r="BE703" s="66"/>
      <c r="BF703" s="66"/>
      <c r="BG703" s="66"/>
      <c r="BH703" s="66"/>
      <c r="BI703" s="66"/>
      <c r="BJ703" s="66"/>
      <c r="BK703" s="66"/>
      <c r="BL703" s="66"/>
      <c r="BM703" s="66"/>
      <c r="BN703" s="66"/>
      <c r="BO703" s="66"/>
      <c r="BP703" s="66"/>
      <c r="BQ703" s="66"/>
      <c r="BR703" s="66"/>
      <c r="BS703" s="66"/>
      <c r="BT703" s="66"/>
      <c r="BU703" s="66"/>
      <c r="BV703" s="66"/>
      <c r="BW703" s="66"/>
    </row>
    <row r="704" spans="1:75" ht="15.75" customHeight="1">
      <c r="A704" s="65"/>
      <c r="B704" s="66"/>
      <c r="C704" s="66"/>
      <c r="D704" s="66"/>
      <c r="E704" s="66"/>
      <c r="F704" s="65"/>
      <c r="G704" s="65"/>
      <c r="H704" s="66"/>
      <c r="I704" s="66"/>
      <c r="J704" s="66"/>
      <c r="K704" s="66"/>
      <c r="L704" s="66"/>
      <c r="M704" s="66"/>
      <c r="N704" s="66"/>
      <c r="O704" s="66"/>
      <c r="P704" s="66"/>
      <c r="Q704" s="23"/>
      <c r="AB704" s="23"/>
      <c r="AC704" s="23"/>
      <c r="AD704" s="23"/>
      <c r="AE704" s="7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71"/>
      <c r="AV704" s="10"/>
      <c r="AW704" s="23"/>
      <c r="BB704" s="66"/>
      <c r="BC704" s="66"/>
      <c r="BD704" s="66"/>
      <c r="BE704" s="66"/>
      <c r="BF704" s="66"/>
      <c r="BG704" s="66"/>
      <c r="BH704" s="66"/>
      <c r="BI704" s="66"/>
      <c r="BJ704" s="66"/>
      <c r="BK704" s="66"/>
      <c r="BL704" s="66"/>
      <c r="BM704" s="66"/>
      <c r="BN704" s="66"/>
      <c r="BO704" s="66"/>
      <c r="BP704" s="66"/>
      <c r="BQ704" s="66"/>
      <c r="BR704" s="66"/>
      <c r="BS704" s="66"/>
      <c r="BT704" s="66"/>
      <c r="BU704" s="66"/>
      <c r="BV704" s="66"/>
      <c r="BW704" s="66"/>
    </row>
    <row r="705" spans="1:75" ht="15.75" customHeight="1">
      <c r="A705" s="65"/>
      <c r="B705" s="66"/>
      <c r="C705" s="66"/>
      <c r="D705" s="66"/>
      <c r="E705" s="66"/>
      <c r="F705" s="65"/>
      <c r="G705" s="65"/>
      <c r="H705" s="66"/>
      <c r="I705" s="66"/>
      <c r="J705" s="66"/>
      <c r="K705" s="66"/>
      <c r="L705" s="66"/>
      <c r="M705" s="66"/>
      <c r="N705" s="66"/>
      <c r="O705" s="66"/>
      <c r="P705" s="66"/>
      <c r="Q705" s="23"/>
      <c r="AB705" s="23"/>
      <c r="AC705" s="23"/>
      <c r="AD705" s="23"/>
      <c r="AE705" s="7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71"/>
      <c r="AV705" s="10"/>
      <c r="AW705" s="23"/>
      <c r="BB705" s="66"/>
      <c r="BC705" s="66"/>
      <c r="BD705" s="66"/>
      <c r="BE705" s="66"/>
      <c r="BF705" s="66"/>
      <c r="BG705" s="66"/>
      <c r="BH705" s="66"/>
      <c r="BI705" s="66"/>
      <c r="BJ705" s="66"/>
      <c r="BK705" s="66"/>
      <c r="BL705" s="66"/>
      <c r="BM705" s="66"/>
      <c r="BN705" s="66"/>
      <c r="BO705" s="66"/>
      <c r="BP705" s="66"/>
      <c r="BQ705" s="66"/>
      <c r="BR705" s="66"/>
      <c r="BS705" s="66"/>
      <c r="BT705" s="66"/>
      <c r="BU705" s="66"/>
      <c r="BV705" s="66"/>
      <c r="BW705" s="66"/>
    </row>
    <row r="706" spans="1:75" ht="15.75" customHeight="1">
      <c r="A706" s="65"/>
      <c r="B706" s="66"/>
      <c r="C706" s="66"/>
      <c r="D706" s="66"/>
      <c r="E706" s="66"/>
      <c r="F706" s="65"/>
      <c r="G706" s="65"/>
      <c r="H706" s="66"/>
      <c r="I706" s="66"/>
      <c r="J706" s="66"/>
      <c r="K706" s="66"/>
      <c r="L706" s="66"/>
      <c r="M706" s="66"/>
      <c r="N706" s="66"/>
      <c r="O706" s="66"/>
      <c r="P706" s="66"/>
      <c r="Q706" s="23"/>
      <c r="AB706" s="23"/>
      <c r="AC706" s="23"/>
      <c r="AD706" s="23"/>
      <c r="AE706" s="7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71"/>
      <c r="AV706" s="10"/>
      <c r="AW706" s="23"/>
      <c r="BB706" s="66"/>
      <c r="BC706" s="66"/>
      <c r="BD706" s="66"/>
      <c r="BE706" s="66"/>
      <c r="BF706" s="66"/>
      <c r="BG706" s="66"/>
      <c r="BH706" s="66"/>
      <c r="BI706" s="66"/>
      <c r="BJ706" s="66"/>
      <c r="BK706" s="66"/>
      <c r="BL706" s="66"/>
      <c r="BM706" s="66"/>
      <c r="BN706" s="66"/>
      <c r="BO706" s="66"/>
      <c r="BP706" s="66"/>
      <c r="BQ706" s="66"/>
      <c r="BR706" s="66"/>
      <c r="BS706" s="66"/>
      <c r="BT706" s="66"/>
      <c r="BU706" s="66"/>
      <c r="BV706" s="66"/>
      <c r="BW706" s="66"/>
    </row>
    <row r="707" spans="1:75" ht="15.75" customHeight="1">
      <c r="A707" s="65"/>
      <c r="B707" s="66"/>
      <c r="C707" s="66"/>
      <c r="D707" s="66"/>
      <c r="E707" s="66"/>
      <c r="F707" s="65"/>
      <c r="G707" s="65"/>
      <c r="H707" s="66"/>
      <c r="I707" s="66"/>
      <c r="J707" s="66"/>
      <c r="K707" s="66"/>
      <c r="L707" s="66"/>
      <c r="M707" s="66"/>
      <c r="N707" s="66"/>
      <c r="O707" s="66"/>
      <c r="P707" s="66"/>
      <c r="Q707" s="23"/>
      <c r="AB707" s="23"/>
      <c r="AC707" s="23"/>
      <c r="AD707" s="23"/>
      <c r="AE707" s="7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71"/>
      <c r="AV707" s="10"/>
      <c r="AW707" s="23"/>
      <c r="BB707" s="66"/>
      <c r="BC707" s="66"/>
      <c r="BD707" s="66"/>
      <c r="BE707" s="66"/>
      <c r="BF707" s="66"/>
      <c r="BG707" s="66"/>
      <c r="BH707" s="66"/>
      <c r="BI707" s="66"/>
      <c r="BJ707" s="66"/>
      <c r="BK707" s="66"/>
      <c r="BL707" s="66"/>
      <c r="BM707" s="66"/>
      <c r="BN707" s="66"/>
      <c r="BO707" s="66"/>
      <c r="BP707" s="66"/>
      <c r="BQ707" s="66"/>
      <c r="BR707" s="66"/>
      <c r="BS707" s="66"/>
      <c r="BT707" s="66"/>
      <c r="BU707" s="66"/>
      <c r="BV707" s="66"/>
      <c r="BW707" s="66"/>
    </row>
    <row r="708" spans="1:75" ht="15.75" customHeight="1">
      <c r="A708" s="65"/>
      <c r="B708" s="66"/>
      <c r="C708" s="66"/>
      <c r="D708" s="66"/>
      <c r="E708" s="66"/>
      <c r="F708" s="65"/>
      <c r="G708" s="65"/>
      <c r="H708" s="66"/>
      <c r="I708" s="66"/>
      <c r="J708" s="66"/>
      <c r="K708" s="66"/>
      <c r="L708" s="66"/>
      <c r="M708" s="66"/>
      <c r="N708" s="66"/>
      <c r="O708" s="66"/>
      <c r="P708" s="66"/>
      <c r="Q708" s="23"/>
      <c r="AB708" s="23"/>
      <c r="AC708" s="23"/>
      <c r="AD708" s="23"/>
      <c r="AE708" s="7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71"/>
      <c r="AV708" s="10"/>
      <c r="AW708" s="23"/>
      <c r="BB708" s="66"/>
      <c r="BC708" s="66"/>
      <c r="BD708" s="66"/>
      <c r="BE708" s="66"/>
      <c r="BF708" s="66"/>
      <c r="BG708" s="66"/>
      <c r="BH708" s="66"/>
      <c r="BI708" s="66"/>
      <c r="BJ708" s="66"/>
      <c r="BK708" s="66"/>
      <c r="BL708" s="66"/>
      <c r="BM708" s="66"/>
      <c r="BN708" s="66"/>
      <c r="BO708" s="66"/>
      <c r="BP708" s="66"/>
      <c r="BQ708" s="66"/>
      <c r="BR708" s="66"/>
      <c r="BS708" s="66"/>
      <c r="BT708" s="66"/>
      <c r="BU708" s="66"/>
      <c r="BV708" s="66"/>
      <c r="BW708" s="66"/>
    </row>
    <row r="709" spans="1:75" ht="15.75" customHeight="1">
      <c r="A709" s="65"/>
      <c r="B709" s="66"/>
      <c r="C709" s="66"/>
      <c r="D709" s="66"/>
      <c r="E709" s="66"/>
      <c r="F709" s="65"/>
      <c r="G709" s="65"/>
      <c r="H709" s="66"/>
      <c r="I709" s="66"/>
      <c r="J709" s="66"/>
      <c r="K709" s="66"/>
      <c r="L709" s="66"/>
      <c r="M709" s="66"/>
      <c r="N709" s="66"/>
      <c r="O709" s="66"/>
      <c r="P709" s="66"/>
      <c r="Q709" s="23"/>
      <c r="AB709" s="23"/>
      <c r="AC709" s="23"/>
      <c r="AD709" s="23"/>
      <c r="AE709" s="7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71"/>
      <c r="AV709" s="10"/>
      <c r="AW709" s="23"/>
      <c r="BB709" s="66"/>
      <c r="BC709" s="66"/>
      <c r="BD709" s="66"/>
      <c r="BE709" s="66"/>
      <c r="BF709" s="66"/>
      <c r="BG709" s="66"/>
      <c r="BH709" s="66"/>
      <c r="BI709" s="66"/>
      <c r="BJ709" s="66"/>
      <c r="BK709" s="66"/>
      <c r="BL709" s="66"/>
      <c r="BM709" s="66"/>
      <c r="BN709" s="66"/>
      <c r="BO709" s="66"/>
      <c r="BP709" s="66"/>
      <c r="BQ709" s="66"/>
      <c r="BR709" s="66"/>
      <c r="BS709" s="66"/>
      <c r="BT709" s="66"/>
      <c r="BU709" s="66"/>
      <c r="BV709" s="66"/>
      <c r="BW709" s="66"/>
    </row>
    <row r="710" spans="1:75" ht="15.75" customHeight="1">
      <c r="A710" s="65"/>
      <c r="B710" s="66"/>
      <c r="C710" s="66"/>
      <c r="D710" s="66"/>
      <c r="E710" s="66"/>
      <c r="F710" s="65"/>
      <c r="G710" s="65"/>
      <c r="H710" s="66"/>
      <c r="I710" s="66"/>
      <c r="J710" s="66"/>
      <c r="K710" s="66"/>
      <c r="L710" s="66"/>
      <c r="M710" s="66"/>
      <c r="N710" s="66"/>
      <c r="O710" s="66"/>
      <c r="P710" s="66"/>
      <c r="Q710" s="23"/>
      <c r="AB710" s="23"/>
      <c r="AC710" s="23"/>
      <c r="AD710" s="23"/>
      <c r="AE710" s="7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71"/>
      <c r="AV710" s="10"/>
      <c r="AW710" s="23"/>
      <c r="BB710" s="66"/>
      <c r="BC710" s="66"/>
      <c r="BD710" s="66"/>
      <c r="BE710" s="66"/>
      <c r="BF710" s="66"/>
      <c r="BG710" s="66"/>
      <c r="BH710" s="66"/>
      <c r="BI710" s="66"/>
      <c r="BJ710" s="66"/>
      <c r="BK710" s="66"/>
      <c r="BL710" s="66"/>
      <c r="BM710" s="66"/>
      <c r="BN710" s="66"/>
      <c r="BO710" s="66"/>
      <c r="BP710" s="66"/>
      <c r="BQ710" s="66"/>
      <c r="BR710" s="66"/>
      <c r="BS710" s="66"/>
      <c r="BT710" s="66"/>
      <c r="BU710" s="66"/>
      <c r="BV710" s="66"/>
      <c r="BW710" s="66"/>
    </row>
    <row r="711" spans="1:75" ht="15.75" customHeight="1">
      <c r="A711" s="65"/>
      <c r="B711" s="66"/>
      <c r="C711" s="66"/>
      <c r="D711" s="66"/>
      <c r="E711" s="66"/>
      <c r="F711" s="65"/>
      <c r="G711" s="65"/>
      <c r="H711" s="66"/>
      <c r="I711" s="66"/>
      <c r="J711" s="66"/>
      <c r="K711" s="66"/>
      <c r="L711" s="66"/>
      <c r="M711" s="66"/>
      <c r="N711" s="66"/>
      <c r="O711" s="66"/>
      <c r="P711" s="66"/>
      <c r="Q711" s="23"/>
      <c r="AB711" s="23"/>
      <c r="AC711" s="23"/>
      <c r="AD711" s="23"/>
      <c r="AE711" s="7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71"/>
      <c r="AV711" s="10"/>
      <c r="AW711" s="23"/>
      <c r="BB711" s="66"/>
      <c r="BC711" s="66"/>
      <c r="BD711" s="66"/>
      <c r="BE711" s="66"/>
      <c r="BF711" s="66"/>
      <c r="BG711" s="66"/>
      <c r="BH711" s="66"/>
      <c r="BI711" s="66"/>
      <c r="BJ711" s="66"/>
      <c r="BK711" s="66"/>
      <c r="BL711" s="66"/>
      <c r="BM711" s="66"/>
      <c r="BN711" s="66"/>
      <c r="BO711" s="66"/>
      <c r="BP711" s="66"/>
      <c r="BQ711" s="66"/>
      <c r="BR711" s="66"/>
      <c r="BS711" s="66"/>
      <c r="BT711" s="66"/>
      <c r="BU711" s="66"/>
      <c r="BV711" s="66"/>
      <c r="BW711" s="66"/>
    </row>
    <row r="712" spans="1:75" ht="15.75" customHeight="1">
      <c r="A712" s="65"/>
      <c r="B712" s="66"/>
      <c r="C712" s="66"/>
      <c r="D712" s="66"/>
      <c r="E712" s="66"/>
      <c r="F712" s="65"/>
      <c r="G712" s="65"/>
      <c r="H712" s="66"/>
      <c r="I712" s="66"/>
      <c r="J712" s="66"/>
      <c r="K712" s="66"/>
      <c r="L712" s="66"/>
      <c r="M712" s="66"/>
      <c r="N712" s="66"/>
      <c r="O712" s="66"/>
      <c r="P712" s="66"/>
      <c r="Q712" s="23"/>
      <c r="AB712" s="23"/>
      <c r="AC712" s="23"/>
      <c r="AD712" s="23"/>
      <c r="AE712" s="7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71"/>
      <c r="AV712" s="10"/>
      <c r="AW712" s="23"/>
      <c r="BB712" s="66"/>
      <c r="BC712" s="66"/>
      <c r="BD712" s="66"/>
      <c r="BE712" s="66"/>
      <c r="BF712" s="66"/>
      <c r="BG712" s="66"/>
      <c r="BH712" s="66"/>
      <c r="BI712" s="66"/>
      <c r="BJ712" s="66"/>
      <c r="BK712" s="66"/>
      <c r="BL712" s="66"/>
      <c r="BM712" s="66"/>
      <c r="BN712" s="66"/>
      <c r="BO712" s="66"/>
      <c r="BP712" s="66"/>
      <c r="BQ712" s="66"/>
      <c r="BR712" s="66"/>
      <c r="BS712" s="66"/>
      <c r="BT712" s="66"/>
      <c r="BU712" s="66"/>
      <c r="BV712" s="66"/>
      <c r="BW712" s="66"/>
    </row>
    <row r="713" spans="1:75" ht="15.75" customHeight="1">
      <c r="A713" s="65"/>
      <c r="B713" s="66"/>
      <c r="C713" s="66"/>
      <c r="D713" s="66"/>
      <c r="E713" s="66"/>
      <c r="F713" s="65"/>
      <c r="G713" s="65"/>
      <c r="H713" s="66"/>
      <c r="I713" s="66"/>
      <c r="J713" s="66"/>
      <c r="K713" s="66"/>
      <c r="L713" s="66"/>
      <c r="M713" s="66"/>
      <c r="N713" s="66"/>
      <c r="O713" s="66"/>
      <c r="P713" s="66"/>
      <c r="Q713" s="23"/>
      <c r="AB713" s="23"/>
      <c r="AC713" s="23"/>
      <c r="AD713" s="23"/>
      <c r="AE713" s="7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71"/>
      <c r="AV713" s="10"/>
      <c r="AW713" s="23"/>
      <c r="BB713" s="66"/>
      <c r="BC713" s="66"/>
      <c r="BD713" s="66"/>
      <c r="BE713" s="66"/>
      <c r="BF713" s="66"/>
      <c r="BG713" s="66"/>
      <c r="BH713" s="66"/>
      <c r="BI713" s="66"/>
      <c r="BJ713" s="66"/>
      <c r="BK713" s="66"/>
      <c r="BL713" s="66"/>
      <c r="BM713" s="66"/>
      <c r="BN713" s="66"/>
      <c r="BO713" s="66"/>
      <c r="BP713" s="66"/>
      <c r="BQ713" s="66"/>
      <c r="BR713" s="66"/>
      <c r="BS713" s="66"/>
      <c r="BT713" s="66"/>
      <c r="BU713" s="66"/>
      <c r="BV713" s="66"/>
      <c r="BW713" s="66"/>
    </row>
    <row r="714" spans="1:75" ht="15.75" customHeight="1">
      <c r="A714" s="65"/>
      <c r="B714" s="66"/>
      <c r="C714" s="66"/>
      <c r="D714" s="66"/>
      <c r="E714" s="66"/>
      <c r="F714" s="65"/>
      <c r="G714" s="65"/>
      <c r="H714" s="66"/>
      <c r="I714" s="66"/>
      <c r="J714" s="66"/>
      <c r="K714" s="66"/>
      <c r="L714" s="66"/>
      <c r="M714" s="66"/>
      <c r="N714" s="66"/>
      <c r="O714" s="66"/>
      <c r="P714" s="66"/>
      <c r="Q714" s="23"/>
      <c r="AB714" s="23"/>
      <c r="AC714" s="23"/>
      <c r="AD714" s="23"/>
      <c r="AE714" s="7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71"/>
      <c r="AV714" s="10"/>
      <c r="AW714" s="23"/>
      <c r="BB714" s="66"/>
      <c r="BC714" s="66"/>
      <c r="BD714" s="66"/>
      <c r="BE714" s="66"/>
      <c r="BF714" s="66"/>
      <c r="BG714" s="66"/>
      <c r="BH714" s="66"/>
      <c r="BI714" s="66"/>
      <c r="BJ714" s="66"/>
      <c r="BK714" s="66"/>
      <c r="BL714" s="66"/>
      <c r="BM714" s="66"/>
      <c r="BN714" s="66"/>
      <c r="BO714" s="66"/>
      <c r="BP714" s="66"/>
      <c r="BQ714" s="66"/>
      <c r="BR714" s="66"/>
      <c r="BS714" s="66"/>
      <c r="BT714" s="66"/>
      <c r="BU714" s="66"/>
      <c r="BV714" s="66"/>
      <c r="BW714" s="66"/>
    </row>
    <row r="715" spans="1:75" ht="15.75" customHeight="1">
      <c r="A715" s="65"/>
      <c r="B715" s="66"/>
      <c r="C715" s="66"/>
      <c r="D715" s="66"/>
      <c r="E715" s="66"/>
      <c r="F715" s="65"/>
      <c r="G715" s="65"/>
      <c r="H715" s="66"/>
      <c r="I715" s="66"/>
      <c r="J715" s="66"/>
      <c r="K715" s="66"/>
      <c r="L715" s="66"/>
      <c r="M715" s="66"/>
      <c r="N715" s="66"/>
      <c r="O715" s="66"/>
      <c r="P715" s="66"/>
      <c r="Q715" s="23"/>
      <c r="AB715" s="23"/>
      <c r="AC715" s="23"/>
      <c r="AD715" s="23"/>
      <c r="AE715" s="7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71"/>
      <c r="AV715" s="10"/>
      <c r="AW715" s="23"/>
      <c r="BB715" s="66"/>
      <c r="BC715" s="66"/>
      <c r="BD715" s="66"/>
      <c r="BE715" s="66"/>
      <c r="BF715" s="66"/>
      <c r="BG715" s="66"/>
      <c r="BH715" s="66"/>
      <c r="BI715" s="66"/>
      <c r="BJ715" s="66"/>
      <c r="BK715" s="66"/>
      <c r="BL715" s="66"/>
      <c r="BM715" s="66"/>
      <c r="BN715" s="66"/>
      <c r="BO715" s="66"/>
      <c r="BP715" s="66"/>
      <c r="BQ715" s="66"/>
      <c r="BR715" s="66"/>
      <c r="BS715" s="66"/>
      <c r="BT715" s="66"/>
      <c r="BU715" s="66"/>
      <c r="BV715" s="66"/>
      <c r="BW715" s="66"/>
    </row>
    <row r="716" spans="1:75" ht="15.75" customHeight="1">
      <c r="A716" s="65"/>
      <c r="B716" s="66"/>
      <c r="C716" s="66"/>
      <c r="D716" s="66"/>
      <c r="E716" s="66"/>
      <c r="F716" s="65"/>
      <c r="G716" s="65"/>
      <c r="H716" s="66"/>
      <c r="I716" s="66"/>
      <c r="J716" s="66"/>
      <c r="K716" s="66"/>
      <c r="L716" s="66"/>
      <c r="M716" s="66"/>
      <c r="N716" s="66"/>
      <c r="O716" s="66"/>
      <c r="P716" s="66"/>
      <c r="Q716" s="23"/>
      <c r="AB716" s="23"/>
      <c r="AC716" s="23"/>
      <c r="AD716" s="23"/>
      <c r="AE716" s="7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71"/>
      <c r="AV716" s="10"/>
      <c r="AW716" s="23"/>
      <c r="BB716" s="66"/>
      <c r="BC716" s="66"/>
      <c r="BD716" s="66"/>
      <c r="BE716" s="66"/>
      <c r="BF716" s="66"/>
      <c r="BG716" s="66"/>
      <c r="BH716" s="66"/>
      <c r="BI716" s="66"/>
      <c r="BJ716" s="66"/>
      <c r="BK716" s="66"/>
      <c r="BL716" s="66"/>
      <c r="BM716" s="66"/>
      <c r="BN716" s="66"/>
      <c r="BO716" s="66"/>
      <c r="BP716" s="66"/>
      <c r="BQ716" s="66"/>
      <c r="BR716" s="66"/>
      <c r="BS716" s="66"/>
      <c r="BT716" s="66"/>
      <c r="BU716" s="66"/>
      <c r="BV716" s="66"/>
      <c r="BW716" s="66"/>
    </row>
    <row r="717" spans="1:75" ht="15.75" customHeight="1">
      <c r="A717" s="65"/>
      <c r="B717" s="66"/>
      <c r="C717" s="66"/>
      <c r="D717" s="66"/>
      <c r="E717" s="66"/>
      <c r="F717" s="65"/>
      <c r="G717" s="65"/>
      <c r="H717" s="66"/>
      <c r="I717" s="66"/>
      <c r="J717" s="66"/>
      <c r="K717" s="66"/>
      <c r="L717" s="66"/>
      <c r="M717" s="66"/>
      <c r="N717" s="66"/>
      <c r="O717" s="66"/>
      <c r="P717" s="66"/>
      <c r="Q717" s="23"/>
      <c r="AB717" s="23"/>
      <c r="AC717" s="23"/>
      <c r="AD717" s="23"/>
      <c r="AE717" s="7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71"/>
      <c r="AV717" s="10"/>
      <c r="AW717" s="23"/>
      <c r="BB717" s="66"/>
      <c r="BC717" s="66"/>
      <c r="BD717" s="66"/>
      <c r="BE717" s="66"/>
      <c r="BF717" s="66"/>
      <c r="BG717" s="66"/>
      <c r="BH717" s="66"/>
      <c r="BI717" s="66"/>
      <c r="BJ717" s="66"/>
      <c r="BK717" s="66"/>
      <c r="BL717" s="66"/>
      <c r="BM717" s="66"/>
      <c r="BN717" s="66"/>
      <c r="BO717" s="66"/>
      <c r="BP717" s="66"/>
      <c r="BQ717" s="66"/>
      <c r="BR717" s="66"/>
      <c r="BS717" s="66"/>
      <c r="BT717" s="66"/>
      <c r="BU717" s="66"/>
      <c r="BV717" s="66"/>
      <c r="BW717" s="66"/>
    </row>
    <row r="718" spans="1:75" ht="15.75" customHeight="1">
      <c r="A718" s="65"/>
      <c r="B718" s="66"/>
      <c r="C718" s="66"/>
      <c r="D718" s="66"/>
      <c r="E718" s="66"/>
      <c r="F718" s="65"/>
      <c r="G718" s="65"/>
      <c r="H718" s="66"/>
      <c r="I718" s="66"/>
      <c r="J718" s="66"/>
      <c r="K718" s="66"/>
      <c r="L718" s="66"/>
      <c r="M718" s="66"/>
      <c r="N718" s="66"/>
      <c r="O718" s="66"/>
      <c r="P718" s="66"/>
      <c r="Q718" s="23"/>
      <c r="AB718" s="23"/>
      <c r="AC718" s="23"/>
      <c r="AD718" s="23"/>
      <c r="AE718" s="7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71"/>
      <c r="AV718" s="10"/>
      <c r="AW718" s="23"/>
      <c r="BB718" s="66"/>
      <c r="BC718" s="66"/>
      <c r="BD718" s="66"/>
      <c r="BE718" s="66"/>
      <c r="BF718" s="66"/>
      <c r="BG718" s="66"/>
      <c r="BH718" s="66"/>
      <c r="BI718" s="66"/>
      <c r="BJ718" s="66"/>
      <c r="BK718" s="66"/>
      <c r="BL718" s="66"/>
      <c r="BM718" s="66"/>
      <c r="BN718" s="66"/>
      <c r="BO718" s="66"/>
      <c r="BP718" s="66"/>
      <c r="BQ718" s="66"/>
      <c r="BR718" s="66"/>
      <c r="BS718" s="66"/>
      <c r="BT718" s="66"/>
      <c r="BU718" s="66"/>
      <c r="BV718" s="66"/>
      <c r="BW718" s="66"/>
    </row>
    <row r="719" spans="1:75" ht="15.75" customHeight="1">
      <c r="A719" s="65"/>
      <c r="B719" s="66"/>
      <c r="C719" s="66"/>
      <c r="D719" s="66"/>
      <c r="E719" s="66"/>
      <c r="F719" s="65"/>
      <c r="G719" s="65"/>
      <c r="H719" s="66"/>
      <c r="I719" s="66"/>
      <c r="J719" s="66"/>
      <c r="K719" s="66"/>
      <c r="L719" s="66"/>
      <c r="M719" s="66"/>
      <c r="N719" s="66"/>
      <c r="O719" s="66"/>
      <c r="P719" s="66"/>
      <c r="Q719" s="23"/>
      <c r="AB719" s="23"/>
      <c r="AC719" s="23"/>
      <c r="AD719" s="23"/>
      <c r="AE719" s="7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71"/>
      <c r="AV719" s="10"/>
      <c r="AW719" s="23"/>
      <c r="BB719" s="66"/>
      <c r="BC719" s="66"/>
      <c r="BD719" s="66"/>
      <c r="BE719" s="66"/>
      <c r="BF719" s="66"/>
      <c r="BG719" s="66"/>
      <c r="BH719" s="66"/>
      <c r="BI719" s="66"/>
      <c r="BJ719" s="66"/>
      <c r="BK719" s="66"/>
      <c r="BL719" s="66"/>
      <c r="BM719" s="66"/>
      <c r="BN719" s="66"/>
      <c r="BO719" s="66"/>
      <c r="BP719" s="66"/>
      <c r="BQ719" s="66"/>
      <c r="BR719" s="66"/>
      <c r="BS719" s="66"/>
      <c r="BT719" s="66"/>
      <c r="BU719" s="66"/>
      <c r="BV719" s="66"/>
      <c r="BW719" s="66"/>
    </row>
    <row r="720" spans="1:75" ht="15.75" customHeight="1">
      <c r="A720" s="65"/>
      <c r="B720" s="66"/>
      <c r="C720" s="66"/>
      <c r="D720" s="66"/>
      <c r="E720" s="66"/>
      <c r="F720" s="65"/>
      <c r="G720" s="65"/>
      <c r="H720" s="66"/>
      <c r="I720" s="66"/>
      <c r="J720" s="66"/>
      <c r="K720" s="66"/>
      <c r="L720" s="66"/>
      <c r="M720" s="66"/>
      <c r="N720" s="66"/>
      <c r="O720" s="66"/>
      <c r="P720" s="66"/>
      <c r="Q720" s="23"/>
      <c r="AB720" s="23"/>
      <c r="AC720" s="23"/>
      <c r="AD720" s="23"/>
      <c r="AE720" s="7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71"/>
      <c r="AV720" s="10"/>
      <c r="AW720" s="23"/>
      <c r="BB720" s="66"/>
      <c r="BC720" s="66"/>
      <c r="BD720" s="66"/>
      <c r="BE720" s="66"/>
      <c r="BF720" s="66"/>
      <c r="BG720" s="66"/>
      <c r="BH720" s="66"/>
      <c r="BI720" s="66"/>
      <c r="BJ720" s="66"/>
      <c r="BK720" s="66"/>
      <c r="BL720" s="66"/>
      <c r="BM720" s="66"/>
      <c r="BN720" s="66"/>
      <c r="BO720" s="66"/>
      <c r="BP720" s="66"/>
      <c r="BQ720" s="66"/>
      <c r="BR720" s="66"/>
      <c r="BS720" s="66"/>
      <c r="BT720" s="66"/>
      <c r="BU720" s="66"/>
      <c r="BV720" s="66"/>
      <c r="BW720" s="66"/>
    </row>
    <row r="721" spans="1:75" ht="15.75" customHeight="1">
      <c r="A721" s="65"/>
      <c r="B721" s="66"/>
      <c r="C721" s="66"/>
      <c r="D721" s="66"/>
      <c r="E721" s="66"/>
      <c r="F721" s="65"/>
      <c r="G721" s="65"/>
      <c r="H721" s="66"/>
      <c r="I721" s="66"/>
      <c r="J721" s="66"/>
      <c r="K721" s="66"/>
      <c r="L721" s="66"/>
      <c r="M721" s="66"/>
      <c r="N721" s="66"/>
      <c r="O721" s="66"/>
      <c r="P721" s="66"/>
      <c r="Q721" s="23"/>
      <c r="AB721" s="23"/>
      <c r="AC721" s="23"/>
      <c r="AD721" s="23"/>
      <c r="AE721" s="7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71"/>
      <c r="AV721" s="10"/>
      <c r="AW721" s="23"/>
      <c r="BB721" s="66"/>
      <c r="BC721" s="66"/>
      <c r="BD721" s="66"/>
      <c r="BE721" s="66"/>
      <c r="BF721" s="66"/>
      <c r="BG721" s="66"/>
      <c r="BH721" s="66"/>
      <c r="BI721" s="66"/>
      <c r="BJ721" s="66"/>
      <c r="BK721" s="66"/>
      <c r="BL721" s="66"/>
      <c r="BM721" s="66"/>
      <c r="BN721" s="66"/>
      <c r="BO721" s="66"/>
      <c r="BP721" s="66"/>
      <c r="BQ721" s="66"/>
      <c r="BR721" s="66"/>
      <c r="BS721" s="66"/>
      <c r="BT721" s="66"/>
      <c r="BU721" s="66"/>
      <c r="BV721" s="66"/>
      <c r="BW721" s="66"/>
    </row>
    <row r="722" spans="1:75" ht="15.75" customHeight="1">
      <c r="A722" s="65"/>
      <c r="B722" s="66"/>
      <c r="C722" s="66"/>
      <c r="D722" s="66"/>
      <c r="E722" s="66"/>
      <c r="F722" s="65"/>
      <c r="G722" s="65"/>
      <c r="H722" s="66"/>
      <c r="I722" s="66"/>
      <c r="J722" s="66"/>
      <c r="K722" s="66"/>
      <c r="L722" s="66"/>
      <c r="M722" s="66"/>
      <c r="N722" s="66"/>
      <c r="O722" s="66"/>
      <c r="P722" s="66"/>
      <c r="Q722" s="23"/>
      <c r="AB722" s="23"/>
      <c r="AC722" s="23"/>
      <c r="AD722" s="23"/>
      <c r="AE722" s="7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71"/>
      <c r="AV722" s="10"/>
      <c r="AW722" s="23"/>
      <c r="BB722" s="66"/>
      <c r="BC722" s="66"/>
      <c r="BD722" s="66"/>
      <c r="BE722" s="66"/>
      <c r="BF722" s="66"/>
      <c r="BG722" s="66"/>
      <c r="BH722" s="66"/>
      <c r="BI722" s="66"/>
      <c r="BJ722" s="66"/>
      <c r="BK722" s="66"/>
      <c r="BL722" s="66"/>
      <c r="BM722" s="66"/>
      <c r="BN722" s="66"/>
      <c r="BO722" s="66"/>
      <c r="BP722" s="66"/>
      <c r="BQ722" s="66"/>
      <c r="BR722" s="66"/>
      <c r="BS722" s="66"/>
      <c r="BT722" s="66"/>
      <c r="BU722" s="66"/>
      <c r="BV722" s="66"/>
      <c r="BW722" s="66"/>
    </row>
    <row r="723" spans="1:75" ht="15.75" customHeight="1">
      <c r="A723" s="65"/>
      <c r="B723" s="66"/>
      <c r="C723" s="66"/>
      <c r="D723" s="66"/>
      <c r="E723" s="66"/>
      <c r="F723" s="65"/>
      <c r="G723" s="65"/>
      <c r="H723" s="66"/>
      <c r="I723" s="66"/>
      <c r="J723" s="66"/>
      <c r="K723" s="66"/>
      <c r="L723" s="66"/>
      <c r="M723" s="66"/>
      <c r="N723" s="66"/>
      <c r="O723" s="66"/>
      <c r="P723" s="66"/>
      <c r="Q723" s="23"/>
      <c r="AB723" s="23"/>
      <c r="AC723" s="23"/>
      <c r="AD723" s="23"/>
      <c r="AE723" s="7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71"/>
      <c r="AV723" s="10"/>
      <c r="AW723" s="23"/>
      <c r="BB723" s="66"/>
      <c r="BC723" s="66"/>
      <c r="BD723" s="66"/>
      <c r="BE723" s="66"/>
      <c r="BF723" s="66"/>
      <c r="BG723" s="66"/>
      <c r="BH723" s="66"/>
      <c r="BI723" s="66"/>
      <c r="BJ723" s="66"/>
      <c r="BK723" s="66"/>
      <c r="BL723" s="66"/>
      <c r="BM723" s="66"/>
      <c r="BN723" s="66"/>
      <c r="BO723" s="66"/>
      <c r="BP723" s="66"/>
      <c r="BQ723" s="66"/>
      <c r="BR723" s="66"/>
      <c r="BS723" s="66"/>
      <c r="BT723" s="66"/>
      <c r="BU723" s="66"/>
      <c r="BV723" s="66"/>
      <c r="BW723" s="66"/>
    </row>
    <row r="724" spans="1:75" ht="15.75" customHeight="1">
      <c r="A724" s="65"/>
      <c r="B724" s="66"/>
      <c r="C724" s="66"/>
      <c r="D724" s="66"/>
      <c r="E724" s="66"/>
      <c r="F724" s="65"/>
      <c r="G724" s="65"/>
      <c r="H724" s="66"/>
      <c r="I724" s="66"/>
      <c r="J724" s="66"/>
      <c r="K724" s="66"/>
      <c r="L724" s="66"/>
      <c r="M724" s="66"/>
      <c r="N724" s="66"/>
      <c r="O724" s="66"/>
      <c r="P724" s="66"/>
      <c r="Q724" s="23"/>
      <c r="AB724" s="23"/>
      <c r="AC724" s="23"/>
      <c r="AD724" s="23"/>
      <c r="AE724" s="7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71"/>
      <c r="AV724" s="10"/>
      <c r="AW724" s="23"/>
      <c r="BB724" s="66"/>
      <c r="BC724" s="66"/>
      <c r="BD724" s="66"/>
      <c r="BE724" s="66"/>
      <c r="BF724" s="66"/>
      <c r="BG724" s="66"/>
      <c r="BH724" s="66"/>
      <c r="BI724" s="66"/>
      <c r="BJ724" s="66"/>
      <c r="BK724" s="66"/>
      <c r="BL724" s="66"/>
      <c r="BM724" s="66"/>
      <c r="BN724" s="66"/>
      <c r="BO724" s="66"/>
      <c r="BP724" s="66"/>
      <c r="BQ724" s="66"/>
      <c r="BR724" s="66"/>
      <c r="BS724" s="66"/>
      <c r="BT724" s="66"/>
      <c r="BU724" s="66"/>
      <c r="BV724" s="66"/>
      <c r="BW724" s="66"/>
    </row>
    <row r="725" spans="1:75" ht="15.75" customHeight="1">
      <c r="A725" s="65"/>
      <c r="B725" s="66"/>
      <c r="C725" s="66"/>
      <c r="D725" s="66"/>
      <c r="E725" s="66"/>
      <c r="F725" s="65"/>
      <c r="G725" s="65"/>
      <c r="H725" s="66"/>
      <c r="I725" s="66"/>
      <c r="J725" s="66"/>
      <c r="K725" s="66"/>
      <c r="L725" s="66"/>
      <c r="M725" s="66"/>
      <c r="N725" s="66"/>
      <c r="O725" s="66"/>
      <c r="P725" s="66"/>
      <c r="Q725" s="23"/>
      <c r="AB725" s="23"/>
      <c r="AC725" s="23"/>
      <c r="AD725" s="23"/>
      <c r="AE725" s="7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71"/>
      <c r="AV725" s="10"/>
      <c r="AW725" s="23"/>
      <c r="BB725" s="66"/>
      <c r="BC725" s="66"/>
      <c r="BD725" s="66"/>
      <c r="BE725" s="66"/>
      <c r="BF725" s="66"/>
      <c r="BG725" s="66"/>
      <c r="BH725" s="66"/>
      <c r="BI725" s="66"/>
      <c r="BJ725" s="66"/>
      <c r="BK725" s="66"/>
      <c r="BL725" s="66"/>
      <c r="BM725" s="66"/>
      <c r="BN725" s="66"/>
      <c r="BO725" s="66"/>
      <c r="BP725" s="66"/>
      <c r="BQ725" s="66"/>
      <c r="BR725" s="66"/>
      <c r="BS725" s="66"/>
      <c r="BT725" s="66"/>
      <c r="BU725" s="66"/>
      <c r="BV725" s="66"/>
      <c r="BW725" s="66"/>
    </row>
    <row r="726" spans="1:75" ht="15.75" customHeight="1">
      <c r="A726" s="65"/>
      <c r="B726" s="66"/>
      <c r="C726" s="66"/>
      <c r="D726" s="66"/>
      <c r="E726" s="66"/>
      <c r="F726" s="65"/>
      <c r="G726" s="65"/>
      <c r="H726" s="66"/>
      <c r="I726" s="66"/>
      <c r="J726" s="66"/>
      <c r="K726" s="66"/>
      <c r="L726" s="66"/>
      <c r="M726" s="66"/>
      <c r="N726" s="66"/>
      <c r="O726" s="66"/>
      <c r="P726" s="66"/>
      <c r="Q726" s="23"/>
      <c r="AB726" s="23"/>
      <c r="AC726" s="23"/>
      <c r="AD726" s="23"/>
      <c r="AE726" s="7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71"/>
      <c r="AV726" s="10"/>
      <c r="AW726" s="23"/>
      <c r="BB726" s="66"/>
      <c r="BC726" s="66"/>
      <c r="BD726" s="66"/>
      <c r="BE726" s="66"/>
      <c r="BF726" s="66"/>
      <c r="BG726" s="66"/>
      <c r="BH726" s="66"/>
      <c r="BI726" s="66"/>
      <c r="BJ726" s="66"/>
      <c r="BK726" s="66"/>
      <c r="BL726" s="66"/>
      <c r="BM726" s="66"/>
      <c r="BN726" s="66"/>
      <c r="BO726" s="66"/>
      <c r="BP726" s="66"/>
      <c r="BQ726" s="66"/>
      <c r="BR726" s="66"/>
      <c r="BS726" s="66"/>
      <c r="BT726" s="66"/>
      <c r="BU726" s="66"/>
      <c r="BV726" s="66"/>
      <c r="BW726" s="66"/>
    </row>
    <row r="727" spans="1:75" ht="15.75" customHeight="1">
      <c r="A727" s="65"/>
      <c r="B727" s="66"/>
      <c r="C727" s="66"/>
      <c r="D727" s="66"/>
      <c r="E727" s="66"/>
      <c r="F727" s="65"/>
      <c r="G727" s="65"/>
      <c r="H727" s="66"/>
      <c r="I727" s="66"/>
      <c r="J727" s="66"/>
      <c r="K727" s="66"/>
      <c r="L727" s="66"/>
      <c r="M727" s="66"/>
      <c r="N727" s="66"/>
      <c r="O727" s="66"/>
      <c r="P727" s="66"/>
      <c r="Q727" s="23"/>
      <c r="AB727" s="23"/>
      <c r="AC727" s="23"/>
      <c r="AD727" s="23"/>
      <c r="AE727" s="7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71"/>
      <c r="AV727" s="10"/>
      <c r="AW727" s="23"/>
      <c r="BB727" s="66"/>
      <c r="BC727" s="66"/>
      <c r="BD727" s="66"/>
      <c r="BE727" s="66"/>
      <c r="BF727" s="66"/>
      <c r="BG727" s="66"/>
      <c r="BH727" s="66"/>
      <c r="BI727" s="66"/>
      <c r="BJ727" s="66"/>
      <c r="BK727" s="66"/>
      <c r="BL727" s="66"/>
      <c r="BM727" s="66"/>
      <c r="BN727" s="66"/>
      <c r="BO727" s="66"/>
      <c r="BP727" s="66"/>
      <c r="BQ727" s="66"/>
      <c r="BR727" s="66"/>
      <c r="BS727" s="66"/>
      <c r="BT727" s="66"/>
      <c r="BU727" s="66"/>
      <c r="BV727" s="66"/>
      <c r="BW727" s="66"/>
    </row>
    <row r="728" spans="1:75" ht="15.75" customHeight="1">
      <c r="A728" s="65"/>
      <c r="B728" s="66"/>
      <c r="C728" s="66"/>
      <c r="D728" s="66"/>
      <c r="E728" s="66"/>
      <c r="F728" s="65"/>
      <c r="G728" s="65"/>
      <c r="H728" s="66"/>
      <c r="I728" s="66"/>
      <c r="J728" s="66"/>
      <c r="K728" s="66"/>
      <c r="L728" s="66"/>
      <c r="M728" s="66"/>
      <c r="N728" s="66"/>
      <c r="O728" s="66"/>
      <c r="P728" s="66"/>
      <c r="Q728" s="23"/>
      <c r="AB728" s="23"/>
      <c r="AC728" s="23"/>
      <c r="AD728" s="23"/>
      <c r="AE728" s="7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71"/>
      <c r="AV728" s="10"/>
      <c r="AW728" s="23"/>
      <c r="BB728" s="66"/>
      <c r="BC728" s="66"/>
      <c r="BD728" s="66"/>
      <c r="BE728" s="66"/>
      <c r="BF728" s="66"/>
      <c r="BG728" s="66"/>
      <c r="BH728" s="66"/>
      <c r="BI728" s="66"/>
      <c r="BJ728" s="66"/>
      <c r="BK728" s="66"/>
      <c r="BL728" s="66"/>
      <c r="BM728" s="66"/>
      <c r="BN728" s="66"/>
      <c r="BO728" s="66"/>
      <c r="BP728" s="66"/>
      <c r="BQ728" s="66"/>
      <c r="BR728" s="66"/>
      <c r="BS728" s="66"/>
      <c r="BT728" s="66"/>
      <c r="BU728" s="66"/>
      <c r="BV728" s="66"/>
      <c r="BW728" s="66"/>
    </row>
    <row r="729" spans="1:75" ht="15.75" customHeight="1">
      <c r="A729" s="65"/>
      <c r="B729" s="66"/>
      <c r="C729" s="66"/>
      <c r="D729" s="66"/>
      <c r="E729" s="66"/>
      <c r="F729" s="65"/>
      <c r="G729" s="65"/>
      <c r="H729" s="66"/>
      <c r="I729" s="66"/>
      <c r="J729" s="66"/>
      <c r="K729" s="66"/>
      <c r="L729" s="66"/>
      <c r="M729" s="66"/>
      <c r="N729" s="66"/>
      <c r="O729" s="66"/>
      <c r="P729" s="66"/>
      <c r="Q729" s="23"/>
      <c r="AB729" s="23"/>
      <c r="AC729" s="23"/>
      <c r="AD729" s="23"/>
      <c r="AE729" s="7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71"/>
      <c r="AV729" s="10"/>
      <c r="AW729" s="23"/>
      <c r="BB729" s="66"/>
      <c r="BC729" s="66"/>
      <c r="BD729" s="66"/>
      <c r="BE729" s="66"/>
      <c r="BF729" s="66"/>
      <c r="BG729" s="66"/>
      <c r="BH729" s="66"/>
      <c r="BI729" s="66"/>
      <c r="BJ729" s="66"/>
      <c r="BK729" s="66"/>
      <c r="BL729" s="66"/>
      <c r="BM729" s="66"/>
      <c r="BN729" s="66"/>
      <c r="BO729" s="66"/>
      <c r="BP729" s="66"/>
      <c r="BQ729" s="66"/>
      <c r="BR729" s="66"/>
      <c r="BS729" s="66"/>
      <c r="BT729" s="66"/>
      <c r="BU729" s="66"/>
      <c r="BV729" s="66"/>
      <c r="BW729" s="66"/>
    </row>
    <row r="730" spans="1:75" ht="15.75" customHeight="1">
      <c r="A730" s="65"/>
      <c r="B730" s="66"/>
      <c r="C730" s="66"/>
      <c r="D730" s="66"/>
      <c r="E730" s="66"/>
      <c r="F730" s="65"/>
      <c r="G730" s="65"/>
      <c r="H730" s="66"/>
      <c r="I730" s="66"/>
      <c r="J730" s="66"/>
      <c r="K730" s="66"/>
      <c r="L730" s="66"/>
      <c r="M730" s="66"/>
      <c r="N730" s="66"/>
      <c r="O730" s="66"/>
      <c r="P730" s="66"/>
      <c r="Q730" s="23"/>
      <c r="AB730" s="23"/>
      <c r="AC730" s="23"/>
      <c r="AD730" s="23"/>
      <c r="AE730" s="7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71"/>
      <c r="AV730" s="10"/>
      <c r="AW730" s="23"/>
      <c r="BB730" s="66"/>
      <c r="BC730" s="66"/>
      <c r="BD730" s="66"/>
      <c r="BE730" s="66"/>
      <c r="BF730" s="66"/>
      <c r="BG730" s="66"/>
      <c r="BH730" s="66"/>
      <c r="BI730" s="66"/>
      <c r="BJ730" s="66"/>
      <c r="BK730" s="66"/>
      <c r="BL730" s="66"/>
      <c r="BM730" s="66"/>
      <c r="BN730" s="66"/>
      <c r="BO730" s="66"/>
      <c r="BP730" s="66"/>
      <c r="BQ730" s="66"/>
      <c r="BR730" s="66"/>
      <c r="BS730" s="66"/>
      <c r="BT730" s="66"/>
      <c r="BU730" s="66"/>
      <c r="BV730" s="66"/>
      <c r="BW730" s="66"/>
    </row>
    <row r="731" spans="1:75" ht="15.75" customHeight="1">
      <c r="A731" s="65"/>
      <c r="B731" s="66"/>
      <c r="C731" s="66"/>
      <c r="D731" s="66"/>
      <c r="E731" s="66"/>
      <c r="F731" s="65"/>
      <c r="G731" s="65"/>
      <c r="H731" s="66"/>
      <c r="I731" s="66"/>
      <c r="J731" s="66"/>
      <c r="K731" s="66"/>
      <c r="L731" s="66"/>
      <c r="M731" s="66"/>
      <c r="N731" s="66"/>
      <c r="O731" s="66"/>
      <c r="P731" s="66"/>
      <c r="Q731" s="23"/>
      <c r="AB731" s="23"/>
      <c r="AC731" s="23"/>
      <c r="AD731" s="23"/>
      <c r="AE731" s="7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71"/>
      <c r="AV731" s="10"/>
      <c r="AW731" s="23"/>
      <c r="BB731" s="66"/>
      <c r="BC731" s="66"/>
      <c r="BD731" s="66"/>
      <c r="BE731" s="66"/>
      <c r="BF731" s="66"/>
      <c r="BG731" s="66"/>
      <c r="BH731" s="66"/>
      <c r="BI731" s="66"/>
      <c r="BJ731" s="66"/>
      <c r="BK731" s="66"/>
      <c r="BL731" s="66"/>
      <c r="BM731" s="66"/>
      <c r="BN731" s="66"/>
      <c r="BO731" s="66"/>
      <c r="BP731" s="66"/>
      <c r="BQ731" s="66"/>
      <c r="BR731" s="66"/>
      <c r="BS731" s="66"/>
      <c r="BT731" s="66"/>
      <c r="BU731" s="66"/>
      <c r="BV731" s="66"/>
      <c r="BW731" s="66"/>
    </row>
    <row r="732" spans="1:75" ht="15.75" customHeight="1">
      <c r="A732" s="65"/>
      <c r="B732" s="66"/>
      <c r="C732" s="66"/>
      <c r="D732" s="66"/>
      <c r="E732" s="66"/>
      <c r="F732" s="65"/>
      <c r="G732" s="65"/>
      <c r="H732" s="66"/>
      <c r="I732" s="66"/>
      <c r="J732" s="66"/>
      <c r="K732" s="66"/>
      <c r="L732" s="66"/>
      <c r="M732" s="66"/>
      <c r="N732" s="66"/>
      <c r="O732" s="66"/>
      <c r="P732" s="66"/>
      <c r="Q732" s="23"/>
      <c r="AB732" s="23"/>
      <c r="AC732" s="23"/>
      <c r="AD732" s="23"/>
      <c r="AE732" s="7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71"/>
      <c r="AV732" s="10"/>
      <c r="AW732" s="23"/>
      <c r="BB732" s="66"/>
      <c r="BC732" s="66"/>
      <c r="BD732" s="66"/>
      <c r="BE732" s="66"/>
      <c r="BF732" s="66"/>
      <c r="BG732" s="66"/>
      <c r="BH732" s="66"/>
      <c r="BI732" s="66"/>
      <c r="BJ732" s="66"/>
      <c r="BK732" s="66"/>
      <c r="BL732" s="66"/>
      <c r="BM732" s="66"/>
      <c r="BN732" s="66"/>
      <c r="BO732" s="66"/>
      <c r="BP732" s="66"/>
      <c r="BQ732" s="66"/>
      <c r="BR732" s="66"/>
      <c r="BS732" s="66"/>
      <c r="BT732" s="66"/>
      <c r="BU732" s="66"/>
      <c r="BV732" s="66"/>
      <c r="BW732" s="66"/>
    </row>
    <row r="733" spans="1:75" ht="15.75" customHeight="1">
      <c r="A733" s="65"/>
      <c r="B733" s="66"/>
      <c r="C733" s="66"/>
      <c r="D733" s="66"/>
      <c r="E733" s="66"/>
      <c r="F733" s="65"/>
      <c r="G733" s="65"/>
      <c r="H733" s="66"/>
      <c r="I733" s="66"/>
      <c r="J733" s="66"/>
      <c r="K733" s="66"/>
      <c r="L733" s="66"/>
      <c r="M733" s="66"/>
      <c r="N733" s="66"/>
      <c r="O733" s="66"/>
      <c r="P733" s="66"/>
      <c r="Q733" s="23"/>
      <c r="AB733" s="23"/>
      <c r="AC733" s="23"/>
      <c r="AD733" s="23"/>
      <c r="AE733" s="7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71"/>
      <c r="AV733" s="10"/>
      <c r="AW733" s="23"/>
      <c r="BB733" s="66"/>
      <c r="BC733" s="66"/>
      <c r="BD733" s="66"/>
      <c r="BE733" s="66"/>
      <c r="BF733" s="66"/>
      <c r="BG733" s="66"/>
      <c r="BH733" s="66"/>
      <c r="BI733" s="66"/>
      <c r="BJ733" s="66"/>
      <c r="BK733" s="66"/>
      <c r="BL733" s="66"/>
      <c r="BM733" s="66"/>
      <c r="BN733" s="66"/>
      <c r="BO733" s="66"/>
      <c r="BP733" s="66"/>
      <c r="BQ733" s="66"/>
      <c r="BR733" s="66"/>
      <c r="BS733" s="66"/>
      <c r="BT733" s="66"/>
      <c r="BU733" s="66"/>
      <c r="BV733" s="66"/>
      <c r="BW733" s="66"/>
    </row>
    <row r="734" spans="1:75" ht="15.75" customHeight="1">
      <c r="A734" s="65"/>
      <c r="B734" s="66"/>
      <c r="C734" s="66"/>
      <c r="D734" s="66"/>
      <c r="E734" s="66"/>
      <c r="F734" s="65"/>
      <c r="G734" s="65"/>
      <c r="H734" s="66"/>
      <c r="I734" s="66"/>
      <c r="J734" s="66"/>
      <c r="K734" s="66"/>
      <c r="L734" s="66"/>
      <c r="M734" s="66"/>
      <c r="N734" s="66"/>
      <c r="O734" s="66"/>
      <c r="P734" s="66"/>
      <c r="Q734" s="23"/>
      <c r="AB734" s="23"/>
      <c r="AC734" s="23"/>
      <c r="AD734" s="23"/>
      <c r="AE734" s="7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71"/>
      <c r="AV734" s="10"/>
      <c r="AW734" s="23"/>
      <c r="BB734" s="66"/>
      <c r="BC734" s="66"/>
      <c r="BD734" s="66"/>
      <c r="BE734" s="66"/>
      <c r="BF734" s="66"/>
      <c r="BG734" s="66"/>
      <c r="BH734" s="66"/>
      <c r="BI734" s="66"/>
      <c r="BJ734" s="66"/>
      <c r="BK734" s="66"/>
      <c r="BL734" s="66"/>
      <c r="BM734" s="66"/>
      <c r="BN734" s="66"/>
      <c r="BO734" s="66"/>
      <c r="BP734" s="66"/>
      <c r="BQ734" s="66"/>
      <c r="BR734" s="66"/>
      <c r="BS734" s="66"/>
      <c r="BT734" s="66"/>
      <c r="BU734" s="66"/>
      <c r="BV734" s="66"/>
      <c r="BW734" s="66"/>
    </row>
    <row r="735" spans="1:75" ht="15.75" customHeight="1">
      <c r="A735" s="65"/>
      <c r="B735" s="66"/>
      <c r="C735" s="66"/>
      <c r="D735" s="66"/>
      <c r="E735" s="66"/>
      <c r="F735" s="65"/>
      <c r="G735" s="65"/>
      <c r="H735" s="66"/>
      <c r="I735" s="66"/>
      <c r="J735" s="66"/>
      <c r="K735" s="66"/>
      <c r="L735" s="66"/>
      <c r="M735" s="66"/>
      <c r="N735" s="66"/>
      <c r="O735" s="66"/>
      <c r="P735" s="66"/>
      <c r="Q735" s="23"/>
      <c r="AB735" s="23"/>
      <c r="AC735" s="23"/>
      <c r="AD735" s="23"/>
      <c r="AE735" s="7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71"/>
      <c r="AV735" s="10"/>
      <c r="AW735" s="23"/>
      <c r="BB735" s="66"/>
      <c r="BC735" s="66"/>
      <c r="BD735" s="66"/>
      <c r="BE735" s="66"/>
      <c r="BF735" s="66"/>
      <c r="BG735" s="66"/>
      <c r="BH735" s="66"/>
      <c r="BI735" s="66"/>
      <c r="BJ735" s="66"/>
      <c r="BK735" s="66"/>
      <c r="BL735" s="66"/>
      <c r="BM735" s="66"/>
      <c r="BN735" s="66"/>
      <c r="BO735" s="66"/>
      <c r="BP735" s="66"/>
      <c r="BQ735" s="66"/>
      <c r="BR735" s="66"/>
      <c r="BS735" s="66"/>
      <c r="BT735" s="66"/>
      <c r="BU735" s="66"/>
      <c r="BV735" s="66"/>
      <c r="BW735" s="66"/>
    </row>
    <row r="736" spans="1:75" ht="15.75" customHeight="1">
      <c r="A736" s="65"/>
      <c r="B736" s="66"/>
      <c r="C736" s="66"/>
      <c r="D736" s="66"/>
      <c r="E736" s="66"/>
      <c r="F736" s="65"/>
      <c r="G736" s="65"/>
      <c r="H736" s="66"/>
      <c r="I736" s="66"/>
      <c r="J736" s="66"/>
      <c r="K736" s="66"/>
      <c r="L736" s="66"/>
      <c r="M736" s="66"/>
      <c r="N736" s="66"/>
      <c r="O736" s="66"/>
      <c r="P736" s="66"/>
      <c r="Q736" s="23"/>
      <c r="AB736" s="23"/>
      <c r="AC736" s="23"/>
      <c r="AD736" s="23"/>
      <c r="AE736" s="7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71"/>
      <c r="AV736" s="10"/>
      <c r="AW736" s="23"/>
      <c r="BB736" s="66"/>
      <c r="BC736" s="66"/>
      <c r="BD736" s="66"/>
      <c r="BE736" s="66"/>
      <c r="BF736" s="66"/>
      <c r="BG736" s="66"/>
      <c r="BH736" s="66"/>
      <c r="BI736" s="66"/>
      <c r="BJ736" s="66"/>
      <c r="BK736" s="66"/>
      <c r="BL736" s="66"/>
      <c r="BM736" s="66"/>
      <c r="BN736" s="66"/>
      <c r="BO736" s="66"/>
      <c r="BP736" s="66"/>
      <c r="BQ736" s="66"/>
      <c r="BR736" s="66"/>
      <c r="BS736" s="66"/>
      <c r="BT736" s="66"/>
      <c r="BU736" s="66"/>
      <c r="BV736" s="66"/>
      <c r="BW736" s="66"/>
    </row>
    <row r="737" spans="1:75" ht="15.75" customHeight="1">
      <c r="A737" s="65"/>
      <c r="B737" s="66"/>
      <c r="C737" s="66"/>
      <c r="D737" s="66"/>
      <c r="E737" s="66"/>
      <c r="F737" s="65"/>
      <c r="G737" s="65"/>
      <c r="H737" s="66"/>
      <c r="I737" s="66"/>
      <c r="J737" s="66"/>
      <c r="K737" s="66"/>
      <c r="L737" s="66"/>
      <c r="M737" s="66"/>
      <c r="N737" s="66"/>
      <c r="O737" s="66"/>
      <c r="P737" s="66"/>
      <c r="Q737" s="23"/>
      <c r="AB737" s="23"/>
      <c r="AC737" s="23"/>
      <c r="AD737" s="23"/>
      <c r="AE737" s="7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71"/>
      <c r="AV737" s="10"/>
      <c r="AW737" s="23"/>
      <c r="BB737" s="66"/>
      <c r="BC737" s="66"/>
      <c r="BD737" s="66"/>
      <c r="BE737" s="66"/>
      <c r="BF737" s="66"/>
      <c r="BG737" s="66"/>
      <c r="BH737" s="66"/>
      <c r="BI737" s="66"/>
      <c r="BJ737" s="66"/>
      <c r="BK737" s="66"/>
      <c r="BL737" s="66"/>
      <c r="BM737" s="66"/>
      <c r="BN737" s="66"/>
      <c r="BO737" s="66"/>
      <c r="BP737" s="66"/>
      <c r="BQ737" s="66"/>
      <c r="BR737" s="66"/>
      <c r="BS737" s="66"/>
      <c r="BT737" s="66"/>
      <c r="BU737" s="66"/>
      <c r="BV737" s="66"/>
      <c r="BW737" s="66"/>
    </row>
    <row r="738" spans="1:75" ht="15.75" customHeight="1">
      <c r="A738" s="65"/>
      <c r="B738" s="66"/>
      <c r="C738" s="66"/>
      <c r="D738" s="66"/>
      <c r="E738" s="66"/>
      <c r="F738" s="65"/>
      <c r="G738" s="65"/>
      <c r="H738" s="66"/>
      <c r="I738" s="66"/>
      <c r="J738" s="66"/>
      <c r="K738" s="66"/>
      <c r="L738" s="66"/>
      <c r="M738" s="66"/>
      <c r="N738" s="66"/>
      <c r="O738" s="66"/>
      <c r="P738" s="66"/>
      <c r="Q738" s="23"/>
      <c r="AB738" s="23"/>
      <c r="AC738" s="23"/>
      <c r="AD738" s="23"/>
      <c r="AE738" s="7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71"/>
      <c r="AV738" s="10"/>
      <c r="AW738" s="23"/>
      <c r="BB738" s="66"/>
      <c r="BC738" s="66"/>
      <c r="BD738" s="66"/>
      <c r="BE738" s="66"/>
      <c r="BF738" s="66"/>
      <c r="BG738" s="66"/>
      <c r="BH738" s="66"/>
      <c r="BI738" s="66"/>
      <c r="BJ738" s="66"/>
      <c r="BK738" s="66"/>
      <c r="BL738" s="66"/>
      <c r="BM738" s="66"/>
      <c r="BN738" s="66"/>
      <c r="BO738" s="66"/>
      <c r="BP738" s="66"/>
      <c r="BQ738" s="66"/>
      <c r="BR738" s="66"/>
      <c r="BS738" s="66"/>
      <c r="BT738" s="66"/>
      <c r="BU738" s="66"/>
      <c r="BV738" s="66"/>
      <c r="BW738" s="66"/>
    </row>
    <row r="739" spans="1:75" ht="15.75" customHeight="1">
      <c r="A739" s="65"/>
      <c r="B739" s="66"/>
      <c r="C739" s="66"/>
      <c r="D739" s="66"/>
      <c r="E739" s="66"/>
      <c r="F739" s="65"/>
      <c r="G739" s="65"/>
      <c r="H739" s="66"/>
      <c r="I739" s="66"/>
      <c r="J739" s="66"/>
      <c r="K739" s="66"/>
      <c r="L739" s="66"/>
      <c r="M739" s="66"/>
      <c r="N739" s="66"/>
      <c r="O739" s="66"/>
      <c r="P739" s="66"/>
      <c r="Q739" s="23"/>
      <c r="AB739" s="23"/>
      <c r="AC739" s="23"/>
      <c r="AD739" s="23"/>
      <c r="AE739" s="7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71"/>
      <c r="AV739" s="10"/>
      <c r="AW739" s="23"/>
      <c r="BB739" s="66"/>
      <c r="BC739" s="66"/>
      <c r="BD739" s="66"/>
      <c r="BE739" s="66"/>
      <c r="BF739" s="66"/>
      <c r="BG739" s="66"/>
      <c r="BH739" s="66"/>
      <c r="BI739" s="66"/>
      <c r="BJ739" s="66"/>
      <c r="BK739" s="66"/>
      <c r="BL739" s="66"/>
      <c r="BM739" s="66"/>
      <c r="BN739" s="66"/>
      <c r="BO739" s="66"/>
      <c r="BP739" s="66"/>
      <c r="BQ739" s="66"/>
      <c r="BR739" s="66"/>
      <c r="BS739" s="66"/>
      <c r="BT739" s="66"/>
      <c r="BU739" s="66"/>
      <c r="BV739" s="66"/>
      <c r="BW739" s="66"/>
    </row>
    <row r="740" spans="1:75" ht="15.75" customHeight="1">
      <c r="A740" s="65"/>
      <c r="B740" s="66"/>
      <c r="C740" s="66"/>
      <c r="D740" s="66"/>
      <c r="E740" s="66"/>
      <c r="F740" s="65"/>
      <c r="G740" s="65"/>
      <c r="H740" s="66"/>
      <c r="I740" s="66"/>
      <c r="J740" s="66"/>
      <c r="K740" s="66"/>
      <c r="L740" s="66"/>
      <c r="M740" s="66"/>
      <c r="N740" s="66"/>
      <c r="O740" s="66"/>
      <c r="P740" s="66"/>
      <c r="Q740" s="23"/>
      <c r="AB740" s="23"/>
      <c r="AC740" s="23"/>
      <c r="AD740" s="23"/>
      <c r="AE740" s="7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71"/>
      <c r="AV740" s="10"/>
      <c r="AW740" s="23"/>
      <c r="BB740" s="66"/>
      <c r="BC740" s="66"/>
      <c r="BD740" s="66"/>
      <c r="BE740" s="66"/>
      <c r="BF740" s="66"/>
      <c r="BG740" s="66"/>
      <c r="BH740" s="66"/>
      <c r="BI740" s="66"/>
      <c r="BJ740" s="66"/>
      <c r="BK740" s="66"/>
      <c r="BL740" s="66"/>
      <c r="BM740" s="66"/>
      <c r="BN740" s="66"/>
      <c r="BO740" s="66"/>
      <c r="BP740" s="66"/>
      <c r="BQ740" s="66"/>
      <c r="BR740" s="66"/>
      <c r="BS740" s="66"/>
      <c r="BT740" s="66"/>
      <c r="BU740" s="66"/>
      <c r="BV740" s="66"/>
      <c r="BW740" s="66"/>
    </row>
    <row r="741" spans="1:75" ht="15.75" customHeight="1">
      <c r="A741" s="65"/>
      <c r="B741" s="66"/>
      <c r="C741" s="66"/>
      <c r="D741" s="66"/>
      <c r="E741" s="66"/>
      <c r="F741" s="65"/>
      <c r="G741" s="65"/>
      <c r="H741" s="66"/>
      <c r="I741" s="66"/>
      <c r="J741" s="66"/>
      <c r="K741" s="66"/>
      <c r="L741" s="66"/>
      <c r="M741" s="66"/>
      <c r="N741" s="66"/>
      <c r="O741" s="66"/>
      <c r="P741" s="66"/>
      <c r="Q741" s="23"/>
      <c r="AB741" s="23"/>
      <c r="AC741" s="23"/>
      <c r="AD741" s="23"/>
      <c r="AE741" s="7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71"/>
      <c r="AV741" s="10"/>
      <c r="AW741" s="23"/>
      <c r="BB741" s="66"/>
      <c r="BC741" s="66"/>
      <c r="BD741" s="66"/>
      <c r="BE741" s="66"/>
      <c r="BF741" s="66"/>
      <c r="BG741" s="66"/>
      <c r="BH741" s="66"/>
      <c r="BI741" s="66"/>
      <c r="BJ741" s="66"/>
      <c r="BK741" s="66"/>
      <c r="BL741" s="66"/>
      <c r="BM741" s="66"/>
      <c r="BN741" s="66"/>
      <c r="BO741" s="66"/>
      <c r="BP741" s="66"/>
      <c r="BQ741" s="66"/>
      <c r="BR741" s="66"/>
      <c r="BS741" s="66"/>
      <c r="BT741" s="66"/>
      <c r="BU741" s="66"/>
      <c r="BV741" s="66"/>
      <c r="BW741" s="66"/>
    </row>
    <row r="742" spans="1:75" ht="15.75" customHeight="1">
      <c r="A742" s="65"/>
      <c r="B742" s="66"/>
      <c r="C742" s="66"/>
      <c r="D742" s="66"/>
      <c r="E742" s="66"/>
      <c r="F742" s="65"/>
      <c r="G742" s="65"/>
      <c r="H742" s="66"/>
      <c r="I742" s="66"/>
      <c r="J742" s="66"/>
      <c r="K742" s="66"/>
      <c r="L742" s="66"/>
      <c r="M742" s="66"/>
      <c r="N742" s="66"/>
      <c r="O742" s="66"/>
      <c r="P742" s="66"/>
      <c r="Q742" s="23"/>
      <c r="AB742" s="23"/>
      <c r="AC742" s="23"/>
      <c r="AD742" s="23"/>
      <c r="AE742" s="7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71"/>
      <c r="AV742" s="10"/>
      <c r="AW742" s="23"/>
      <c r="BB742" s="66"/>
      <c r="BC742" s="66"/>
      <c r="BD742" s="66"/>
      <c r="BE742" s="66"/>
      <c r="BF742" s="66"/>
      <c r="BG742" s="66"/>
      <c r="BH742" s="66"/>
      <c r="BI742" s="66"/>
      <c r="BJ742" s="66"/>
      <c r="BK742" s="66"/>
      <c r="BL742" s="66"/>
      <c r="BM742" s="66"/>
      <c r="BN742" s="66"/>
      <c r="BO742" s="66"/>
      <c r="BP742" s="66"/>
      <c r="BQ742" s="66"/>
      <c r="BR742" s="66"/>
      <c r="BS742" s="66"/>
      <c r="BT742" s="66"/>
      <c r="BU742" s="66"/>
      <c r="BV742" s="66"/>
      <c r="BW742" s="66"/>
    </row>
    <row r="743" spans="1:75" ht="15.75" customHeight="1">
      <c r="A743" s="65"/>
      <c r="B743" s="66"/>
      <c r="C743" s="66"/>
      <c r="D743" s="66"/>
      <c r="E743" s="66"/>
      <c r="F743" s="65"/>
      <c r="G743" s="65"/>
      <c r="H743" s="66"/>
      <c r="I743" s="66"/>
      <c r="J743" s="66"/>
      <c r="K743" s="66"/>
      <c r="L743" s="66"/>
      <c r="M743" s="66"/>
      <c r="N743" s="66"/>
      <c r="O743" s="66"/>
      <c r="P743" s="66"/>
      <c r="Q743" s="23"/>
      <c r="AB743" s="23"/>
      <c r="AC743" s="23"/>
      <c r="AD743" s="23"/>
      <c r="AE743" s="7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71"/>
      <c r="AV743" s="10"/>
      <c r="AW743" s="23"/>
      <c r="BB743" s="66"/>
      <c r="BC743" s="66"/>
      <c r="BD743" s="66"/>
      <c r="BE743" s="66"/>
      <c r="BF743" s="66"/>
      <c r="BG743" s="66"/>
      <c r="BH743" s="66"/>
      <c r="BI743" s="66"/>
      <c r="BJ743" s="66"/>
      <c r="BK743" s="66"/>
      <c r="BL743" s="66"/>
      <c r="BM743" s="66"/>
      <c r="BN743" s="66"/>
      <c r="BO743" s="66"/>
      <c r="BP743" s="66"/>
      <c r="BQ743" s="66"/>
      <c r="BR743" s="66"/>
      <c r="BS743" s="66"/>
      <c r="BT743" s="66"/>
      <c r="BU743" s="66"/>
      <c r="BV743" s="66"/>
      <c r="BW743" s="66"/>
    </row>
    <row r="744" spans="1:75" ht="15.75" customHeight="1">
      <c r="A744" s="65"/>
      <c r="B744" s="66"/>
      <c r="C744" s="66"/>
      <c r="D744" s="66"/>
      <c r="E744" s="66"/>
      <c r="F744" s="65"/>
      <c r="G744" s="65"/>
      <c r="H744" s="66"/>
      <c r="I744" s="66"/>
      <c r="J744" s="66"/>
      <c r="K744" s="66"/>
      <c r="L744" s="66"/>
      <c r="M744" s="66"/>
      <c r="N744" s="66"/>
      <c r="O744" s="66"/>
      <c r="P744" s="66"/>
      <c r="Q744" s="23"/>
      <c r="AB744" s="23"/>
      <c r="AC744" s="23"/>
      <c r="AD744" s="23"/>
      <c r="AE744" s="7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71"/>
      <c r="AV744" s="10"/>
      <c r="AW744" s="23"/>
      <c r="BB744" s="66"/>
      <c r="BC744" s="66"/>
      <c r="BD744" s="66"/>
      <c r="BE744" s="66"/>
      <c r="BF744" s="66"/>
      <c r="BG744" s="66"/>
      <c r="BH744" s="66"/>
      <c r="BI744" s="66"/>
      <c r="BJ744" s="66"/>
      <c r="BK744" s="66"/>
      <c r="BL744" s="66"/>
      <c r="BM744" s="66"/>
      <c r="BN744" s="66"/>
      <c r="BO744" s="66"/>
      <c r="BP744" s="66"/>
      <c r="BQ744" s="66"/>
      <c r="BR744" s="66"/>
      <c r="BS744" s="66"/>
      <c r="BT744" s="66"/>
      <c r="BU744" s="66"/>
      <c r="BV744" s="66"/>
      <c r="BW744" s="66"/>
    </row>
    <row r="745" spans="1:75" ht="15.75" customHeight="1">
      <c r="A745" s="65"/>
      <c r="B745" s="66"/>
      <c r="C745" s="66"/>
      <c r="D745" s="66"/>
      <c r="E745" s="66"/>
      <c r="F745" s="65"/>
      <c r="G745" s="65"/>
      <c r="H745" s="66"/>
      <c r="I745" s="66"/>
      <c r="J745" s="66"/>
      <c r="K745" s="66"/>
      <c r="L745" s="66"/>
      <c r="M745" s="66"/>
      <c r="N745" s="66"/>
      <c r="O745" s="66"/>
      <c r="P745" s="66"/>
      <c r="Q745" s="23"/>
      <c r="AB745" s="23"/>
      <c r="AC745" s="23"/>
      <c r="AD745" s="23"/>
      <c r="AE745" s="7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71"/>
      <c r="AV745" s="10"/>
      <c r="AW745" s="23"/>
      <c r="BB745" s="66"/>
      <c r="BC745" s="66"/>
      <c r="BD745" s="66"/>
      <c r="BE745" s="66"/>
      <c r="BF745" s="66"/>
      <c r="BG745" s="66"/>
      <c r="BH745" s="66"/>
      <c r="BI745" s="66"/>
      <c r="BJ745" s="66"/>
      <c r="BK745" s="66"/>
      <c r="BL745" s="66"/>
      <c r="BM745" s="66"/>
      <c r="BN745" s="66"/>
      <c r="BO745" s="66"/>
      <c r="BP745" s="66"/>
      <c r="BQ745" s="66"/>
      <c r="BR745" s="66"/>
      <c r="BS745" s="66"/>
      <c r="BT745" s="66"/>
      <c r="BU745" s="66"/>
      <c r="BV745" s="66"/>
      <c r="BW745" s="66"/>
    </row>
    <row r="746" spans="1:75" ht="15.75" customHeight="1">
      <c r="A746" s="65"/>
      <c r="B746" s="66"/>
      <c r="C746" s="66"/>
      <c r="D746" s="66"/>
      <c r="E746" s="66"/>
      <c r="F746" s="65"/>
      <c r="G746" s="65"/>
      <c r="H746" s="66"/>
      <c r="I746" s="66"/>
      <c r="J746" s="66"/>
      <c r="K746" s="66"/>
      <c r="L746" s="66"/>
      <c r="M746" s="66"/>
      <c r="N746" s="66"/>
      <c r="O746" s="66"/>
      <c r="P746" s="66"/>
      <c r="Q746" s="23"/>
      <c r="AB746" s="23"/>
      <c r="AC746" s="23"/>
      <c r="AD746" s="23"/>
      <c r="AE746" s="7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71"/>
      <c r="AV746" s="10"/>
      <c r="AW746" s="23"/>
      <c r="BB746" s="66"/>
      <c r="BC746" s="66"/>
      <c r="BD746" s="66"/>
      <c r="BE746" s="66"/>
      <c r="BF746" s="66"/>
      <c r="BG746" s="66"/>
      <c r="BH746" s="66"/>
      <c r="BI746" s="66"/>
      <c r="BJ746" s="66"/>
      <c r="BK746" s="66"/>
      <c r="BL746" s="66"/>
      <c r="BM746" s="66"/>
      <c r="BN746" s="66"/>
      <c r="BO746" s="66"/>
      <c r="BP746" s="66"/>
      <c r="BQ746" s="66"/>
      <c r="BR746" s="66"/>
      <c r="BS746" s="66"/>
      <c r="BT746" s="66"/>
      <c r="BU746" s="66"/>
      <c r="BV746" s="66"/>
      <c r="BW746" s="66"/>
    </row>
    <row r="747" spans="1:75" ht="15.75" customHeight="1">
      <c r="A747" s="65"/>
      <c r="B747" s="66"/>
      <c r="C747" s="66"/>
      <c r="D747" s="66"/>
      <c r="E747" s="66"/>
      <c r="F747" s="65"/>
      <c r="G747" s="65"/>
      <c r="H747" s="66"/>
      <c r="I747" s="66"/>
      <c r="J747" s="66"/>
      <c r="K747" s="66"/>
      <c r="L747" s="66"/>
      <c r="M747" s="66"/>
      <c r="N747" s="66"/>
      <c r="O747" s="66"/>
      <c r="P747" s="66"/>
      <c r="Q747" s="23"/>
      <c r="AB747" s="23"/>
      <c r="AC747" s="23"/>
      <c r="AD747" s="23"/>
      <c r="AE747" s="7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71"/>
      <c r="AV747" s="10"/>
      <c r="AW747" s="23"/>
      <c r="BB747" s="66"/>
      <c r="BC747" s="66"/>
      <c r="BD747" s="66"/>
      <c r="BE747" s="66"/>
      <c r="BF747" s="66"/>
      <c r="BG747" s="66"/>
      <c r="BH747" s="66"/>
      <c r="BI747" s="66"/>
      <c r="BJ747" s="66"/>
      <c r="BK747" s="66"/>
      <c r="BL747" s="66"/>
      <c r="BM747" s="66"/>
      <c r="BN747" s="66"/>
      <c r="BO747" s="66"/>
      <c r="BP747" s="66"/>
      <c r="BQ747" s="66"/>
      <c r="BR747" s="66"/>
      <c r="BS747" s="66"/>
      <c r="BT747" s="66"/>
      <c r="BU747" s="66"/>
      <c r="BV747" s="66"/>
      <c r="BW747" s="66"/>
    </row>
    <row r="748" spans="1:75" ht="15.75" customHeight="1">
      <c r="A748" s="65"/>
      <c r="B748" s="66"/>
      <c r="C748" s="66"/>
      <c r="D748" s="66"/>
      <c r="E748" s="66"/>
      <c r="F748" s="65"/>
      <c r="G748" s="65"/>
      <c r="H748" s="66"/>
      <c r="I748" s="66"/>
      <c r="J748" s="66"/>
      <c r="K748" s="66"/>
      <c r="L748" s="66"/>
      <c r="M748" s="66"/>
      <c r="N748" s="66"/>
      <c r="O748" s="66"/>
      <c r="P748" s="66"/>
      <c r="Q748" s="23"/>
      <c r="AB748" s="23"/>
      <c r="AC748" s="23"/>
      <c r="AD748" s="23"/>
      <c r="AE748" s="7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71"/>
      <c r="AV748" s="10"/>
      <c r="AW748" s="23"/>
      <c r="BB748" s="66"/>
      <c r="BC748" s="66"/>
      <c r="BD748" s="66"/>
      <c r="BE748" s="66"/>
      <c r="BF748" s="66"/>
      <c r="BG748" s="66"/>
      <c r="BH748" s="66"/>
      <c r="BI748" s="66"/>
      <c r="BJ748" s="66"/>
      <c r="BK748" s="66"/>
      <c r="BL748" s="66"/>
      <c r="BM748" s="66"/>
      <c r="BN748" s="66"/>
      <c r="BO748" s="66"/>
      <c r="BP748" s="66"/>
      <c r="BQ748" s="66"/>
      <c r="BR748" s="66"/>
      <c r="BS748" s="66"/>
      <c r="BT748" s="66"/>
      <c r="BU748" s="66"/>
      <c r="BV748" s="66"/>
      <c r="BW748" s="66"/>
    </row>
    <row r="749" spans="1:75" ht="15.75" customHeight="1">
      <c r="A749" s="65"/>
      <c r="B749" s="66"/>
      <c r="C749" s="66"/>
      <c r="D749" s="66"/>
      <c r="E749" s="66"/>
      <c r="F749" s="65"/>
      <c r="G749" s="65"/>
      <c r="H749" s="66"/>
      <c r="I749" s="66"/>
      <c r="J749" s="66"/>
      <c r="K749" s="66"/>
      <c r="L749" s="66"/>
      <c r="M749" s="66"/>
      <c r="N749" s="66"/>
      <c r="O749" s="66"/>
      <c r="P749" s="66"/>
      <c r="Q749" s="23"/>
      <c r="AB749" s="23"/>
      <c r="AC749" s="23"/>
      <c r="AD749" s="23"/>
      <c r="AE749" s="7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71"/>
      <c r="AV749" s="10"/>
      <c r="AW749" s="23"/>
      <c r="BB749" s="66"/>
      <c r="BC749" s="66"/>
      <c r="BD749" s="66"/>
      <c r="BE749" s="66"/>
      <c r="BF749" s="66"/>
      <c r="BG749" s="66"/>
      <c r="BH749" s="66"/>
      <c r="BI749" s="66"/>
      <c r="BJ749" s="66"/>
      <c r="BK749" s="66"/>
      <c r="BL749" s="66"/>
      <c r="BM749" s="66"/>
      <c r="BN749" s="66"/>
      <c r="BO749" s="66"/>
      <c r="BP749" s="66"/>
      <c r="BQ749" s="66"/>
      <c r="BR749" s="66"/>
      <c r="BS749" s="66"/>
      <c r="BT749" s="66"/>
      <c r="BU749" s="66"/>
      <c r="BV749" s="66"/>
      <c r="BW749" s="66"/>
    </row>
    <row r="750" spans="1:75" ht="15.75" customHeight="1">
      <c r="A750" s="65"/>
      <c r="B750" s="66"/>
      <c r="C750" s="66"/>
      <c r="D750" s="66"/>
      <c r="E750" s="66"/>
      <c r="F750" s="65"/>
      <c r="G750" s="65"/>
      <c r="H750" s="66"/>
      <c r="I750" s="66"/>
      <c r="J750" s="66"/>
      <c r="K750" s="66"/>
      <c r="L750" s="66"/>
      <c r="M750" s="66"/>
      <c r="N750" s="66"/>
      <c r="O750" s="66"/>
      <c r="P750" s="66"/>
      <c r="Q750" s="23"/>
      <c r="AB750" s="23"/>
      <c r="AC750" s="23"/>
      <c r="AD750" s="23"/>
      <c r="AE750" s="7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71"/>
      <c r="AV750" s="10"/>
      <c r="AW750" s="23"/>
      <c r="BB750" s="66"/>
      <c r="BC750" s="66"/>
      <c r="BD750" s="66"/>
      <c r="BE750" s="66"/>
      <c r="BF750" s="66"/>
      <c r="BG750" s="66"/>
      <c r="BH750" s="66"/>
      <c r="BI750" s="66"/>
      <c r="BJ750" s="66"/>
      <c r="BK750" s="66"/>
      <c r="BL750" s="66"/>
      <c r="BM750" s="66"/>
      <c r="BN750" s="66"/>
      <c r="BO750" s="66"/>
      <c r="BP750" s="66"/>
      <c r="BQ750" s="66"/>
      <c r="BR750" s="66"/>
      <c r="BS750" s="66"/>
      <c r="BT750" s="66"/>
      <c r="BU750" s="66"/>
      <c r="BV750" s="66"/>
      <c r="BW750" s="66"/>
    </row>
    <row r="751" spans="1:75" ht="15.75" customHeight="1">
      <c r="A751" s="65"/>
      <c r="B751" s="66"/>
      <c r="C751" s="66"/>
      <c r="D751" s="66"/>
      <c r="E751" s="66"/>
      <c r="F751" s="65"/>
      <c r="G751" s="65"/>
      <c r="H751" s="66"/>
      <c r="I751" s="66"/>
      <c r="J751" s="66"/>
      <c r="K751" s="66"/>
      <c r="L751" s="66"/>
      <c r="M751" s="66"/>
      <c r="N751" s="66"/>
      <c r="O751" s="66"/>
      <c r="P751" s="66"/>
      <c r="Q751" s="23"/>
      <c r="AB751" s="23"/>
      <c r="AC751" s="23"/>
      <c r="AD751" s="23"/>
      <c r="AE751" s="7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71"/>
      <c r="AV751" s="10"/>
      <c r="AW751" s="23"/>
      <c r="BB751" s="66"/>
      <c r="BC751" s="66"/>
      <c r="BD751" s="66"/>
      <c r="BE751" s="66"/>
      <c r="BF751" s="66"/>
      <c r="BG751" s="66"/>
      <c r="BH751" s="66"/>
      <c r="BI751" s="66"/>
      <c r="BJ751" s="66"/>
      <c r="BK751" s="66"/>
      <c r="BL751" s="66"/>
      <c r="BM751" s="66"/>
      <c r="BN751" s="66"/>
      <c r="BO751" s="66"/>
      <c r="BP751" s="66"/>
      <c r="BQ751" s="66"/>
      <c r="BR751" s="66"/>
      <c r="BS751" s="66"/>
      <c r="BT751" s="66"/>
      <c r="BU751" s="66"/>
      <c r="BV751" s="66"/>
      <c r="BW751" s="66"/>
    </row>
    <row r="752" spans="1:75" ht="15.75" customHeight="1">
      <c r="A752" s="65"/>
      <c r="B752" s="66"/>
      <c r="C752" s="66"/>
      <c r="D752" s="66"/>
      <c r="E752" s="66"/>
      <c r="F752" s="65"/>
      <c r="G752" s="65"/>
      <c r="H752" s="66"/>
      <c r="I752" s="66"/>
      <c r="J752" s="66"/>
      <c r="K752" s="66"/>
      <c r="L752" s="66"/>
      <c r="M752" s="66"/>
      <c r="N752" s="66"/>
      <c r="O752" s="66"/>
      <c r="P752" s="66"/>
      <c r="Q752" s="23"/>
      <c r="AB752" s="23"/>
      <c r="AC752" s="23"/>
      <c r="AD752" s="23"/>
      <c r="AE752" s="7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71"/>
      <c r="AV752" s="10"/>
      <c r="AW752" s="23"/>
      <c r="BB752" s="66"/>
      <c r="BC752" s="66"/>
      <c r="BD752" s="66"/>
      <c r="BE752" s="66"/>
      <c r="BF752" s="66"/>
      <c r="BG752" s="66"/>
      <c r="BH752" s="66"/>
      <c r="BI752" s="66"/>
      <c r="BJ752" s="66"/>
      <c r="BK752" s="66"/>
      <c r="BL752" s="66"/>
      <c r="BM752" s="66"/>
      <c r="BN752" s="66"/>
      <c r="BO752" s="66"/>
      <c r="BP752" s="66"/>
      <c r="BQ752" s="66"/>
      <c r="BR752" s="66"/>
      <c r="BS752" s="66"/>
      <c r="BT752" s="66"/>
      <c r="BU752" s="66"/>
      <c r="BV752" s="66"/>
      <c r="BW752" s="66"/>
    </row>
    <row r="753" spans="1:75" ht="15.75" customHeight="1">
      <c r="A753" s="65"/>
      <c r="B753" s="66"/>
      <c r="C753" s="66"/>
      <c r="D753" s="66"/>
      <c r="E753" s="66"/>
      <c r="F753" s="65"/>
      <c r="G753" s="65"/>
      <c r="H753" s="66"/>
      <c r="I753" s="66"/>
      <c r="J753" s="66"/>
      <c r="K753" s="66"/>
      <c r="L753" s="66"/>
      <c r="M753" s="66"/>
      <c r="N753" s="66"/>
      <c r="O753" s="66"/>
      <c r="P753" s="66"/>
      <c r="Q753" s="23"/>
      <c r="AB753" s="23"/>
      <c r="AC753" s="23"/>
      <c r="AD753" s="23"/>
      <c r="AE753" s="7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71"/>
      <c r="AV753" s="10"/>
      <c r="AW753" s="23"/>
      <c r="BB753" s="66"/>
      <c r="BC753" s="66"/>
      <c r="BD753" s="66"/>
      <c r="BE753" s="66"/>
      <c r="BF753" s="66"/>
      <c r="BG753" s="66"/>
      <c r="BH753" s="66"/>
      <c r="BI753" s="66"/>
      <c r="BJ753" s="66"/>
      <c r="BK753" s="66"/>
      <c r="BL753" s="66"/>
      <c r="BM753" s="66"/>
      <c r="BN753" s="66"/>
      <c r="BO753" s="66"/>
      <c r="BP753" s="66"/>
      <c r="BQ753" s="66"/>
      <c r="BR753" s="66"/>
      <c r="BS753" s="66"/>
      <c r="BT753" s="66"/>
      <c r="BU753" s="66"/>
      <c r="BV753" s="66"/>
      <c r="BW753" s="66"/>
    </row>
    <row r="754" spans="1:75" ht="15.75" customHeight="1">
      <c r="A754" s="65"/>
      <c r="B754" s="66"/>
      <c r="C754" s="66"/>
      <c r="D754" s="66"/>
      <c r="E754" s="66"/>
      <c r="F754" s="65"/>
      <c r="G754" s="65"/>
      <c r="H754" s="66"/>
      <c r="I754" s="66"/>
      <c r="J754" s="66"/>
      <c r="K754" s="66"/>
      <c r="L754" s="66"/>
      <c r="M754" s="66"/>
      <c r="N754" s="66"/>
      <c r="O754" s="66"/>
      <c r="P754" s="66"/>
      <c r="Q754" s="23"/>
      <c r="AB754" s="23"/>
      <c r="AC754" s="23"/>
      <c r="AD754" s="23"/>
      <c r="AE754" s="7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71"/>
      <c r="AV754" s="10"/>
      <c r="AW754" s="23"/>
      <c r="BB754" s="66"/>
      <c r="BC754" s="66"/>
      <c r="BD754" s="66"/>
      <c r="BE754" s="66"/>
      <c r="BF754" s="66"/>
      <c r="BG754" s="66"/>
      <c r="BH754" s="66"/>
      <c r="BI754" s="66"/>
      <c r="BJ754" s="66"/>
      <c r="BK754" s="66"/>
      <c r="BL754" s="66"/>
      <c r="BM754" s="66"/>
      <c r="BN754" s="66"/>
      <c r="BO754" s="66"/>
      <c r="BP754" s="66"/>
      <c r="BQ754" s="66"/>
      <c r="BR754" s="66"/>
      <c r="BS754" s="66"/>
      <c r="BT754" s="66"/>
      <c r="BU754" s="66"/>
      <c r="BV754" s="66"/>
      <c r="BW754" s="66"/>
    </row>
    <row r="755" spans="1:75" ht="15.75" customHeight="1">
      <c r="A755" s="65"/>
      <c r="B755" s="66"/>
      <c r="C755" s="66"/>
      <c r="D755" s="66"/>
      <c r="E755" s="66"/>
      <c r="F755" s="65"/>
      <c r="G755" s="65"/>
      <c r="H755" s="66"/>
      <c r="I755" s="66"/>
      <c r="J755" s="66"/>
      <c r="K755" s="66"/>
      <c r="L755" s="66"/>
      <c r="M755" s="66"/>
      <c r="N755" s="66"/>
      <c r="O755" s="66"/>
      <c r="P755" s="66"/>
      <c r="Q755" s="23"/>
      <c r="AB755" s="23"/>
      <c r="AC755" s="23"/>
      <c r="AD755" s="23"/>
      <c r="AE755" s="7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71"/>
      <c r="AV755" s="10"/>
      <c r="AW755" s="23"/>
      <c r="BB755" s="66"/>
      <c r="BC755" s="66"/>
      <c r="BD755" s="66"/>
      <c r="BE755" s="66"/>
      <c r="BF755" s="66"/>
      <c r="BG755" s="66"/>
      <c r="BH755" s="66"/>
      <c r="BI755" s="66"/>
      <c r="BJ755" s="66"/>
      <c r="BK755" s="66"/>
      <c r="BL755" s="66"/>
      <c r="BM755" s="66"/>
      <c r="BN755" s="66"/>
      <c r="BO755" s="66"/>
      <c r="BP755" s="66"/>
      <c r="BQ755" s="66"/>
      <c r="BR755" s="66"/>
      <c r="BS755" s="66"/>
      <c r="BT755" s="66"/>
      <c r="BU755" s="66"/>
      <c r="BV755" s="66"/>
      <c r="BW755" s="66"/>
    </row>
    <row r="756" spans="1:75" ht="15.75" customHeight="1">
      <c r="A756" s="65"/>
      <c r="B756" s="66"/>
      <c r="C756" s="66"/>
      <c r="D756" s="66"/>
      <c r="E756" s="66"/>
      <c r="F756" s="65"/>
      <c r="G756" s="65"/>
      <c r="H756" s="66"/>
      <c r="I756" s="66"/>
      <c r="J756" s="66"/>
      <c r="K756" s="66"/>
      <c r="L756" s="66"/>
      <c r="M756" s="66"/>
      <c r="N756" s="66"/>
      <c r="O756" s="66"/>
      <c r="P756" s="66"/>
      <c r="Q756" s="23"/>
      <c r="AB756" s="23"/>
      <c r="AC756" s="23"/>
      <c r="AD756" s="23"/>
      <c r="AE756" s="7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71"/>
      <c r="AV756" s="10"/>
      <c r="AW756" s="23"/>
      <c r="BB756" s="66"/>
      <c r="BC756" s="66"/>
      <c r="BD756" s="66"/>
      <c r="BE756" s="66"/>
      <c r="BF756" s="66"/>
      <c r="BG756" s="66"/>
      <c r="BH756" s="66"/>
      <c r="BI756" s="66"/>
      <c r="BJ756" s="66"/>
      <c r="BK756" s="66"/>
      <c r="BL756" s="66"/>
      <c r="BM756" s="66"/>
      <c r="BN756" s="66"/>
      <c r="BO756" s="66"/>
      <c r="BP756" s="66"/>
      <c r="BQ756" s="66"/>
      <c r="BR756" s="66"/>
      <c r="BS756" s="66"/>
      <c r="BT756" s="66"/>
      <c r="BU756" s="66"/>
      <c r="BV756" s="66"/>
      <c r="BW756" s="66"/>
    </row>
    <row r="757" spans="1:75" ht="15.75" customHeight="1">
      <c r="A757" s="65"/>
      <c r="B757" s="66"/>
      <c r="C757" s="66"/>
      <c r="D757" s="66"/>
      <c r="E757" s="66"/>
      <c r="F757" s="65"/>
      <c r="G757" s="65"/>
      <c r="H757" s="66"/>
      <c r="I757" s="66"/>
      <c r="J757" s="66"/>
      <c r="K757" s="66"/>
      <c r="L757" s="66"/>
      <c r="M757" s="66"/>
      <c r="N757" s="66"/>
      <c r="O757" s="66"/>
      <c r="P757" s="66"/>
      <c r="Q757" s="23"/>
      <c r="AB757" s="23"/>
      <c r="AC757" s="23"/>
      <c r="AD757" s="23"/>
      <c r="AE757" s="7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71"/>
      <c r="AV757" s="10"/>
      <c r="AW757" s="23"/>
      <c r="BB757" s="66"/>
      <c r="BC757" s="66"/>
      <c r="BD757" s="66"/>
      <c r="BE757" s="66"/>
      <c r="BF757" s="66"/>
      <c r="BG757" s="66"/>
      <c r="BH757" s="66"/>
      <c r="BI757" s="66"/>
      <c r="BJ757" s="66"/>
      <c r="BK757" s="66"/>
      <c r="BL757" s="66"/>
      <c r="BM757" s="66"/>
      <c r="BN757" s="66"/>
      <c r="BO757" s="66"/>
      <c r="BP757" s="66"/>
      <c r="BQ757" s="66"/>
      <c r="BR757" s="66"/>
      <c r="BS757" s="66"/>
      <c r="BT757" s="66"/>
      <c r="BU757" s="66"/>
      <c r="BV757" s="66"/>
      <c r="BW757" s="66"/>
    </row>
    <row r="758" spans="1:75" ht="15.75" customHeight="1">
      <c r="A758" s="65"/>
      <c r="B758" s="66"/>
      <c r="C758" s="66"/>
      <c r="D758" s="66"/>
      <c r="E758" s="66"/>
      <c r="F758" s="65"/>
      <c r="G758" s="65"/>
      <c r="H758" s="66"/>
      <c r="I758" s="66"/>
      <c r="J758" s="66"/>
      <c r="K758" s="66"/>
      <c r="L758" s="66"/>
      <c r="M758" s="66"/>
      <c r="N758" s="66"/>
      <c r="O758" s="66"/>
      <c r="P758" s="66"/>
      <c r="Q758" s="23"/>
      <c r="AB758" s="23"/>
      <c r="AC758" s="23"/>
      <c r="AD758" s="23"/>
      <c r="AE758" s="7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71"/>
      <c r="AV758" s="10"/>
      <c r="AW758" s="23"/>
      <c r="BB758" s="66"/>
      <c r="BC758" s="66"/>
      <c r="BD758" s="66"/>
      <c r="BE758" s="66"/>
      <c r="BF758" s="66"/>
      <c r="BG758" s="66"/>
      <c r="BH758" s="66"/>
      <c r="BI758" s="66"/>
      <c r="BJ758" s="66"/>
      <c r="BK758" s="66"/>
      <c r="BL758" s="66"/>
      <c r="BM758" s="66"/>
      <c r="BN758" s="66"/>
      <c r="BO758" s="66"/>
      <c r="BP758" s="66"/>
      <c r="BQ758" s="66"/>
      <c r="BR758" s="66"/>
      <c r="BS758" s="66"/>
      <c r="BT758" s="66"/>
      <c r="BU758" s="66"/>
      <c r="BV758" s="66"/>
      <c r="BW758" s="66"/>
    </row>
    <row r="759" spans="1:75" ht="15.75" customHeight="1">
      <c r="A759" s="65"/>
      <c r="B759" s="66"/>
      <c r="C759" s="66"/>
      <c r="D759" s="66"/>
      <c r="E759" s="66"/>
      <c r="F759" s="65"/>
      <c r="G759" s="65"/>
      <c r="H759" s="66"/>
      <c r="I759" s="66"/>
      <c r="J759" s="66"/>
      <c r="K759" s="66"/>
      <c r="L759" s="66"/>
      <c r="M759" s="66"/>
      <c r="N759" s="66"/>
      <c r="O759" s="66"/>
      <c r="P759" s="66"/>
      <c r="Q759" s="23"/>
      <c r="AB759" s="23"/>
      <c r="AC759" s="23"/>
      <c r="AD759" s="23"/>
      <c r="AE759" s="7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71"/>
      <c r="AV759" s="10"/>
      <c r="AW759" s="23"/>
      <c r="BB759" s="66"/>
      <c r="BC759" s="66"/>
      <c r="BD759" s="66"/>
      <c r="BE759" s="66"/>
      <c r="BF759" s="66"/>
      <c r="BG759" s="66"/>
      <c r="BH759" s="66"/>
      <c r="BI759" s="66"/>
      <c r="BJ759" s="66"/>
      <c r="BK759" s="66"/>
      <c r="BL759" s="66"/>
      <c r="BM759" s="66"/>
      <c r="BN759" s="66"/>
      <c r="BO759" s="66"/>
      <c r="BP759" s="66"/>
      <c r="BQ759" s="66"/>
      <c r="BR759" s="66"/>
      <c r="BS759" s="66"/>
      <c r="BT759" s="66"/>
      <c r="BU759" s="66"/>
      <c r="BV759" s="66"/>
      <c r="BW759" s="66"/>
    </row>
    <row r="760" spans="1:75" ht="15.75" customHeight="1">
      <c r="A760" s="65"/>
      <c r="B760" s="66"/>
      <c r="C760" s="66"/>
      <c r="D760" s="66"/>
      <c r="E760" s="66"/>
      <c r="F760" s="65"/>
      <c r="G760" s="65"/>
      <c r="H760" s="66"/>
      <c r="I760" s="66"/>
      <c r="J760" s="66"/>
      <c r="K760" s="66"/>
      <c r="L760" s="66"/>
      <c r="M760" s="66"/>
      <c r="N760" s="66"/>
      <c r="O760" s="66"/>
      <c r="P760" s="66"/>
      <c r="Q760" s="23"/>
      <c r="AB760" s="23"/>
      <c r="AC760" s="23"/>
      <c r="AD760" s="23"/>
      <c r="AE760" s="7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71"/>
      <c r="AV760" s="10"/>
      <c r="AW760" s="23"/>
      <c r="BB760" s="66"/>
      <c r="BC760" s="66"/>
      <c r="BD760" s="66"/>
      <c r="BE760" s="66"/>
      <c r="BF760" s="66"/>
      <c r="BG760" s="66"/>
      <c r="BH760" s="66"/>
      <c r="BI760" s="66"/>
      <c r="BJ760" s="66"/>
      <c r="BK760" s="66"/>
      <c r="BL760" s="66"/>
      <c r="BM760" s="66"/>
      <c r="BN760" s="66"/>
      <c r="BO760" s="66"/>
      <c r="BP760" s="66"/>
      <c r="BQ760" s="66"/>
      <c r="BR760" s="66"/>
      <c r="BS760" s="66"/>
      <c r="BT760" s="66"/>
      <c r="BU760" s="66"/>
      <c r="BV760" s="66"/>
      <c r="BW760" s="66"/>
    </row>
    <row r="761" spans="1:75" ht="15.75" customHeight="1">
      <c r="A761" s="65"/>
      <c r="B761" s="66"/>
      <c r="C761" s="66"/>
      <c r="D761" s="66"/>
      <c r="E761" s="66"/>
      <c r="F761" s="65"/>
      <c r="G761" s="65"/>
      <c r="H761" s="66"/>
      <c r="I761" s="66"/>
      <c r="J761" s="66"/>
      <c r="K761" s="66"/>
      <c r="L761" s="66"/>
      <c r="M761" s="66"/>
      <c r="N761" s="66"/>
      <c r="O761" s="66"/>
      <c r="P761" s="66"/>
      <c r="Q761" s="23"/>
      <c r="AB761" s="23"/>
      <c r="AC761" s="23"/>
      <c r="AD761" s="23"/>
      <c r="AE761" s="7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71"/>
      <c r="AV761" s="10"/>
      <c r="AW761" s="23"/>
      <c r="BB761" s="66"/>
      <c r="BC761" s="66"/>
      <c r="BD761" s="66"/>
      <c r="BE761" s="66"/>
      <c r="BF761" s="66"/>
      <c r="BG761" s="66"/>
      <c r="BH761" s="66"/>
      <c r="BI761" s="66"/>
      <c r="BJ761" s="66"/>
      <c r="BK761" s="66"/>
      <c r="BL761" s="66"/>
      <c r="BM761" s="66"/>
      <c r="BN761" s="66"/>
      <c r="BO761" s="66"/>
      <c r="BP761" s="66"/>
      <c r="BQ761" s="66"/>
      <c r="BR761" s="66"/>
      <c r="BS761" s="66"/>
      <c r="BT761" s="66"/>
      <c r="BU761" s="66"/>
      <c r="BV761" s="66"/>
      <c r="BW761" s="66"/>
    </row>
    <row r="762" spans="1:75" ht="15.75" customHeight="1">
      <c r="A762" s="65"/>
      <c r="B762" s="66"/>
      <c r="C762" s="66"/>
      <c r="D762" s="66"/>
      <c r="E762" s="66"/>
      <c r="F762" s="65"/>
      <c r="G762" s="65"/>
      <c r="H762" s="66"/>
      <c r="I762" s="66"/>
      <c r="J762" s="66"/>
      <c r="K762" s="66"/>
      <c r="L762" s="66"/>
      <c r="M762" s="66"/>
      <c r="N762" s="66"/>
      <c r="O762" s="66"/>
      <c r="P762" s="66"/>
      <c r="Q762" s="23"/>
      <c r="AB762" s="23"/>
      <c r="AC762" s="23"/>
      <c r="AD762" s="23"/>
      <c r="AE762" s="7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71"/>
      <c r="AV762" s="10"/>
      <c r="AW762" s="23"/>
      <c r="BB762" s="66"/>
      <c r="BC762" s="66"/>
      <c r="BD762" s="66"/>
      <c r="BE762" s="66"/>
      <c r="BF762" s="66"/>
      <c r="BG762" s="66"/>
      <c r="BH762" s="66"/>
      <c r="BI762" s="66"/>
      <c r="BJ762" s="66"/>
      <c r="BK762" s="66"/>
      <c r="BL762" s="66"/>
      <c r="BM762" s="66"/>
      <c r="BN762" s="66"/>
      <c r="BO762" s="66"/>
      <c r="BP762" s="66"/>
      <c r="BQ762" s="66"/>
      <c r="BR762" s="66"/>
      <c r="BS762" s="66"/>
      <c r="BT762" s="66"/>
      <c r="BU762" s="66"/>
      <c r="BV762" s="66"/>
      <c r="BW762" s="66"/>
    </row>
    <row r="763" spans="1:75" ht="15.75" customHeight="1">
      <c r="A763" s="65"/>
      <c r="B763" s="66"/>
      <c r="C763" s="66"/>
      <c r="D763" s="66"/>
      <c r="E763" s="66"/>
      <c r="F763" s="65"/>
      <c r="G763" s="65"/>
      <c r="H763" s="66"/>
      <c r="I763" s="66"/>
      <c r="J763" s="66"/>
      <c r="K763" s="66"/>
      <c r="L763" s="66"/>
      <c r="M763" s="66"/>
      <c r="N763" s="66"/>
      <c r="O763" s="66"/>
      <c r="P763" s="66"/>
      <c r="Q763" s="23"/>
      <c r="AB763" s="23"/>
      <c r="AC763" s="23"/>
      <c r="AD763" s="23"/>
      <c r="AE763" s="7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71"/>
      <c r="AV763" s="10"/>
      <c r="AW763" s="23"/>
      <c r="BB763" s="66"/>
      <c r="BC763" s="66"/>
      <c r="BD763" s="66"/>
      <c r="BE763" s="66"/>
      <c r="BF763" s="66"/>
      <c r="BG763" s="66"/>
      <c r="BH763" s="66"/>
      <c r="BI763" s="66"/>
      <c r="BJ763" s="66"/>
      <c r="BK763" s="66"/>
      <c r="BL763" s="66"/>
      <c r="BM763" s="66"/>
      <c r="BN763" s="66"/>
      <c r="BO763" s="66"/>
      <c r="BP763" s="66"/>
      <c r="BQ763" s="66"/>
      <c r="BR763" s="66"/>
      <c r="BS763" s="66"/>
      <c r="BT763" s="66"/>
      <c r="BU763" s="66"/>
      <c r="BV763" s="66"/>
      <c r="BW763" s="66"/>
    </row>
    <row r="764" spans="1:75" ht="15.75" customHeight="1">
      <c r="A764" s="65"/>
      <c r="B764" s="66"/>
      <c r="C764" s="66"/>
      <c r="D764" s="66"/>
      <c r="E764" s="66"/>
      <c r="F764" s="65"/>
      <c r="G764" s="65"/>
      <c r="H764" s="66"/>
      <c r="I764" s="66"/>
      <c r="J764" s="66"/>
      <c r="K764" s="66"/>
      <c r="L764" s="66"/>
      <c r="M764" s="66"/>
      <c r="N764" s="66"/>
      <c r="O764" s="66"/>
      <c r="P764" s="66"/>
      <c r="Q764" s="23"/>
      <c r="AB764" s="23"/>
      <c r="AC764" s="23"/>
      <c r="AD764" s="23"/>
      <c r="AE764" s="7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71"/>
      <c r="AV764" s="10"/>
      <c r="AW764" s="23"/>
      <c r="BB764" s="66"/>
      <c r="BC764" s="66"/>
      <c r="BD764" s="66"/>
      <c r="BE764" s="66"/>
      <c r="BF764" s="66"/>
      <c r="BG764" s="66"/>
      <c r="BH764" s="66"/>
      <c r="BI764" s="66"/>
      <c r="BJ764" s="66"/>
      <c r="BK764" s="66"/>
      <c r="BL764" s="66"/>
      <c r="BM764" s="66"/>
      <c r="BN764" s="66"/>
      <c r="BO764" s="66"/>
      <c r="BP764" s="66"/>
      <c r="BQ764" s="66"/>
      <c r="BR764" s="66"/>
      <c r="BS764" s="66"/>
      <c r="BT764" s="66"/>
      <c r="BU764" s="66"/>
      <c r="BV764" s="66"/>
      <c r="BW764" s="66"/>
    </row>
    <row r="765" spans="1:75" ht="15.75" customHeight="1">
      <c r="A765" s="65"/>
      <c r="B765" s="66"/>
      <c r="C765" s="66"/>
      <c r="D765" s="66"/>
      <c r="E765" s="66"/>
      <c r="F765" s="65"/>
      <c r="G765" s="65"/>
      <c r="H765" s="66"/>
      <c r="I765" s="66"/>
      <c r="J765" s="66"/>
      <c r="K765" s="66"/>
      <c r="L765" s="66"/>
      <c r="M765" s="66"/>
      <c r="N765" s="66"/>
      <c r="O765" s="66"/>
      <c r="P765" s="66"/>
      <c r="Q765" s="23"/>
      <c r="AB765" s="23"/>
      <c r="AC765" s="23"/>
      <c r="AD765" s="23"/>
      <c r="AE765" s="7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71"/>
      <c r="AV765" s="10"/>
      <c r="AW765" s="23"/>
      <c r="BB765" s="66"/>
      <c r="BC765" s="66"/>
      <c r="BD765" s="66"/>
      <c r="BE765" s="66"/>
      <c r="BF765" s="66"/>
      <c r="BG765" s="66"/>
      <c r="BH765" s="66"/>
      <c r="BI765" s="66"/>
      <c r="BJ765" s="66"/>
      <c r="BK765" s="66"/>
      <c r="BL765" s="66"/>
      <c r="BM765" s="66"/>
      <c r="BN765" s="66"/>
      <c r="BO765" s="66"/>
      <c r="BP765" s="66"/>
      <c r="BQ765" s="66"/>
      <c r="BR765" s="66"/>
      <c r="BS765" s="66"/>
      <c r="BT765" s="66"/>
      <c r="BU765" s="66"/>
      <c r="BV765" s="66"/>
      <c r="BW765" s="66"/>
    </row>
    <row r="766" spans="1:75" ht="15.75" customHeight="1">
      <c r="A766" s="65"/>
      <c r="B766" s="66"/>
      <c r="C766" s="66"/>
      <c r="D766" s="66"/>
      <c r="E766" s="66"/>
      <c r="F766" s="65"/>
      <c r="G766" s="65"/>
      <c r="H766" s="66"/>
      <c r="I766" s="66"/>
      <c r="J766" s="66"/>
      <c r="K766" s="66"/>
      <c r="L766" s="66"/>
      <c r="M766" s="66"/>
      <c r="N766" s="66"/>
      <c r="O766" s="66"/>
      <c r="P766" s="66"/>
      <c r="Q766" s="23"/>
      <c r="AB766" s="23"/>
      <c r="AC766" s="23"/>
      <c r="AD766" s="23"/>
      <c r="AE766" s="7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71"/>
      <c r="AV766" s="10"/>
      <c r="AW766" s="23"/>
      <c r="BB766" s="66"/>
      <c r="BC766" s="66"/>
      <c r="BD766" s="66"/>
      <c r="BE766" s="66"/>
      <c r="BF766" s="66"/>
      <c r="BG766" s="66"/>
      <c r="BH766" s="66"/>
      <c r="BI766" s="66"/>
      <c r="BJ766" s="66"/>
      <c r="BK766" s="66"/>
      <c r="BL766" s="66"/>
      <c r="BM766" s="66"/>
      <c r="BN766" s="66"/>
      <c r="BO766" s="66"/>
      <c r="BP766" s="66"/>
      <c r="BQ766" s="66"/>
      <c r="BR766" s="66"/>
      <c r="BS766" s="66"/>
      <c r="BT766" s="66"/>
      <c r="BU766" s="66"/>
      <c r="BV766" s="66"/>
      <c r="BW766" s="66"/>
    </row>
    <row r="767" spans="1:75" ht="15.75" customHeight="1">
      <c r="A767" s="65"/>
      <c r="B767" s="66"/>
      <c r="C767" s="66"/>
      <c r="D767" s="66"/>
      <c r="E767" s="66"/>
      <c r="F767" s="65"/>
      <c r="G767" s="65"/>
      <c r="H767" s="66"/>
      <c r="I767" s="66"/>
      <c r="J767" s="66"/>
      <c r="K767" s="66"/>
      <c r="L767" s="66"/>
      <c r="M767" s="66"/>
      <c r="N767" s="66"/>
      <c r="O767" s="66"/>
      <c r="P767" s="66"/>
      <c r="Q767" s="23"/>
      <c r="AB767" s="23"/>
      <c r="AC767" s="23"/>
      <c r="AD767" s="23"/>
      <c r="AE767" s="7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71"/>
      <c r="AV767" s="10"/>
      <c r="AW767" s="23"/>
      <c r="BB767" s="66"/>
      <c r="BC767" s="66"/>
      <c r="BD767" s="66"/>
      <c r="BE767" s="66"/>
      <c r="BF767" s="66"/>
      <c r="BG767" s="66"/>
      <c r="BH767" s="66"/>
      <c r="BI767" s="66"/>
      <c r="BJ767" s="66"/>
      <c r="BK767" s="66"/>
      <c r="BL767" s="66"/>
      <c r="BM767" s="66"/>
      <c r="BN767" s="66"/>
      <c r="BO767" s="66"/>
      <c r="BP767" s="66"/>
      <c r="BQ767" s="66"/>
      <c r="BR767" s="66"/>
      <c r="BS767" s="66"/>
      <c r="BT767" s="66"/>
      <c r="BU767" s="66"/>
      <c r="BV767" s="66"/>
      <c r="BW767" s="66"/>
    </row>
    <row r="768" spans="1:75" ht="15.75" customHeight="1">
      <c r="A768" s="65"/>
      <c r="B768" s="66"/>
      <c r="C768" s="66"/>
      <c r="D768" s="66"/>
      <c r="E768" s="66"/>
      <c r="F768" s="65"/>
      <c r="G768" s="65"/>
      <c r="H768" s="66"/>
      <c r="I768" s="66"/>
      <c r="J768" s="66"/>
      <c r="K768" s="66"/>
      <c r="L768" s="66"/>
      <c r="M768" s="66"/>
      <c r="N768" s="66"/>
      <c r="O768" s="66"/>
      <c r="P768" s="66"/>
      <c r="Q768" s="23"/>
      <c r="AB768" s="23"/>
      <c r="AC768" s="23"/>
      <c r="AD768" s="23"/>
      <c r="AE768" s="7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71"/>
      <c r="AV768" s="10"/>
      <c r="AW768" s="23"/>
      <c r="BB768" s="66"/>
      <c r="BC768" s="66"/>
      <c r="BD768" s="66"/>
      <c r="BE768" s="66"/>
      <c r="BF768" s="66"/>
      <c r="BG768" s="66"/>
      <c r="BH768" s="66"/>
      <c r="BI768" s="66"/>
      <c r="BJ768" s="66"/>
      <c r="BK768" s="66"/>
      <c r="BL768" s="66"/>
      <c r="BM768" s="66"/>
      <c r="BN768" s="66"/>
      <c r="BO768" s="66"/>
      <c r="BP768" s="66"/>
      <c r="BQ768" s="66"/>
      <c r="BR768" s="66"/>
      <c r="BS768" s="66"/>
      <c r="BT768" s="66"/>
      <c r="BU768" s="66"/>
      <c r="BV768" s="66"/>
      <c r="BW768" s="66"/>
    </row>
    <row r="769" spans="1:75" ht="15.75" customHeight="1">
      <c r="A769" s="65"/>
      <c r="B769" s="66"/>
      <c r="C769" s="66"/>
      <c r="D769" s="66"/>
      <c r="E769" s="66"/>
      <c r="F769" s="65"/>
      <c r="G769" s="65"/>
      <c r="H769" s="66"/>
      <c r="I769" s="66"/>
      <c r="J769" s="66"/>
      <c r="K769" s="66"/>
      <c r="L769" s="66"/>
      <c r="M769" s="66"/>
      <c r="N769" s="66"/>
      <c r="O769" s="66"/>
      <c r="P769" s="66"/>
      <c r="Q769" s="23"/>
      <c r="AB769" s="23"/>
      <c r="AC769" s="23"/>
      <c r="AD769" s="23"/>
      <c r="AE769" s="7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71"/>
      <c r="AV769" s="10"/>
      <c r="AW769" s="23"/>
      <c r="BB769" s="66"/>
      <c r="BC769" s="66"/>
      <c r="BD769" s="66"/>
      <c r="BE769" s="66"/>
      <c r="BF769" s="66"/>
      <c r="BG769" s="66"/>
      <c r="BH769" s="66"/>
      <c r="BI769" s="66"/>
      <c r="BJ769" s="66"/>
      <c r="BK769" s="66"/>
      <c r="BL769" s="66"/>
      <c r="BM769" s="66"/>
      <c r="BN769" s="66"/>
      <c r="BO769" s="66"/>
      <c r="BP769" s="66"/>
      <c r="BQ769" s="66"/>
      <c r="BR769" s="66"/>
      <c r="BS769" s="66"/>
      <c r="BT769" s="66"/>
      <c r="BU769" s="66"/>
      <c r="BV769" s="66"/>
      <c r="BW769" s="66"/>
    </row>
    <row r="770" spans="1:75" ht="15.75" customHeight="1">
      <c r="A770" s="65"/>
      <c r="B770" s="66"/>
      <c r="C770" s="66"/>
      <c r="D770" s="66"/>
      <c r="E770" s="66"/>
      <c r="F770" s="65"/>
      <c r="G770" s="65"/>
      <c r="H770" s="66"/>
      <c r="I770" s="66"/>
      <c r="J770" s="66"/>
      <c r="K770" s="66"/>
      <c r="L770" s="66"/>
      <c r="M770" s="66"/>
      <c r="N770" s="66"/>
      <c r="O770" s="66"/>
      <c r="P770" s="66"/>
      <c r="Q770" s="23"/>
      <c r="AB770" s="23"/>
      <c r="AC770" s="23"/>
      <c r="AD770" s="23"/>
      <c r="AE770" s="7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71"/>
      <c r="AV770" s="10"/>
      <c r="AW770" s="23"/>
      <c r="BB770" s="66"/>
      <c r="BC770" s="66"/>
      <c r="BD770" s="66"/>
      <c r="BE770" s="66"/>
      <c r="BF770" s="66"/>
      <c r="BG770" s="66"/>
      <c r="BH770" s="66"/>
      <c r="BI770" s="66"/>
      <c r="BJ770" s="66"/>
      <c r="BK770" s="66"/>
      <c r="BL770" s="66"/>
      <c r="BM770" s="66"/>
      <c r="BN770" s="66"/>
      <c r="BO770" s="66"/>
      <c r="BP770" s="66"/>
      <c r="BQ770" s="66"/>
      <c r="BR770" s="66"/>
      <c r="BS770" s="66"/>
      <c r="BT770" s="66"/>
      <c r="BU770" s="66"/>
      <c r="BV770" s="66"/>
      <c r="BW770" s="66"/>
    </row>
    <row r="771" spans="1:75" ht="15.75" customHeight="1">
      <c r="A771" s="65"/>
      <c r="B771" s="66"/>
      <c r="C771" s="66"/>
      <c r="D771" s="66"/>
      <c r="E771" s="66"/>
      <c r="F771" s="65"/>
      <c r="G771" s="65"/>
      <c r="H771" s="66"/>
      <c r="I771" s="66"/>
      <c r="J771" s="66"/>
      <c r="K771" s="66"/>
      <c r="L771" s="66"/>
      <c r="M771" s="66"/>
      <c r="N771" s="66"/>
      <c r="O771" s="66"/>
      <c r="P771" s="66"/>
      <c r="Q771" s="23"/>
      <c r="AB771" s="23"/>
      <c r="AC771" s="23"/>
      <c r="AD771" s="23"/>
      <c r="AE771" s="7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71"/>
      <c r="AV771" s="10"/>
      <c r="AW771" s="23"/>
      <c r="BB771" s="66"/>
      <c r="BC771" s="66"/>
      <c r="BD771" s="66"/>
      <c r="BE771" s="66"/>
      <c r="BF771" s="66"/>
      <c r="BG771" s="66"/>
      <c r="BH771" s="66"/>
      <c r="BI771" s="66"/>
      <c r="BJ771" s="66"/>
      <c r="BK771" s="66"/>
      <c r="BL771" s="66"/>
      <c r="BM771" s="66"/>
      <c r="BN771" s="66"/>
      <c r="BO771" s="66"/>
      <c r="BP771" s="66"/>
      <c r="BQ771" s="66"/>
      <c r="BR771" s="66"/>
      <c r="BS771" s="66"/>
      <c r="BT771" s="66"/>
      <c r="BU771" s="66"/>
      <c r="BV771" s="66"/>
      <c r="BW771" s="66"/>
    </row>
    <row r="772" spans="1:75" ht="15.75" customHeight="1">
      <c r="A772" s="65"/>
      <c r="B772" s="66"/>
      <c r="C772" s="66"/>
      <c r="D772" s="66"/>
      <c r="E772" s="66"/>
      <c r="F772" s="65"/>
      <c r="G772" s="65"/>
      <c r="H772" s="66"/>
      <c r="I772" s="66"/>
      <c r="J772" s="66"/>
      <c r="K772" s="66"/>
      <c r="L772" s="66"/>
      <c r="M772" s="66"/>
      <c r="N772" s="66"/>
      <c r="O772" s="66"/>
      <c r="P772" s="66"/>
      <c r="Q772" s="23"/>
      <c r="AB772" s="23"/>
      <c r="AC772" s="23"/>
      <c r="AD772" s="23"/>
      <c r="AE772" s="7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71"/>
      <c r="AV772" s="10"/>
      <c r="AW772" s="23"/>
      <c r="BB772" s="66"/>
      <c r="BC772" s="66"/>
      <c r="BD772" s="66"/>
      <c r="BE772" s="66"/>
      <c r="BF772" s="66"/>
      <c r="BG772" s="66"/>
      <c r="BH772" s="66"/>
      <c r="BI772" s="66"/>
      <c r="BJ772" s="66"/>
      <c r="BK772" s="66"/>
      <c r="BL772" s="66"/>
      <c r="BM772" s="66"/>
      <c r="BN772" s="66"/>
      <c r="BO772" s="66"/>
      <c r="BP772" s="66"/>
      <c r="BQ772" s="66"/>
      <c r="BR772" s="66"/>
      <c r="BS772" s="66"/>
      <c r="BT772" s="66"/>
      <c r="BU772" s="66"/>
      <c r="BV772" s="66"/>
      <c r="BW772" s="66"/>
    </row>
    <row r="773" spans="1:75" ht="15.75" customHeight="1">
      <c r="A773" s="65"/>
      <c r="B773" s="66"/>
      <c r="C773" s="66"/>
      <c r="D773" s="66"/>
      <c r="E773" s="66"/>
      <c r="F773" s="65"/>
      <c r="G773" s="65"/>
      <c r="H773" s="66"/>
      <c r="I773" s="66"/>
      <c r="J773" s="66"/>
      <c r="K773" s="66"/>
      <c r="L773" s="66"/>
      <c r="M773" s="66"/>
      <c r="N773" s="66"/>
      <c r="O773" s="66"/>
      <c r="P773" s="66"/>
      <c r="Q773" s="23"/>
      <c r="AB773" s="23"/>
      <c r="AC773" s="23"/>
      <c r="AD773" s="23"/>
      <c r="AE773" s="7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71"/>
      <c r="AV773" s="10"/>
      <c r="AW773" s="23"/>
      <c r="BB773" s="66"/>
      <c r="BC773" s="66"/>
      <c r="BD773" s="66"/>
      <c r="BE773" s="66"/>
      <c r="BF773" s="66"/>
      <c r="BG773" s="66"/>
      <c r="BH773" s="66"/>
      <c r="BI773" s="66"/>
      <c r="BJ773" s="66"/>
      <c r="BK773" s="66"/>
      <c r="BL773" s="66"/>
      <c r="BM773" s="66"/>
      <c r="BN773" s="66"/>
      <c r="BO773" s="66"/>
      <c r="BP773" s="66"/>
      <c r="BQ773" s="66"/>
      <c r="BR773" s="66"/>
      <c r="BS773" s="66"/>
      <c r="BT773" s="66"/>
      <c r="BU773" s="66"/>
      <c r="BV773" s="66"/>
      <c r="BW773" s="66"/>
    </row>
    <row r="774" spans="1:75" ht="15.75" customHeight="1">
      <c r="A774" s="65"/>
      <c r="B774" s="66"/>
      <c r="C774" s="66"/>
      <c r="D774" s="66"/>
      <c r="E774" s="66"/>
      <c r="F774" s="65"/>
      <c r="G774" s="65"/>
      <c r="H774" s="66"/>
      <c r="I774" s="66"/>
      <c r="J774" s="66"/>
      <c r="K774" s="66"/>
      <c r="L774" s="66"/>
      <c r="M774" s="66"/>
      <c r="N774" s="66"/>
      <c r="O774" s="66"/>
      <c r="P774" s="66"/>
      <c r="Q774" s="23"/>
      <c r="AB774" s="23"/>
      <c r="AC774" s="23"/>
      <c r="AD774" s="23"/>
      <c r="AE774" s="7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71"/>
      <c r="AV774" s="10"/>
      <c r="AW774" s="23"/>
      <c r="BB774" s="66"/>
      <c r="BC774" s="66"/>
      <c r="BD774" s="66"/>
      <c r="BE774" s="66"/>
      <c r="BF774" s="66"/>
      <c r="BG774" s="66"/>
      <c r="BH774" s="66"/>
      <c r="BI774" s="66"/>
      <c r="BJ774" s="66"/>
      <c r="BK774" s="66"/>
      <c r="BL774" s="66"/>
      <c r="BM774" s="66"/>
      <c r="BN774" s="66"/>
      <c r="BO774" s="66"/>
      <c r="BP774" s="66"/>
      <c r="BQ774" s="66"/>
      <c r="BR774" s="66"/>
      <c r="BS774" s="66"/>
      <c r="BT774" s="66"/>
      <c r="BU774" s="66"/>
      <c r="BV774" s="66"/>
      <c r="BW774" s="66"/>
    </row>
    <row r="775" spans="1:75" ht="15.75" customHeight="1">
      <c r="A775" s="65"/>
      <c r="B775" s="66"/>
      <c r="C775" s="66"/>
      <c r="D775" s="66"/>
      <c r="E775" s="66"/>
      <c r="F775" s="65"/>
      <c r="G775" s="65"/>
      <c r="H775" s="66"/>
      <c r="I775" s="66"/>
      <c r="J775" s="66"/>
      <c r="K775" s="66"/>
      <c r="L775" s="66"/>
      <c r="M775" s="66"/>
      <c r="N775" s="66"/>
      <c r="O775" s="66"/>
      <c r="P775" s="66"/>
      <c r="Q775" s="23"/>
      <c r="AB775" s="23"/>
      <c r="AC775" s="23"/>
      <c r="AD775" s="23"/>
      <c r="AE775" s="7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71"/>
      <c r="AV775" s="10"/>
      <c r="AW775" s="23"/>
      <c r="BB775" s="66"/>
      <c r="BC775" s="66"/>
      <c r="BD775" s="66"/>
      <c r="BE775" s="66"/>
      <c r="BF775" s="66"/>
      <c r="BG775" s="66"/>
      <c r="BH775" s="66"/>
      <c r="BI775" s="66"/>
      <c r="BJ775" s="66"/>
      <c r="BK775" s="66"/>
      <c r="BL775" s="66"/>
      <c r="BM775" s="66"/>
      <c r="BN775" s="66"/>
      <c r="BO775" s="66"/>
      <c r="BP775" s="66"/>
      <c r="BQ775" s="66"/>
      <c r="BR775" s="66"/>
      <c r="BS775" s="66"/>
      <c r="BT775" s="66"/>
      <c r="BU775" s="66"/>
      <c r="BV775" s="66"/>
      <c r="BW775" s="66"/>
    </row>
    <row r="776" spans="1:75" ht="15.75" customHeight="1">
      <c r="A776" s="65"/>
      <c r="B776" s="66"/>
      <c r="C776" s="66"/>
      <c r="D776" s="66"/>
      <c r="E776" s="66"/>
      <c r="F776" s="65"/>
      <c r="G776" s="65"/>
      <c r="H776" s="66"/>
      <c r="I776" s="66"/>
      <c r="J776" s="66"/>
      <c r="K776" s="66"/>
      <c r="L776" s="66"/>
      <c r="M776" s="66"/>
      <c r="N776" s="66"/>
      <c r="O776" s="66"/>
      <c r="P776" s="66"/>
      <c r="Q776" s="23"/>
      <c r="AB776" s="23"/>
      <c r="AC776" s="23"/>
      <c r="AD776" s="23"/>
      <c r="AE776" s="7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71"/>
      <c r="AV776" s="10"/>
      <c r="AW776" s="23"/>
      <c r="BB776" s="66"/>
      <c r="BC776" s="66"/>
      <c r="BD776" s="66"/>
      <c r="BE776" s="66"/>
      <c r="BF776" s="66"/>
      <c r="BG776" s="66"/>
      <c r="BH776" s="66"/>
      <c r="BI776" s="66"/>
      <c r="BJ776" s="66"/>
      <c r="BK776" s="66"/>
      <c r="BL776" s="66"/>
      <c r="BM776" s="66"/>
      <c r="BN776" s="66"/>
      <c r="BO776" s="66"/>
      <c r="BP776" s="66"/>
      <c r="BQ776" s="66"/>
      <c r="BR776" s="66"/>
      <c r="BS776" s="66"/>
      <c r="BT776" s="66"/>
      <c r="BU776" s="66"/>
      <c r="BV776" s="66"/>
      <c r="BW776" s="66"/>
    </row>
    <row r="777" spans="1:75" ht="15.75" customHeight="1">
      <c r="A777" s="65"/>
      <c r="B777" s="66"/>
      <c r="C777" s="66"/>
      <c r="D777" s="66"/>
      <c r="E777" s="66"/>
      <c r="F777" s="65"/>
      <c r="G777" s="65"/>
      <c r="H777" s="66"/>
      <c r="I777" s="66"/>
      <c r="J777" s="66"/>
      <c r="K777" s="66"/>
      <c r="L777" s="66"/>
      <c r="M777" s="66"/>
      <c r="N777" s="66"/>
      <c r="O777" s="66"/>
      <c r="P777" s="66"/>
      <c r="Q777" s="23"/>
      <c r="AB777" s="23"/>
      <c r="AC777" s="23"/>
      <c r="AD777" s="23"/>
      <c r="AE777" s="7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71"/>
      <c r="AV777" s="10"/>
      <c r="AW777" s="23"/>
      <c r="BB777" s="66"/>
      <c r="BC777" s="66"/>
      <c r="BD777" s="66"/>
      <c r="BE777" s="66"/>
      <c r="BF777" s="66"/>
      <c r="BG777" s="66"/>
      <c r="BH777" s="66"/>
      <c r="BI777" s="66"/>
      <c r="BJ777" s="66"/>
      <c r="BK777" s="66"/>
      <c r="BL777" s="66"/>
      <c r="BM777" s="66"/>
      <c r="BN777" s="66"/>
      <c r="BO777" s="66"/>
      <c r="BP777" s="66"/>
      <c r="BQ777" s="66"/>
      <c r="BR777" s="66"/>
      <c r="BS777" s="66"/>
      <c r="BT777" s="66"/>
      <c r="BU777" s="66"/>
      <c r="BV777" s="66"/>
      <c r="BW777" s="66"/>
    </row>
    <row r="778" spans="1:75" ht="15.75" customHeight="1">
      <c r="A778" s="65"/>
      <c r="B778" s="66"/>
      <c r="C778" s="66"/>
      <c r="D778" s="66"/>
      <c r="E778" s="66"/>
      <c r="F778" s="65"/>
      <c r="G778" s="65"/>
      <c r="H778" s="66"/>
      <c r="I778" s="66"/>
      <c r="J778" s="66"/>
      <c r="K778" s="66"/>
      <c r="L778" s="66"/>
      <c r="M778" s="66"/>
      <c r="N778" s="66"/>
      <c r="O778" s="66"/>
      <c r="P778" s="66"/>
      <c r="Q778" s="23"/>
      <c r="AB778" s="23"/>
      <c r="AC778" s="23"/>
      <c r="AD778" s="23"/>
      <c r="AE778" s="7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71"/>
      <c r="AV778" s="10"/>
      <c r="AW778" s="23"/>
      <c r="BB778" s="66"/>
      <c r="BC778" s="66"/>
      <c r="BD778" s="66"/>
      <c r="BE778" s="66"/>
      <c r="BF778" s="66"/>
      <c r="BG778" s="66"/>
      <c r="BH778" s="66"/>
      <c r="BI778" s="66"/>
      <c r="BJ778" s="66"/>
      <c r="BK778" s="66"/>
      <c r="BL778" s="66"/>
      <c r="BM778" s="66"/>
      <c r="BN778" s="66"/>
      <c r="BO778" s="66"/>
      <c r="BP778" s="66"/>
      <c r="BQ778" s="66"/>
      <c r="BR778" s="66"/>
      <c r="BS778" s="66"/>
      <c r="BT778" s="66"/>
      <c r="BU778" s="66"/>
      <c r="BV778" s="66"/>
      <c r="BW778" s="66"/>
    </row>
    <row r="779" spans="1:75" ht="15.75" customHeight="1">
      <c r="A779" s="65"/>
      <c r="B779" s="66"/>
      <c r="C779" s="66"/>
      <c r="D779" s="66"/>
      <c r="E779" s="66"/>
      <c r="F779" s="65"/>
      <c r="G779" s="65"/>
      <c r="H779" s="66"/>
      <c r="I779" s="66"/>
      <c r="J779" s="66"/>
      <c r="K779" s="66"/>
      <c r="L779" s="66"/>
      <c r="M779" s="66"/>
      <c r="N779" s="66"/>
      <c r="O779" s="66"/>
      <c r="P779" s="66"/>
      <c r="Q779" s="23"/>
      <c r="AB779" s="23"/>
      <c r="AC779" s="23"/>
      <c r="AD779" s="23"/>
      <c r="AE779" s="7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71"/>
      <c r="AV779" s="10"/>
      <c r="AW779" s="23"/>
      <c r="BB779" s="66"/>
      <c r="BC779" s="66"/>
      <c r="BD779" s="66"/>
      <c r="BE779" s="66"/>
      <c r="BF779" s="66"/>
      <c r="BG779" s="66"/>
      <c r="BH779" s="66"/>
      <c r="BI779" s="66"/>
      <c r="BJ779" s="66"/>
      <c r="BK779" s="66"/>
      <c r="BL779" s="66"/>
      <c r="BM779" s="66"/>
      <c r="BN779" s="66"/>
      <c r="BO779" s="66"/>
      <c r="BP779" s="66"/>
      <c r="BQ779" s="66"/>
      <c r="BR779" s="66"/>
      <c r="BS779" s="66"/>
      <c r="BT779" s="66"/>
      <c r="BU779" s="66"/>
      <c r="BV779" s="66"/>
      <c r="BW779" s="66"/>
    </row>
    <row r="780" spans="1:75" ht="15.75" customHeight="1">
      <c r="A780" s="65"/>
      <c r="B780" s="66"/>
      <c r="C780" s="66"/>
      <c r="D780" s="66"/>
      <c r="E780" s="66"/>
      <c r="F780" s="65"/>
      <c r="G780" s="65"/>
      <c r="H780" s="66"/>
      <c r="I780" s="66"/>
      <c r="J780" s="66"/>
      <c r="K780" s="66"/>
      <c r="L780" s="66"/>
      <c r="M780" s="66"/>
      <c r="N780" s="66"/>
      <c r="O780" s="66"/>
      <c r="P780" s="66"/>
      <c r="Q780" s="23"/>
      <c r="AB780" s="23"/>
      <c r="AC780" s="23"/>
      <c r="AD780" s="23"/>
      <c r="AE780" s="7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71"/>
      <c r="AV780" s="10"/>
      <c r="AW780" s="23"/>
      <c r="BB780" s="66"/>
      <c r="BC780" s="66"/>
      <c r="BD780" s="66"/>
      <c r="BE780" s="66"/>
      <c r="BF780" s="66"/>
      <c r="BG780" s="66"/>
      <c r="BH780" s="66"/>
      <c r="BI780" s="66"/>
      <c r="BJ780" s="66"/>
      <c r="BK780" s="66"/>
      <c r="BL780" s="66"/>
      <c r="BM780" s="66"/>
      <c r="BN780" s="66"/>
      <c r="BO780" s="66"/>
      <c r="BP780" s="66"/>
      <c r="BQ780" s="66"/>
      <c r="BR780" s="66"/>
      <c r="BS780" s="66"/>
      <c r="BT780" s="66"/>
      <c r="BU780" s="66"/>
      <c r="BV780" s="66"/>
      <c r="BW780" s="66"/>
    </row>
    <row r="781" spans="1:75" ht="15.75" customHeight="1">
      <c r="A781" s="65"/>
      <c r="B781" s="66"/>
      <c r="C781" s="66"/>
      <c r="D781" s="66"/>
      <c r="E781" s="66"/>
      <c r="F781" s="65"/>
      <c r="G781" s="65"/>
      <c r="H781" s="66"/>
      <c r="I781" s="66"/>
      <c r="J781" s="66"/>
      <c r="K781" s="66"/>
      <c r="L781" s="66"/>
      <c r="M781" s="66"/>
      <c r="N781" s="66"/>
      <c r="O781" s="66"/>
      <c r="P781" s="66"/>
      <c r="Q781" s="23"/>
      <c r="AB781" s="23"/>
      <c r="AC781" s="23"/>
      <c r="AD781" s="23"/>
      <c r="AE781" s="7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71"/>
      <c r="AV781" s="10"/>
      <c r="AW781" s="23"/>
      <c r="BB781" s="66"/>
      <c r="BC781" s="66"/>
      <c r="BD781" s="66"/>
      <c r="BE781" s="66"/>
      <c r="BF781" s="66"/>
      <c r="BG781" s="66"/>
      <c r="BH781" s="66"/>
      <c r="BI781" s="66"/>
      <c r="BJ781" s="66"/>
      <c r="BK781" s="66"/>
      <c r="BL781" s="66"/>
      <c r="BM781" s="66"/>
      <c r="BN781" s="66"/>
      <c r="BO781" s="66"/>
      <c r="BP781" s="66"/>
      <c r="BQ781" s="66"/>
      <c r="BR781" s="66"/>
      <c r="BS781" s="66"/>
      <c r="BT781" s="66"/>
      <c r="BU781" s="66"/>
      <c r="BV781" s="66"/>
      <c r="BW781" s="66"/>
    </row>
    <row r="782" spans="1:75" ht="15.75" customHeight="1">
      <c r="A782" s="65"/>
      <c r="B782" s="66"/>
      <c r="C782" s="66"/>
      <c r="D782" s="66"/>
      <c r="E782" s="66"/>
      <c r="F782" s="65"/>
      <c r="G782" s="65"/>
      <c r="H782" s="66"/>
      <c r="I782" s="66"/>
      <c r="J782" s="66"/>
      <c r="K782" s="66"/>
      <c r="L782" s="66"/>
      <c r="M782" s="66"/>
      <c r="N782" s="66"/>
      <c r="O782" s="66"/>
      <c r="P782" s="66"/>
      <c r="Q782" s="23"/>
      <c r="AB782" s="23"/>
      <c r="AC782" s="23"/>
      <c r="AD782" s="23"/>
      <c r="AE782" s="7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71"/>
      <c r="AV782" s="10"/>
      <c r="AW782" s="23"/>
      <c r="BB782" s="66"/>
      <c r="BC782" s="66"/>
      <c r="BD782" s="66"/>
      <c r="BE782" s="66"/>
      <c r="BF782" s="66"/>
      <c r="BG782" s="66"/>
      <c r="BH782" s="66"/>
      <c r="BI782" s="66"/>
      <c r="BJ782" s="66"/>
      <c r="BK782" s="66"/>
      <c r="BL782" s="66"/>
      <c r="BM782" s="66"/>
      <c r="BN782" s="66"/>
      <c r="BO782" s="66"/>
      <c r="BP782" s="66"/>
      <c r="BQ782" s="66"/>
      <c r="BR782" s="66"/>
      <c r="BS782" s="66"/>
      <c r="BT782" s="66"/>
      <c r="BU782" s="66"/>
      <c r="BV782" s="66"/>
      <c r="BW782" s="66"/>
    </row>
    <row r="783" spans="1:75" ht="15.75" customHeight="1">
      <c r="A783" s="65"/>
      <c r="B783" s="66"/>
      <c r="C783" s="66"/>
      <c r="D783" s="66"/>
      <c r="E783" s="66"/>
      <c r="F783" s="65"/>
      <c r="G783" s="65"/>
      <c r="H783" s="66"/>
      <c r="I783" s="66"/>
      <c r="J783" s="66"/>
      <c r="K783" s="66"/>
      <c r="L783" s="66"/>
      <c r="M783" s="66"/>
      <c r="N783" s="66"/>
      <c r="O783" s="66"/>
      <c r="P783" s="66"/>
      <c r="Q783" s="23"/>
      <c r="AB783" s="23"/>
      <c r="AC783" s="23"/>
      <c r="AD783" s="23"/>
      <c r="AE783" s="7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71"/>
      <c r="AV783" s="10"/>
      <c r="AW783" s="23"/>
      <c r="BB783" s="66"/>
      <c r="BC783" s="66"/>
      <c r="BD783" s="66"/>
      <c r="BE783" s="66"/>
      <c r="BF783" s="66"/>
      <c r="BG783" s="66"/>
      <c r="BH783" s="66"/>
      <c r="BI783" s="66"/>
      <c r="BJ783" s="66"/>
      <c r="BK783" s="66"/>
      <c r="BL783" s="66"/>
      <c r="BM783" s="66"/>
      <c r="BN783" s="66"/>
      <c r="BO783" s="66"/>
      <c r="BP783" s="66"/>
      <c r="BQ783" s="66"/>
      <c r="BR783" s="66"/>
      <c r="BS783" s="66"/>
      <c r="BT783" s="66"/>
      <c r="BU783" s="66"/>
      <c r="BV783" s="66"/>
      <c r="BW783" s="66"/>
    </row>
    <row r="784" spans="1:75" ht="15.75" customHeight="1">
      <c r="A784" s="65"/>
      <c r="B784" s="66"/>
      <c r="C784" s="66"/>
      <c r="D784" s="66"/>
      <c r="E784" s="66"/>
      <c r="F784" s="65"/>
      <c r="G784" s="65"/>
      <c r="H784" s="66"/>
      <c r="I784" s="66"/>
      <c r="J784" s="66"/>
      <c r="K784" s="66"/>
      <c r="L784" s="66"/>
      <c r="M784" s="66"/>
      <c r="N784" s="66"/>
      <c r="O784" s="66"/>
      <c r="P784" s="66"/>
      <c r="Q784" s="23"/>
      <c r="AB784" s="23"/>
      <c r="AC784" s="23"/>
      <c r="AD784" s="23"/>
      <c r="AE784" s="7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71"/>
      <c r="AV784" s="10"/>
      <c r="AW784" s="23"/>
      <c r="BB784" s="66"/>
      <c r="BC784" s="66"/>
      <c r="BD784" s="66"/>
      <c r="BE784" s="66"/>
      <c r="BF784" s="66"/>
      <c r="BG784" s="66"/>
      <c r="BH784" s="66"/>
      <c r="BI784" s="66"/>
      <c r="BJ784" s="66"/>
      <c r="BK784" s="66"/>
      <c r="BL784" s="66"/>
      <c r="BM784" s="66"/>
      <c r="BN784" s="66"/>
      <c r="BO784" s="66"/>
      <c r="BP784" s="66"/>
      <c r="BQ784" s="66"/>
      <c r="BR784" s="66"/>
      <c r="BS784" s="66"/>
      <c r="BT784" s="66"/>
      <c r="BU784" s="66"/>
      <c r="BV784" s="66"/>
      <c r="BW784" s="66"/>
    </row>
    <row r="785" spans="1:75" ht="15.75" customHeight="1">
      <c r="A785" s="65"/>
      <c r="B785" s="66"/>
      <c r="C785" s="66"/>
      <c r="D785" s="66"/>
      <c r="E785" s="66"/>
      <c r="F785" s="65"/>
      <c r="G785" s="65"/>
      <c r="H785" s="66"/>
      <c r="I785" s="66"/>
      <c r="J785" s="66"/>
      <c r="K785" s="66"/>
      <c r="L785" s="66"/>
      <c r="M785" s="66"/>
      <c r="N785" s="66"/>
      <c r="O785" s="66"/>
      <c r="P785" s="66"/>
      <c r="Q785" s="23"/>
      <c r="AB785" s="23"/>
      <c r="AC785" s="23"/>
      <c r="AD785" s="23"/>
      <c r="AE785" s="7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71"/>
      <c r="AV785" s="10"/>
      <c r="AW785" s="23"/>
      <c r="BB785" s="66"/>
      <c r="BC785" s="66"/>
      <c r="BD785" s="66"/>
      <c r="BE785" s="66"/>
      <c r="BF785" s="66"/>
      <c r="BG785" s="66"/>
      <c r="BH785" s="66"/>
      <c r="BI785" s="66"/>
      <c r="BJ785" s="66"/>
      <c r="BK785" s="66"/>
      <c r="BL785" s="66"/>
      <c r="BM785" s="66"/>
      <c r="BN785" s="66"/>
      <c r="BO785" s="66"/>
      <c r="BP785" s="66"/>
      <c r="BQ785" s="66"/>
      <c r="BR785" s="66"/>
      <c r="BS785" s="66"/>
      <c r="BT785" s="66"/>
      <c r="BU785" s="66"/>
      <c r="BV785" s="66"/>
      <c r="BW785" s="66"/>
    </row>
    <row r="786" spans="1:75" ht="15.75" customHeight="1">
      <c r="A786" s="65"/>
      <c r="B786" s="66"/>
      <c r="C786" s="66"/>
      <c r="D786" s="66"/>
      <c r="E786" s="66"/>
      <c r="F786" s="65"/>
      <c r="G786" s="65"/>
      <c r="H786" s="66"/>
      <c r="I786" s="66"/>
      <c r="J786" s="66"/>
      <c r="K786" s="66"/>
      <c r="L786" s="66"/>
      <c r="M786" s="66"/>
      <c r="N786" s="66"/>
      <c r="O786" s="66"/>
      <c r="P786" s="66"/>
      <c r="Q786" s="23"/>
      <c r="AB786" s="23"/>
      <c r="AC786" s="23"/>
      <c r="AD786" s="23"/>
      <c r="AE786" s="7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71"/>
      <c r="AV786" s="10"/>
      <c r="AW786" s="23"/>
      <c r="BB786" s="66"/>
      <c r="BC786" s="66"/>
      <c r="BD786" s="66"/>
      <c r="BE786" s="66"/>
      <c r="BF786" s="66"/>
      <c r="BG786" s="66"/>
      <c r="BH786" s="66"/>
      <c r="BI786" s="66"/>
      <c r="BJ786" s="66"/>
      <c r="BK786" s="66"/>
      <c r="BL786" s="66"/>
      <c r="BM786" s="66"/>
      <c r="BN786" s="66"/>
      <c r="BO786" s="66"/>
      <c r="BP786" s="66"/>
      <c r="BQ786" s="66"/>
      <c r="BR786" s="66"/>
      <c r="BS786" s="66"/>
      <c r="BT786" s="66"/>
      <c r="BU786" s="66"/>
      <c r="BV786" s="66"/>
      <c r="BW786" s="66"/>
    </row>
    <row r="787" spans="1:75" ht="15.75" customHeight="1">
      <c r="A787" s="65"/>
      <c r="B787" s="66"/>
      <c r="C787" s="66"/>
      <c r="D787" s="66"/>
      <c r="E787" s="66"/>
      <c r="F787" s="65"/>
      <c r="G787" s="65"/>
      <c r="H787" s="66"/>
      <c r="I787" s="66"/>
      <c r="J787" s="66"/>
      <c r="K787" s="66"/>
      <c r="L787" s="66"/>
      <c r="M787" s="66"/>
      <c r="N787" s="66"/>
      <c r="O787" s="66"/>
      <c r="P787" s="66"/>
      <c r="Q787" s="23"/>
      <c r="AB787" s="23"/>
      <c r="AC787" s="23"/>
      <c r="AD787" s="23"/>
      <c r="AE787" s="7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71"/>
      <c r="AV787" s="10"/>
      <c r="AW787" s="23"/>
      <c r="BB787" s="66"/>
      <c r="BC787" s="66"/>
      <c r="BD787" s="66"/>
      <c r="BE787" s="66"/>
      <c r="BF787" s="66"/>
      <c r="BG787" s="66"/>
      <c r="BH787" s="66"/>
      <c r="BI787" s="66"/>
      <c r="BJ787" s="66"/>
      <c r="BK787" s="66"/>
      <c r="BL787" s="66"/>
      <c r="BM787" s="66"/>
      <c r="BN787" s="66"/>
      <c r="BO787" s="66"/>
      <c r="BP787" s="66"/>
      <c r="BQ787" s="66"/>
      <c r="BR787" s="66"/>
      <c r="BS787" s="66"/>
      <c r="BT787" s="66"/>
      <c r="BU787" s="66"/>
      <c r="BV787" s="66"/>
      <c r="BW787" s="66"/>
    </row>
    <row r="788" spans="1:75" ht="15.75" customHeight="1">
      <c r="A788" s="65"/>
      <c r="B788" s="66"/>
      <c r="C788" s="66"/>
      <c r="D788" s="66"/>
      <c r="E788" s="66"/>
      <c r="F788" s="65"/>
      <c r="G788" s="65"/>
      <c r="H788" s="66"/>
      <c r="I788" s="66"/>
      <c r="J788" s="66"/>
      <c r="K788" s="66"/>
      <c r="L788" s="66"/>
      <c r="M788" s="66"/>
      <c r="N788" s="66"/>
      <c r="O788" s="66"/>
      <c r="P788" s="66"/>
      <c r="Q788" s="23"/>
      <c r="AB788" s="23"/>
      <c r="AC788" s="23"/>
      <c r="AD788" s="23"/>
      <c r="AE788" s="7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71"/>
      <c r="AV788" s="10"/>
      <c r="AW788" s="23"/>
      <c r="BB788" s="66"/>
      <c r="BC788" s="66"/>
      <c r="BD788" s="66"/>
      <c r="BE788" s="66"/>
      <c r="BF788" s="66"/>
      <c r="BG788" s="66"/>
      <c r="BH788" s="66"/>
      <c r="BI788" s="66"/>
      <c r="BJ788" s="66"/>
      <c r="BK788" s="66"/>
      <c r="BL788" s="66"/>
      <c r="BM788" s="66"/>
      <c r="BN788" s="66"/>
      <c r="BO788" s="66"/>
      <c r="BP788" s="66"/>
      <c r="BQ788" s="66"/>
      <c r="BR788" s="66"/>
      <c r="BS788" s="66"/>
      <c r="BT788" s="66"/>
      <c r="BU788" s="66"/>
      <c r="BV788" s="66"/>
      <c r="BW788" s="66"/>
    </row>
    <row r="789" spans="1:75" ht="15.75" customHeight="1">
      <c r="A789" s="65"/>
      <c r="B789" s="66"/>
      <c r="C789" s="66"/>
      <c r="D789" s="66"/>
      <c r="E789" s="66"/>
      <c r="F789" s="65"/>
      <c r="G789" s="65"/>
      <c r="H789" s="66"/>
      <c r="I789" s="66"/>
      <c r="J789" s="66"/>
      <c r="K789" s="66"/>
      <c r="L789" s="66"/>
      <c r="M789" s="66"/>
      <c r="N789" s="66"/>
      <c r="O789" s="66"/>
      <c r="P789" s="66"/>
      <c r="Q789" s="23"/>
      <c r="AB789" s="23"/>
      <c r="AC789" s="23"/>
      <c r="AD789" s="23"/>
      <c r="AE789" s="7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71"/>
      <c r="AV789" s="10"/>
      <c r="AW789" s="23"/>
      <c r="BB789" s="66"/>
      <c r="BC789" s="66"/>
      <c r="BD789" s="66"/>
      <c r="BE789" s="66"/>
      <c r="BF789" s="66"/>
      <c r="BG789" s="66"/>
      <c r="BH789" s="66"/>
      <c r="BI789" s="66"/>
      <c r="BJ789" s="66"/>
      <c r="BK789" s="66"/>
      <c r="BL789" s="66"/>
      <c r="BM789" s="66"/>
      <c r="BN789" s="66"/>
      <c r="BO789" s="66"/>
      <c r="BP789" s="66"/>
      <c r="BQ789" s="66"/>
      <c r="BR789" s="66"/>
      <c r="BS789" s="66"/>
      <c r="BT789" s="66"/>
      <c r="BU789" s="66"/>
      <c r="BV789" s="66"/>
      <c r="BW789" s="66"/>
    </row>
    <row r="790" spans="1:75" ht="15.75" customHeight="1">
      <c r="A790" s="65"/>
      <c r="B790" s="66"/>
      <c r="C790" s="66"/>
      <c r="D790" s="66"/>
      <c r="E790" s="66"/>
      <c r="F790" s="65"/>
      <c r="G790" s="65"/>
      <c r="H790" s="66"/>
      <c r="I790" s="66"/>
      <c r="J790" s="66"/>
      <c r="K790" s="66"/>
      <c r="L790" s="66"/>
      <c r="M790" s="66"/>
      <c r="N790" s="66"/>
      <c r="O790" s="66"/>
      <c r="P790" s="66"/>
      <c r="Q790" s="23"/>
      <c r="AB790" s="23"/>
      <c r="AC790" s="23"/>
      <c r="AD790" s="23"/>
      <c r="AE790" s="7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71"/>
      <c r="AV790" s="10"/>
      <c r="AW790" s="23"/>
      <c r="BB790" s="66"/>
      <c r="BC790" s="66"/>
      <c r="BD790" s="66"/>
      <c r="BE790" s="66"/>
      <c r="BF790" s="66"/>
      <c r="BG790" s="66"/>
      <c r="BH790" s="66"/>
      <c r="BI790" s="66"/>
      <c r="BJ790" s="66"/>
      <c r="BK790" s="66"/>
      <c r="BL790" s="66"/>
      <c r="BM790" s="66"/>
      <c r="BN790" s="66"/>
      <c r="BO790" s="66"/>
      <c r="BP790" s="66"/>
      <c r="BQ790" s="66"/>
      <c r="BR790" s="66"/>
      <c r="BS790" s="66"/>
      <c r="BT790" s="66"/>
      <c r="BU790" s="66"/>
      <c r="BV790" s="66"/>
      <c r="BW790" s="66"/>
    </row>
    <row r="791" spans="1:75" ht="15.75" customHeight="1">
      <c r="A791" s="65"/>
      <c r="B791" s="66"/>
      <c r="C791" s="66"/>
      <c r="D791" s="66"/>
      <c r="E791" s="66"/>
      <c r="F791" s="65"/>
      <c r="G791" s="65"/>
      <c r="H791" s="66"/>
      <c r="I791" s="66"/>
      <c r="J791" s="66"/>
      <c r="K791" s="66"/>
      <c r="L791" s="66"/>
      <c r="M791" s="66"/>
      <c r="N791" s="66"/>
      <c r="O791" s="66"/>
      <c r="P791" s="66"/>
      <c r="Q791" s="23"/>
      <c r="AB791" s="23"/>
      <c r="AC791" s="23"/>
      <c r="AD791" s="23"/>
      <c r="AE791" s="7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71"/>
      <c r="AV791" s="10"/>
      <c r="AW791" s="23"/>
      <c r="BB791" s="66"/>
      <c r="BC791" s="66"/>
      <c r="BD791" s="66"/>
      <c r="BE791" s="66"/>
      <c r="BF791" s="66"/>
      <c r="BG791" s="66"/>
      <c r="BH791" s="66"/>
      <c r="BI791" s="66"/>
      <c r="BJ791" s="66"/>
      <c r="BK791" s="66"/>
      <c r="BL791" s="66"/>
      <c r="BM791" s="66"/>
      <c r="BN791" s="66"/>
      <c r="BO791" s="66"/>
      <c r="BP791" s="66"/>
      <c r="BQ791" s="66"/>
      <c r="BR791" s="66"/>
      <c r="BS791" s="66"/>
      <c r="BT791" s="66"/>
      <c r="BU791" s="66"/>
      <c r="BV791" s="66"/>
      <c r="BW791" s="66"/>
    </row>
    <row r="792" spans="1:75" ht="15.75" customHeight="1">
      <c r="A792" s="65"/>
      <c r="B792" s="66"/>
      <c r="C792" s="66"/>
      <c r="D792" s="66"/>
      <c r="E792" s="66"/>
      <c r="F792" s="65"/>
      <c r="G792" s="65"/>
      <c r="H792" s="66"/>
      <c r="I792" s="66"/>
      <c r="J792" s="66"/>
      <c r="K792" s="66"/>
      <c r="L792" s="66"/>
      <c r="M792" s="66"/>
      <c r="N792" s="66"/>
      <c r="O792" s="66"/>
      <c r="P792" s="66"/>
      <c r="Q792" s="23"/>
      <c r="AB792" s="23"/>
      <c r="AC792" s="23"/>
      <c r="AD792" s="23"/>
      <c r="AE792" s="7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71"/>
      <c r="AV792" s="10"/>
      <c r="AW792" s="23"/>
      <c r="BB792" s="66"/>
      <c r="BC792" s="66"/>
      <c r="BD792" s="66"/>
      <c r="BE792" s="66"/>
      <c r="BF792" s="66"/>
      <c r="BG792" s="66"/>
      <c r="BH792" s="66"/>
      <c r="BI792" s="66"/>
      <c r="BJ792" s="66"/>
      <c r="BK792" s="66"/>
      <c r="BL792" s="66"/>
      <c r="BM792" s="66"/>
      <c r="BN792" s="66"/>
      <c r="BO792" s="66"/>
      <c r="BP792" s="66"/>
      <c r="BQ792" s="66"/>
      <c r="BR792" s="66"/>
      <c r="BS792" s="66"/>
      <c r="BT792" s="66"/>
      <c r="BU792" s="66"/>
      <c r="BV792" s="66"/>
      <c r="BW792" s="66"/>
    </row>
    <row r="793" spans="1:75" ht="15.75" customHeight="1">
      <c r="A793" s="65"/>
      <c r="B793" s="66"/>
      <c r="C793" s="66"/>
      <c r="D793" s="66"/>
      <c r="E793" s="66"/>
      <c r="F793" s="65"/>
      <c r="G793" s="65"/>
      <c r="H793" s="66"/>
      <c r="I793" s="66"/>
      <c r="J793" s="66"/>
      <c r="K793" s="66"/>
      <c r="L793" s="66"/>
      <c r="M793" s="66"/>
      <c r="N793" s="66"/>
      <c r="O793" s="66"/>
      <c r="P793" s="66"/>
      <c r="Q793" s="23"/>
      <c r="AB793" s="23"/>
      <c r="AC793" s="23"/>
      <c r="AD793" s="23"/>
      <c r="AE793" s="7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71"/>
      <c r="AV793" s="10"/>
      <c r="AW793" s="23"/>
      <c r="BB793" s="66"/>
      <c r="BC793" s="66"/>
      <c r="BD793" s="66"/>
      <c r="BE793" s="66"/>
      <c r="BF793" s="66"/>
      <c r="BG793" s="66"/>
      <c r="BH793" s="66"/>
      <c r="BI793" s="66"/>
      <c r="BJ793" s="66"/>
      <c r="BK793" s="66"/>
      <c r="BL793" s="66"/>
      <c r="BM793" s="66"/>
      <c r="BN793" s="66"/>
      <c r="BO793" s="66"/>
      <c r="BP793" s="66"/>
      <c r="BQ793" s="66"/>
      <c r="BR793" s="66"/>
      <c r="BS793" s="66"/>
      <c r="BT793" s="66"/>
      <c r="BU793" s="66"/>
      <c r="BV793" s="66"/>
      <c r="BW793" s="66"/>
    </row>
    <row r="794" spans="1:75" ht="15.75" customHeight="1">
      <c r="A794" s="65"/>
      <c r="B794" s="66"/>
      <c r="C794" s="66"/>
      <c r="D794" s="66"/>
      <c r="E794" s="66"/>
      <c r="F794" s="65"/>
      <c r="G794" s="65"/>
      <c r="H794" s="66"/>
      <c r="I794" s="66"/>
      <c r="J794" s="66"/>
      <c r="K794" s="66"/>
      <c r="L794" s="66"/>
      <c r="M794" s="66"/>
      <c r="N794" s="66"/>
      <c r="O794" s="66"/>
      <c r="P794" s="66"/>
      <c r="Q794" s="23"/>
      <c r="AB794" s="23"/>
      <c r="AC794" s="23"/>
      <c r="AD794" s="23"/>
      <c r="AE794" s="7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71"/>
      <c r="AV794" s="10"/>
      <c r="AW794" s="23"/>
      <c r="BB794" s="66"/>
      <c r="BC794" s="66"/>
      <c r="BD794" s="66"/>
      <c r="BE794" s="66"/>
      <c r="BF794" s="66"/>
      <c r="BG794" s="66"/>
      <c r="BH794" s="66"/>
      <c r="BI794" s="66"/>
      <c r="BJ794" s="66"/>
      <c r="BK794" s="66"/>
      <c r="BL794" s="66"/>
      <c r="BM794" s="66"/>
      <c r="BN794" s="66"/>
      <c r="BO794" s="66"/>
      <c r="BP794" s="66"/>
      <c r="BQ794" s="66"/>
      <c r="BR794" s="66"/>
      <c r="BS794" s="66"/>
      <c r="BT794" s="66"/>
      <c r="BU794" s="66"/>
      <c r="BV794" s="66"/>
      <c r="BW794" s="66"/>
    </row>
    <row r="795" spans="1:75" ht="15.75" customHeight="1">
      <c r="A795" s="65"/>
      <c r="B795" s="66"/>
      <c r="C795" s="66"/>
      <c r="D795" s="66"/>
      <c r="E795" s="66"/>
      <c r="F795" s="65"/>
      <c r="G795" s="65"/>
      <c r="H795" s="66"/>
      <c r="I795" s="66"/>
      <c r="J795" s="66"/>
      <c r="K795" s="66"/>
      <c r="L795" s="66"/>
      <c r="M795" s="66"/>
      <c r="N795" s="66"/>
      <c r="O795" s="66"/>
      <c r="P795" s="66"/>
      <c r="Q795" s="23"/>
      <c r="AB795" s="23"/>
      <c r="AC795" s="23"/>
      <c r="AD795" s="23"/>
      <c r="AE795" s="7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71"/>
      <c r="AV795" s="10"/>
      <c r="AW795" s="23"/>
      <c r="BB795" s="66"/>
      <c r="BC795" s="66"/>
      <c r="BD795" s="66"/>
      <c r="BE795" s="66"/>
      <c r="BF795" s="66"/>
      <c r="BG795" s="66"/>
      <c r="BH795" s="66"/>
      <c r="BI795" s="66"/>
      <c r="BJ795" s="66"/>
      <c r="BK795" s="66"/>
      <c r="BL795" s="66"/>
      <c r="BM795" s="66"/>
      <c r="BN795" s="66"/>
      <c r="BO795" s="66"/>
      <c r="BP795" s="66"/>
      <c r="BQ795" s="66"/>
      <c r="BR795" s="66"/>
      <c r="BS795" s="66"/>
      <c r="BT795" s="66"/>
      <c r="BU795" s="66"/>
      <c r="BV795" s="66"/>
      <c r="BW795" s="66"/>
    </row>
    <row r="796" spans="1:75" ht="15.75" customHeight="1">
      <c r="A796" s="65"/>
      <c r="B796" s="66"/>
      <c r="C796" s="66"/>
      <c r="D796" s="66"/>
      <c r="E796" s="66"/>
      <c r="F796" s="65"/>
      <c r="G796" s="65"/>
      <c r="H796" s="66"/>
      <c r="I796" s="66"/>
      <c r="J796" s="66"/>
      <c r="K796" s="66"/>
      <c r="L796" s="66"/>
      <c r="M796" s="66"/>
      <c r="N796" s="66"/>
      <c r="O796" s="66"/>
      <c r="P796" s="66"/>
      <c r="Q796" s="23"/>
      <c r="AB796" s="23"/>
      <c r="AC796" s="23"/>
      <c r="AD796" s="23"/>
      <c r="AE796" s="7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71"/>
      <c r="AV796" s="10"/>
      <c r="AW796" s="23"/>
      <c r="BB796" s="66"/>
      <c r="BC796" s="66"/>
      <c r="BD796" s="66"/>
      <c r="BE796" s="66"/>
      <c r="BF796" s="66"/>
      <c r="BG796" s="66"/>
      <c r="BH796" s="66"/>
      <c r="BI796" s="66"/>
      <c r="BJ796" s="66"/>
      <c r="BK796" s="66"/>
      <c r="BL796" s="66"/>
      <c r="BM796" s="66"/>
      <c r="BN796" s="66"/>
      <c r="BO796" s="66"/>
      <c r="BP796" s="66"/>
      <c r="BQ796" s="66"/>
      <c r="BR796" s="66"/>
      <c r="BS796" s="66"/>
      <c r="BT796" s="66"/>
      <c r="BU796" s="66"/>
      <c r="BV796" s="66"/>
      <c r="BW796" s="66"/>
    </row>
    <row r="797" spans="1:75" ht="15.75" customHeight="1">
      <c r="A797" s="65"/>
      <c r="B797" s="66"/>
      <c r="C797" s="66"/>
      <c r="D797" s="66"/>
      <c r="E797" s="66"/>
      <c r="F797" s="65"/>
      <c r="G797" s="65"/>
      <c r="H797" s="66"/>
      <c r="I797" s="66"/>
      <c r="J797" s="66"/>
      <c r="K797" s="66"/>
      <c r="L797" s="66"/>
      <c r="M797" s="66"/>
      <c r="N797" s="66"/>
      <c r="O797" s="66"/>
      <c r="P797" s="66"/>
      <c r="Q797" s="23"/>
      <c r="AB797" s="23"/>
      <c r="AC797" s="23"/>
      <c r="AD797" s="23"/>
      <c r="AE797" s="7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71"/>
      <c r="AV797" s="10"/>
      <c r="AW797" s="23"/>
      <c r="BB797" s="66"/>
      <c r="BC797" s="66"/>
      <c r="BD797" s="66"/>
      <c r="BE797" s="66"/>
      <c r="BF797" s="66"/>
      <c r="BG797" s="66"/>
      <c r="BH797" s="66"/>
      <c r="BI797" s="66"/>
      <c r="BJ797" s="66"/>
      <c r="BK797" s="66"/>
      <c r="BL797" s="66"/>
      <c r="BM797" s="66"/>
      <c r="BN797" s="66"/>
      <c r="BO797" s="66"/>
      <c r="BP797" s="66"/>
      <c r="BQ797" s="66"/>
      <c r="BR797" s="66"/>
      <c r="BS797" s="66"/>
      <c r="BT797" s="66"/>
      <c r="BU797" s="66"/>
      <c r="BV797" s="66"/>
      <c r="BW797" s="66"/>
    </row>
    <row r="798" spans="1:75" ht="15.75" customHeight="1">
      <c r="A798" s="65"/>
      <c r="B798" s="66"/>
      <c r="C798" s="66"/>
      <c r="D798" s="66"/>
      <c r="E798" s="66"/>
      <c r="F798" s="65"/>
      <c r="G798" s="65"/>
      <c r="H798" s="66"/>
      <c r="I798" s="66"/>
      <c r="J798" s="66"/>
      <c r="K798" s="66"/>
      <c r="L798" s="66"/>
      <c r="M798" s="66"/>
      <c r="N798" s="66"/>
      <c r="O798" s="66"/>
      <c r="P798" s="66"/>
      <c r="Q798" s="23"/>
      <c r="AB798" s="23"/>
      <c r="AC798" s="23"/>
      <c r="AD798" s="23"/>
      <c r="AE798" s="7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71"/>
      <c r="AV798" s="10"/>
      <c r="AW798" s="23"/>
      <c r="BB798" s="66"/>
      <c r="BC798" s="66"/>
      <c r="BD798" s="66"/>
      <c r="BE798" s="66"/>
      <c r="BF798" s="66"/>
      <c r="BG798" s="66"/>
      <c r="BH798" s="66"/>
      <c r="BI798" s="66"/>
      <c r="BJ798" s="66"/>
      <c r="BK798" s="66"/>
      <c r="BL798" s="66"/>
      <c r="BM798" s="66"/>
      <c r="BN798" s="66"/>
      <c r="BO798" s="66"/>
      <c r="BP798" s="66"/>
      <c r="BQ798" s="66"/>
      <c r="BR798" s="66"/>
      <c r="BS798" s="66"/>
      <c r="BT798" s="66"/>
      <c r="BU798" s="66"/>
      <c r="BV798" s="66"/>
      <c r="BW798" s="66"/>
    </row>
    <row r="799" spans="1:75" ht="15.75" customHeight="1">
      <c r="A799" s="65"/>
      <c r="B799" s="66"/>
      <c r="C799" s="66"/>
      <c r="D799" s="66"/>
      <c r="E799" s="66"/>
      <c r="F799" s="65"/>
      <c r="G799" s="65"/>
      <c r="H799" s="66"/>
      <c r="I799" s="66"/>
      <c r="J799" s="66"/>
      <c r="K799" s="66"/>
      <c r="L799" s="66"/>
      <c r="M799" s="66"/>
      <c r="N799" s="66"/>
      <c r="O799" s="66"/>
      <c r="P799" s="66"/>
      <c r="Q799" s="23"/>
      <c r="AB799" s="23"/>
      <c r="AC799" s="23"/>
      <c r="AD799" s="23"/>
      <c r="AE799" s="7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71"/>
      <c r="AV799" s="10"/>
      <c r="AW799" s="23"/>
      <c r="BB799" s="66"/>
      <c r="BC799" s="66"/>
      <c r="BD799" s="66"/>
      <c r="BE799" s="66"/>
      <c r="BF799" s="66"/>
      <c r="BG799" s="66"/>
      <c r="BH799" s="66"/>
      <c r="BI799" s="66"/>
      <c r="BJ799" s="66"/>
      <c r="BK799" s="66"/>
      <c r="BL799" s="66"/>
      <c r="BM799" s="66"/>
      <c r="BN799" s="66"/>
      <c r="BO799" s="66"/>
      <c r="BP799" s="66"/>
      <c r="BQ799" s="66"/>
      <c r="BR799" s="66"/>
      <c r="BS799" s="66"/>
      <c r="BT799" s="66"/>
      <c r="BU799" s="66"/>
      <c r="BV799" s="66"/>
      <c r="BW799" s="66"/>
    </row>
    <row r="800" spans="1:75" ht="15.75" customHeight="1">
      <c r="A800" s="65"/>
      <c r="B800" s="66"/>
      <c r="C800" s="66"/>
      <c r="D800" s="66"/>
      <c r="E800" s="66"/>
      <c r="F800" s="65"/>
      <c r="G800" s="65"/>
      <c r="H800" s="66"/>
      <c r="I800" s="66"/>
      <c r="J800" s="66"/>
      <c r="K800" s="66"/>
      <c r="L800" s="66"/>
      <c r="M800" s="66"/>
      <c r="N800" s="66"/>
      <c r="O800" s="66"/>
      <c r="P800" s="66"/>
      <c r="Q800" s="23"/>
      <c r="AB800" s="23"/>
      <c r="AC800" s="23"/>
      <c r="AD800" s="23"/>
      <c r="AE800" s="7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71"/>
      <c r="AV800" s="10"/>
      <c r="AW800" s="23"/>
      <c r="BB800" s="66"/>
      <c r="BC800" s="66"/>
      <c r="BD800" s="66"/>
      <c r="BE800" s="66"/>
      <c r="BF800" s="66"/>
      <c r="BG800" s="66"/>
      <c r="BH800" s="66"/>
      <c r="BI800" s="66"/>
      <c r="BJ800" s="66"/>
      <c r="BK800" s="66"/>
      <c r="BL800" s="66"/>
      <c r="BM800" s="66"/>
      <c r="BN800" s="66"/>
      <c r="BO800" s="66"/>
      <c r="BP800" s="66"/>
      <c r="BQ800" s="66"/>
      <c r="BR800" s="66"/>
      <c r="BS800" s="66"/>
      <c r="BT800" s="66"/>
      <c r="BU800" s="66"/>
      <c r="BV800" s="66"/>
      <c r="BW800" s="66"/>
    </row>
    <row r="801" spans="1:75" ht="15.75" customHeight="1">
      <c r="A801" s="65"/>
      <c r="B801" s="66"/>
      <c r="C801" s="66"/>
      <c r="D801" s="66"/>
      <c r="E801" s="66"/>
      <c r="F801" s="65"/>
      <c r="G801" s="65"/>
      <c r="H801" s="66"/>
      <c r="I801" s="66"/>
      <c r="J801" s="66"/>
      <c r="K801" s="66"/>
      <c r="L801" s="66"/>
      <c r="M801" s="66"/>
      <c r="N801" s="66"/>
      <c r="O801" s="66"/>
      <c r="P801" s="66"/>
      <c r="Q801" s="23"/>
      <c r="AB801" s="23"/>
      <c r="AC801" s="23"/>
      <c r="AD801" s="23"/>
      <c r="AE801" s="7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71"/>
      <c r="AV801" s="10"/>
      <c r="AW801" s="23"/>
      <c r="BB801" s="66"/>
      <c r="BC801" s="66"/>
      <c r="BD801" s="66"/>
      <c r="BE801" s="66"/>
      <c r="BF801" s="66"/>
      <c r="BG801" s="66"/>
      <c r="BH801" s="66"/>
      <c r="BI801" s="66"/>
      <c r="BJ801" s="66"/>
      <c r="BK801" s="66"/>
      <c r="BL801" s="66"/>
      <c r="BM801" s="66"/>
      <c r="BN801" s="66"/>
      <c r="BO801" s="66"/>
      <c r="BP801" s="66"/>
      <c r="BQ801" s="66"/>
      <c r="BR801" s="66"/>
      <c r="BS801" s="66"/>
      <c r="BT801" s="66"/>
      <c r="BU801" s="66"/>
      <c r="BV801" s="66"/>
      <c r="BW801" s="66"/>
    </row>
    <row r="802" spans="1:75" ht="15.75" customHeight="1">
      <c r="A802" s="65"/>
      <c r="B802" s="66"/>
      <c r="C802" s="66"/>
      <c r="D802" s="66"/>
      <c r="E802" s="66"/>
      <c r="F802" s="65"/>
      <c r="G802" s="65"/>
      <c r="H802" s="66"/>
      <c r="I802" s="66"/>
      <c r="J802" s="66"/>
      <c r="K802" s="66"/>
      <c r="L802" s="66"/>
      <c r="M802" s="66"/>
      <c r="N802" s="66"/>
      <c r="O802" s="66"/>
      <c r="P802" s="66"/>
      <c r="Q802" s="23"/>
      <c r="AB802" s="23"/>
      <c r="AC802" s="23"/>
      <c r="AD802" s="23"/>
      <c r="AE802" s="7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71"/>
      <c r="AV802" s="10"/>
      <c r="AW802" s="23"/>
      <c r="BB802" s="66"/>
      <c r="BC802" s="66"/>
      <c r="BD802" s="66"/>
      <c r="BE802" s="66"/>
      <c r="BF802" s="66"/>
      <c r="BG802" s="66"/>
      <c r="BH802" s="66"/>
      <c r="BI802" s="66"/>
      <c r="BJ802" s="66"/>
      <c r="BK802" s="66"/>
      <c r="BL802" s="66"/>
      <c r="BM802" s="66"/>
      <c r="BN802" s="66"/>
      <c r="BO802" s="66"/>
      <c r="BP802" s="66"/>
      <c r="BQ802" s="66"/>
      <c r="BR802" s="66"/>
      <c r="BS802" s="66"/>
      <c r="BT802" s="66"/>
      <c r="BU802" s="66"/>
      <c r="BV802" s="66"/>
      <c r="BW802" s="66"/>
    </row>
    <row r="803" spans="1:75" ht="15.75" customHeight="1">
      <c r="A803" s="65"/>
      <c r="B803" s="66"/>
      <c r="C803" s="66"/>
      <c r="D803" s="66"/>
      <c r="E803" s="66"/>
      <c r="F803" s="65"/>
      <c r="G803" s="65"/>
      <c r="H803" s="66"/>
      <c r="I803" s="66"/>
      <c r="J803" s="66"/>
      <c r="K803" s="66"/>
      <c r="L803" s="66"/>
      <c r="M803" s="66"/>
      <c r="N803" s="66"/>
      <c r="O803" s="66"/>
      <c r="P803" s="66"/>
      <c r="Q803" s="23"/>
      <c r="AB803" s="23"/>
      <c r="AC803" s="23"/>
      <c r="AD803" s="23"/>
      <c r="AE803" s="7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71"/>
      <c r="AV803" s="10"/>
      <c r="AW803" s="23"/>
      <c r="BB803" s="66"/>
      <c r="BC803" s="66"/>
      <c r="BD803" s="66"/>
      <c r="BE803" s="66"/>
      <c r="BF803" s="66"/>
      <c r="BG803" s="66"/>
      <c r="BH803" s="66"/>
      <c r="BI803" s="66"/>
      <c r="BJ803" s="66"/>
      <c r="BK803" s="66"/>
      <c r="BL803" s="66"/>
      <c r="BM803" s="66"/>
      <c r="BN803" s="66"/>
      <c r="BO803" s="66"/>
      <c r="BP803" s="66"/>
      <c r="BQ803" s="66"/>
      <c r="BR803" s="66"/>
      <c r="BS803" s="66"/>
      <c r="BT803" s="66"/>
      <c r="BU803" s="66"/>
      <c r="BV803" s="66"/>
      <c r="BW803" s="66"/>
    </row>
    <row r="804" spans="1:75" ht="15.75" customHeight="1">
      <c r="A804" s="65"/>
      <c r="B804" s="66"/>
      <c r="C804" s="66"/>
      <c r="D804" s="66"/>
      <c r="E804" s="66"/>
      <c r="F804" s="65"/>
      <c r="G804" s="65"/>
      <c r="H804" s="66"/>
      <c r="I804" s="66"/>
      <c r="J804" s="66"/>
      <c r="K804" s="66"/>
      <c r="L804" s="66"/>
      <c r="M804" s="66"/>
      <c r="N804" s="66"/>
      <c r="O804" s="66"/>
      <c r="P804" s="66"/>
      <c r="Q804" s="23"/>
      <c r="AB804" s="23"/>
      <c r="AC804" s="23"/>
      <c r="AD804" s="23"/>
      <c r="AE804" s="7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71"/>
      <c r="AV804" s="10"/>
      <c r="AW804" s="23"/>
      <c r="BB804" s="66"/>
      <c r="BC804" s="66"/>
      <c r="BD804" s="66"/>
      <c r="BE804" s="66"/>
      <c r="BF804" s="66"/>
      <c r="BG804" s="66"/>
      <c r="BH804" s="66"/>
      <c r="BI804" s="66"/>
      <c r="BJ804" s="66"/>
      <c r="BK804" s="66"/>
      <c r="BL804" s="66"/>
      <c r="BM804" s="66"/>
      <c r="BN804" s="66"/>
      <c r="BO804" s="66"/>
      <c r="BP804" s="66"/>
      <c r="BQ804" s="66"/>
      <c r="BR804" s="66"/>
      <c r="BS804" s="66"/>
      <c r="BT804" s="66"/>
      <c r="BU804" s="66"/>
      <c r="BV804" s="66"/>
      <c r="BW804" s="66"/>
    </row>
    <row r="805" spans="1:75" ht="15.75" customHeight="1">
      <c r="A805" s="65"/>
      <c r="B805" s="66"/>
      <c r="C805" s="66"/>
      <c r="D805" s="66"/>
      <c r="E805" s="66"/>
      <c r="F805" s="65"/>
      <c r="G805" s="65"/>
      <c r="H805" s="66"/>
      <c r="I805" s="66"/>
      <c r="J805" s="66"/>
      <c r="K805" s="66"/>
      <c r="L805" s="66"/>
      <c r="M805" s="66"/>
      <c r="N805" s="66"/>
      <c r="O805" s="66"/>
      <c r="P805" s="66"/>
      <c r="Q805" s="23"/>
      <c r="AB805" s="23"/>
      <c r="AC805" s="23"/>
      <c r="AD805" s="23"/>
      <c r="AE805" s="7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71"/>
      <c r="AV805" s="10"/>
      <c r="AW805" s="23"/>
      <c r="BB805" s="66"/>
      <c r="BC805" s="66"/>
      <c r="BD805" s="66"/>
      <c r="BE805" s="66"/>
      <c r="BF805" s="66"/>
      <c r="BG805" s="66"/>
      <c r="BH805" s="66"/>
      <c r="BI805" s="66"/>
      <c r="BJ805" s="66"/>
      <c r="BK805" s="66"/>
      <c r="BL805" s="66"/>
      <c r="BM805" s="66"/>
      <c r="BN805" s="66"/>
      <c r="BO805" s="66"/>
      <c r="BP805" s="66"/>
      <c r="BQ805" s="66"/>
      <c r="BR805" s="66"/>
      <c r="BS805" s="66"/>
      <c r="BT805" s="66"/>
      <c r="BU805" s="66"/>
      <c r="BV805" s="66"/>
      <c r="BW805" s="66"/>
    </row>
    <row r="806" spans="1:75" ht="15.75" customHeight="1">
      <c r="A806" s="65"/>
      <c r="B806" s="66"/>
      <c r="C806" s="66"/>
      <c r="D806" s="66"/>
      <c r="E806" s="66"/>
      <c r="F806" s="65"/>
      <c r="G806" s="65"/>
      <c r="H806" s="66"/>
      <c r="I806" s="66"/>
      <c r="J806" s="66"/>
      <c r="K806" s="66"/>
      <c r="L806" s="66"/>
      <c r="M806" s="66"/>
      <c r="N806" s="66"/>
      <c r="O806" s="66"/>
      <c r="P806" s="66"/>
      <c r="Q806" s="23"/>
      <c r="AB806" s="23"/>
      <c r="AC806" s="23"/>
      <c r="AD806" s="23"/>
      <c r="AE806" s="7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71"/>
      <c r="AV806" s="10"/>
      <c r="AW806" s="23"/>
      <c r="BB806" s="66"/>
      <c r="BC806" s="66"/>
      <c r="BD806" s="66"/>
      <c r="BE806" s="66"/>
      <c r="BF806" s="66"/>
      <c r="BG806" s="66"/>
      <c r="BH806" s="66"/>
      <c r="BI806" s="66"/>
      <c r="BJ806" s="66"/>
      <c r="BK806" s="66"/>
      <c r="BL806" s="66"/>
      <c r="BM806" s="66"/>
      <c r="BN806" s="66"/>
      <c r="BO806" s="66"/>
      <c r="BP806" s="66"/>
      <c r="BQ806" s="66"/>
      <c r="BR806" s="66"/>
      <c r="BS806" s="66"/>
      <c r="BT806" s="66"/>
      <c r="BU806" s="66"/>
      <c r="BV806" s="66"/>
      <c r="BW806" s="66"/>
    </row>
    <row r="807" spans="1:75" ht="15.75" customHeight="1">
      <c r="A807" s="65"/>
      <c r="B807" s="66"/>
      <c r="C807" s="66"/>
      <c r="D807" s="66"/>
      <c r="E807" s="66"/>
      <c r="F807" s="65"/>
      <c r="G807" s="65"/>
      <c r="H807" s="66"/>
      <c r="I807" s="66"/>
      <c r="J807" s="66"/>
      <c r="K807" s="66"/>
      <c r="L807" s="66"/>
      <c r="M807" s="66"/>
      <c r="N807" s="66"/>
      <c r="O807" s="66"/>
      <c r="P807" s="66"/>
      <c r="Q807" s="23"/>
      <c r="AB807" s="23"/>
      <c r="AC807" s="23"/>
      <c r="AD807" s="23"/>
      <c r="AE807" s="7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71"/>
      <c r="AV807" s="10"/>
      <c r="AW807" s="23"/>
      <c r="BB807" s="66"/>
      <c r="BC807" s="66"/>
      <c r="BD807" s="66"/>
      <c r="BE807" s="66"/>
      <c r="BF807" s="66"/>
      <c r="BG807" s="66"/>
      <c r="BH807" s="66"/>
      <c r="BI807" s="66"/>
      <c r="BJ807" s="66"/>
      <c r="BK807" s="66"/>
      <c r="BL807" s="66"/>
      <c r="BM807" s="66"/>
      <c r="BN807" s="66"/>
      <c r="BO807" s="66"/>
      <c r="BP807" s="66"/>
      <c r="BQ807" s="66"/>
      <c r="BR807" s="66"/>
      <c r="BS807" s="66"/>
      <c r="BT807" s="66"/>
      <c r="BU807" s="66"/>
      <c r="BV807" s="66"/>
      <c r="BW807" s="66"/>
    </row>
    <row r="808" spans="1:75" ht="15.75" customHeight="1">
      <c r="A808" s="65"/>
      <c r="B808" s="66"/>
      <c r="C808" s="66"/>
      <c r="D808" s="66"/>
      <c r="E808" s="66"/>
      <c r="F808" s="65"/>
      <c r="G808" s="65"/>
      <c r="H808" s="66"/>
      <c r="I808" s="66"/>
      <c r="J808" s="66"/>
      <c r="K808" s="66"/>
      <c r="L808" s="66"/>
      <c r="M808" s="66"/>
      <c r="N808" s="66"/>
      <c r="O808" s="66"/>
      <c r="P808" s="66"/>
      <c r="Q808" s="23"/>
      <c r="AB808" s="23"/>
      <c r="AC808" s="23"/>
      <c r="AD808" s="23"/>
      <c r="AE808" s="7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71"/>
      <c r="AV808" s="10"/>
      <c r="AW808" s="23"/>
      <c r="BB808" s="66"/>
      <c r="BC808" s="66"/>
      <c r="BD808" s="66"/>
      <c r="BE808" s="66"/>
      <c r="BF808" s="66"/>
      <c r="BG808" s="66"/>
      <c r="BH808" s="66"/>
      <c r="BI808" s="66"/>
      <c r="BJ808" s="66"/>
      <c r="BK808" s="66"/>
      <c r="BL808" s="66"/>
      <c r="BM808" s="66"/>
      <c r="BN808" s="66"/>
      <c r="BO808" s="66"/>
      <c r="BP808" s="66"/>
      <c r="BQ808" s="66"/>
      <c r="BR808" s="66"/>
      <c r="BS808" s="66"/>
      <c r="BT808" s="66"/>
      <c r="BU808" s="66"/>
      <c r="BV808" s="66"/>
      <c r="BW808" s="66"/>
    </row>
    <row r="809" spans="1:75" ht="15.75" customHeight="1">
      <c r="A809" s="65"/>
      <c r="B809" s="66"/>
      <c r="C809" s="66"/>
      <c r="D809" s="66"/>
      <c r="E809" s="66"/>
      <c r="F809" s="65"/>
      <c r="G809" s="65"/>
      <c r="H809" s="66"/>
      <c r="I809" s="66"/>
      <c r="J809" s="66"/>
      <c r="K809" s="66"/>
      <c r="L809" s="66"/>
      <c r="M809" s="66"/>
      <c r="N809" s="66"/>
      <c r="O809" s="66"/>
      <c r="P809" s="66"/>
      <c r="Q809" s="23"/>
      <c r="AB809" s="23"/>
      <c r="AC809" s="23"/>
      <c r="AD809" s="23"/>
      <c r="AE809" s="7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71"/>
      <c r="AV809" s="10"/>
      <c r="AW809" s="23"/>
      <c r="BB809" s="66"/>
      <c r="BC809" s="66"/>
      <c r="BD809" s="66"/>
      <c r="BE809" s="66"/>
      <c r="BF809" s="66"/>
      <c r="BG809" s="66"/>
      <c r="BH809" s="66"/>
      <c r="BI809" s="66"/>
      <c r="BJ809" s="66"/>
      <c r="BK809" s="66"/>
      <c r="BL809" s="66"/>
      <c r="BM809" s="66"/>
      <c r="BN809" s="66"/>
      <c r="BO809" s="66"/>
      <c r="BP809" s="66"/>
      <c r="BQ809" s="66"/>
      <c r="BR809" s="66"/>
      <c r="BS809" s="66"/>
      <c r="BT809" s="66"/>
      <c r="BU809" s="66"/>
      <c r="BV809" s="66"/>
      <c r="BW809" s="66"/>
    </row>
    <row r="810" spans="1:75" ht="15.75" customHeight="1">
      <c r="A810" s="65"/>
      <c r="B810" s="66"/>
      <c r="C810" s="66"/>
      <c r="D810" s="66"/>
      <c r="E810" s="66"/>
      <c r="F810" s="65"/>
      <c r="G810" s="65"/>
      <c r="H810" s="66"/>
      <c r="I810" s="66"/>
      <c r="J810" s="66"/>
      <c r="K810" s="66"/>
      <c r="L810" s="66"/>
      <c r="M810" s="66"/>
      <c r="N810" s="66"/>
      <c r="O810" s="66"/>
      <c r="P810" s="66"/>
      <c r="Q810" s="23"/>
      <c r="AB810" s="23"/>
      <c r="AC810" s="23"/>
      <c r="AD810" s="23"/>
      <c r="AE810" s="7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71"/>
      <c r="AV810" s="10"/>
      <c r="AW810" s="23"/>
      <c r="BB810" s="66"/>
      <c r="BC810" s="66"/>
      <c r="BD810" s="66"/>
      <c r="BE810" s="66"/>
      <c r="BF810" s="66"/>
      <c r="BG810" s="66"/>
      <c r="BH810" s="66"/>
      <c r="BI810" s="66"/>
      <c r="BJ810" s="66"/>
      <c r="BK810" s="66"/>
      <c r="BL810" s="66"/>
      <c r="BM810" s="66"/>
      <c r="BN810" s="66"/>
      <c r="BO810" s="66"/>
      <c r="BP810" s="66"/>
      <c r="BQ810" s="66"/>
      <c r="BR810" s="66"/>
      <c r="BS810" s="66"/>
      <c r="BT810" s="66"/>
      <c r="BU810" s="66"/>
      <c r="BV810" s="66"/>
      <c r="BW810" s="66"/>
    </row>
    <row r="811" spans="1:75" ht="15.75" customHeight="1">
      <c r="A811" s="65"/>
      <c r="B811" s="66"/>
      <c r="C811" s="66"/>
      <c r="D811" s="66"/>
      <c r="E811" s="66"/>
      <c r="F811" s="65"/>
      <c r="G811" s="65"/>
      <c r="H811" s="66"/>
      <c r="I811" s="66"/>
      <c r="J811" s="66"/>
      <c r="K811" s="66"/>
      <c r="L811" s="66"/>
      <c r="M811" s="66"/>
      <c r="N811" s="66"/>
      <c r="O811" s="66"/>
      <c r="P811" s="66"/>
      <c r="Q811" s="23"/>
      <c r="AB811" s="23"/>
      <c r="AC811" s="23"/>
      <c r="AD811" s="23"/>
      <c r="AE811" s="7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71"/>
      <c r="AV811" s="10"/>
      <c r="AW811" s="23"/>
      <c r="BB811" s="66"/>
      <c r="BC811" s="66"/>
      <c r="BD811" s="66"/>
      <c r="BE811" s="66"/>
      <c r="BF811" s="66"/>
      <c r="BG811" s="66"/>
      <c r="BH811" s="66"/>
      <c r="BI811" s="66"/>
      <c r="BJ811" s="66"/>
      <c r="BK811" s="66"/>
      <c r="BL811" s="66"/>
      <c r="BM811" s="66"/>
      <c r="BN811" s="66"/>
      <c r="BO811" s="66"/>
      <c r="BP811" s="66"/>
      <c r="BQ811" s="66"/>
      <c r="BR811" s="66"/>
      <c r="BS811" s="66"/>
      <c r="BT811" s="66"/>
      <c r="BU811" s="66"/>
      <c r="BV811" s="66"/>
      <c r="BW811" s="66"/>
    </row>
    <row r="812" spans="1:75" ht="15.75" customHeight="1">
      <c r="A812" s="65"/>
      <c r="B812" s="66"/>
      <c r="C812" s="66"/>
      <c r="D812" s="66"/>
      <c r="E812" s="66"/>
      <c r="F812" s="65"/>
      <c r="G812" s="65"/>
      <c r="H812" s="66"/>
      <c r="I812" s="66"/>
      <c r="J812" s="66"/>
      <c r="K812" s="66"/>
      <c r="L812" s="66"/>
      <c r="M812" s="66"/>
      <c r="N812" s="66"/>
      <c r="O812" s="66"/>
      <c r="P812" s="66"/>
      <c r="Q812" s="23"/>
      <c r="AB812" s="23"/>
      <c r="AC812" s="23"/>
      <c r="AD812" s="23"/>
      <c r="AE812" s="7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71"/>
      <c r="AV812" s="10"/>
      <c r="AW812" s="23"/>
      <c r="BB812" s="66"/>
      <c r="BC812" s="66"/>
      <c r="BD812" s="66"/>
      <c r="BE812" s="66"/>
      <c r="BF812" s="66"/>
      <c r="BG812" s="66"/>
      <c r="BH812" s="66"/>
      <c r="BI812" s="66"/>
      <c r="BJ812" s="66"/>
      <c r="BK812" s="66"/>
      <c r="BL812" s="66"/>
      <c r="BM812" s="66"/>
      <c r="BN812" s="66"/>
      <c r="BO812" s="66"/>
      <c r="BP812" s="66"/>
      <c r="BQ812" s="66"/>
      <c r="BR812" s="66"/>
      <c r="BS812" s="66"/>
      <c r="BT812" s="66"/>
      <c r="BU812" s="66"/>
      <c r="BV812" s="66"/>
      <c r="BW812" s="66"/>
    </row>
    <row r="813" spans="1:75" ht="15.75" customHeight="1">
      <c r="A813" s="65"/>
      <c r="B813" s="66"/>
      <c r="C813" s="66"/>
      <c r="D813" s="66"/>
      <c r="E813" s="66"/>
      <c r="F813" s="65"/>
      <c r="G813" s="65"/>
      <c r="H813" s="66"/>
      <c r="I813" s="66"/>
      <c r="J813" s="66"/>
      <c r="K813" s="66"/>
      <c r="L813" s="66"/>
      <c r="M813" s="66"/>
      <c r="N813" s="66"/>
      <c r="O813" s="66"/>
      <c r="P813" s="66"/>
      <c r="Q813" s="23"/>
      <c r="AB813" s="23"/>
      <c r="AC813" s="23"/>
      <c r="AD813" s="23"/>
      <c r="AE813" s="7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71"/>
      <c r="AV813" s="10"/>
      <c r="AW813" s="23"/>
      <c r="BB813" s="66"/>
      <c r="BC813" s="66"/>
      <c r="BD813" s="66"/>
      <c r="BE813" s="66"/>
      <c r="BF813" s="66"/>
      <c r="BG813" s="66"/>
      <c r="BH813" s="66"/>
      <c r="BI813" s="66"/>
      <c r="BJ813" s="66"/>
      <c r="BK813" s="66"/>
      <c r="BL813" s="66"/>
      <c r="BM813" s="66"/>
      <c r="BN813" s="66"/>
      <c r="BO813" s="66"/>
      <c r="BP813" s="66"/>
      <c r="BQ813" s="66"/>
      <c r="BR813" s="66"/>
      <c r="BS813" s="66"/>
      <c r="BT813" s="66"/>
      <c r="BU813" s="66"/>
      <c r="BV813" s="66"/>
      <c r="BW813" s="66"/>
    </row>
    <row r="814" spans="1:75" ht="15.75" customHeight="1">
      <c r="A814" s="65"/>
      <c r="B814" s="66"/>
      <c r="C814" s="66"/>
      <c r="D814" s="66"/>
      <c r="E814" s="66"/>
      <c r="F814" s="65"/>
      <c r="G814" s="65"/>
      <c r="H814" s="66"/>
      <c r="I814" s="66"/>
      <c r="J814" s="66"/>
      <c r="K814" s="66"/>
      <c r="L814" s="66"/>
      <c r="M814" s="66"/>
      <c r="N814" s="66"/>
      <c r="O814" s="66"/>
      <c r="P814" s="66"/>
      <c r="Q814" s="23"/>
      <c r="AB814" s="23"/>
      <c r="AC814" s="23"/>
      <c r="AD814" s="23"/>
      <c r="AE814" s="7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71"/>
      <c r="AV814" s="10"/>
      <c r="AW814" s="23"/>
      <c r="BB814" s="66"/>
      <c r="BC814" s="66"/>
      <c r="BD814" s="66"/>
      <c r="BE814" s="66"/>
      <c r="BF814" s="66"/>
      <c r="BG814" s="66"/>
      <c r="BH814" s="66"/>
      <c r="BI814" s="66"/>
      <c r="BJ814" s="66"/>
      <c r="BK814" s="66"/>
      <c r="BL814" s="66"/>
      <c r="BM814" s="66"/>
      <c r="BN814" s="66"/>
      <c r="BO814" s="66"/>
      <c r="BP814" s="66"/>
      <c r="BQ814" s="66"/>
      <c r="BR814" s="66"/>
      <c r="BS814" s="66"/>
      <c r="BT814" s="66"/>
      <c r="BU814" s="66"/>
      <c r="BV814" s="66"/>
      <c r="BW814" s="66"/>
    </row>
    <row r="815" spans="1:75" ht="15.75" customHeight="1">
      <c r="A815" s="65"/>
      <c r="B815" s="66"/>
      <c r="C815" s="66"/>
      <c r="D815" s="66"/>
      <c r="E815" s="66"/>
      <c r="F815" s="65"/>
      <c r="G815" s="65"/>
      <c r="H815" s="66"/>
      <c r="I815" s="66"/>
      <c r="J815" s="66"/>
      <c r="K815" s="66"/>
      <c r="L815" s="66"/>
      <c r="M815" s="66"/>
      <c r="N815" s="66"/>
      <c r="O815" s="66"/>
      <c r="P815" s="66"/>
      <c r="Q815" s="23"/>
      <c r="AB815" s="23"/>
      <c r="AC815" s="23"/>
      <c r="AD815" s="23"/>
      <c r="AE815" s="7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71"/>
      <c r="AV815" s="10"/>
      <c r="AW815" s="23"/>
      <c r="BB815" s="66"/>
      <c r="BC815" s="66"/>
      <c r="BD815" s="66"/>
      <c r="BE815" s="66"/>
      <c r="BF815" s="66"/>
      <c r="BG815" s="66"/>
      <c r="BH815" s="66"/>
      <c r="BI815" s="66"/>
      <c r="BJ815" s="66"/>
      <c r="BK815" s="66"/>
      <c r="BL815" s="66"/>
      <c r="BM815" s="66"/>
      <c r="BN815" s="66"/>
      <c r="BO815" s="66"/>
      <c r="BP815" s="66"/>
      <c r="BQ815" s="66"/>
      <c r="BR815" s="66"/>
      <c r="BS815" s="66"/>
      <c r="BT815" s="66"/>
      <c r="BU815" s="66"/>
      <c r="BV815" s="66"/>
      <c r="BW815" s="66"/>
    </row>
    <row r="816" spans="1:75" ht="15.75" customHeight="1">
      <c r="A816" s="65"/>
      <c r="B816" s="66"/>
      <c r="C816" s="66"/>
      <c r="D816" s="66"/>
      <c r="E816" s="66"/>
      <c r="F816" s="65"/>
      <c r="G816" s="65"/>
      <c r="H816" s="66"/>
      <c r="I816" s="66"/>
      <c r="J816" s="66"/>
      <c r="K816" s="66"/>
      <c r="L816" s="66"/>
      <c r="M816" s="66"/>
      <c r="N816" s="66"/>
      <c r="O816" s="66"/>
      <c r="P816" s="66"/>
      <c r="Q816" s="23"/>
      <c r="AB816" s="23"/>
      <c r="AC816" s="23"/>
      <c r="AD816" s="23"/>
      <c r="AE816" s="7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71"/>
      <c r="AV816" s="10"/>
      <c r="AW816" s="23"/>
      <c r="BB816" s="66"/>
      <c r="BC816" s="66"/>
      <c r="BD816" s="66"/>
      <c r="BE816" s="66"/>
      <c r="BF816" s="66"/>
      <c r="BG816" s="66"/>
      <c r="BH816" s="66"/>
      <c r="BI816" s="66"/>
      <c r="BJ816" s="66"/>
      <c r="BK816" s="66"/>
      <c r="BL816" s="66"/>
      <c r="BM816" s="66"/>
      <c r="BN816" s="66"/>
      <c r="BO816" s="66"/>
      <c r="BP816" s="66"/>
      <c r="BQ816" s="66"/>
      <c r="BR816" s="66"/>
      <c r="BS816" s="66"/>
      <c r="BT816" s="66"/>
      <c r="BU816" s="66"/>
      <c r="BV816" s="66"/>
      <c r="BW816" s="66"/>
    </row>
    <row r="817" spans="1:75" ht="15.75" customHeight="1">
      <c r="A817" s="65"/>
      <c r="B817" s="66"/>
      <c r="C817" s="66"/>
      <c r="D817" s="66"/>
      <c r="E817" s="66"/>
      <c r="F817" s="65"/>
      <c r="G817" s="65"/>
      <c r="H817" s="66"/>
      <c r="I817" s="66"/>
      <c r="J817" s="66"/>
      <c r="K817" s="66"/>
      <c r="L817" s="66"/>
      <c r="M817" s="66"/>
      <c r="N817" s="66"/>
      <c r="O817" s="66"/>
      <c r="P817" s="66"/>
      <c r="Q817" s="23"/>
      <c r="AB817" s="23"/>
      <c r="AC817" s="23"/>
      <c r="AD817" s="23"/>
      <c r="AE817" s="7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71"/>
      <c r="AV817" s="10"/>
      <c r="AW817" s="23"/>
      <c r="BB817" s="66"/>
      <c r="BC817" s="66"/>
      <c r="BD817" s="66"/>
      <c r="BE817" s="66"/>
      <c r="BF817" s="66"/>
      <c r="BG817" s="66"/>
      <c r="BH817" s="66"/>
      <c r="BI817" s="66"/>
      <c r="BJ817" s="66"/>
      <c r="BK817" s="66"/>
      <c r="BL817" s="66"/>
      <c r="BM817" s="66"/>
      <c r="BN817" s="66"/>
      <c r="BO817" s="66"/>
      <c r="BP817" s="66"/>
      <c r="BQ817" s="66"/>
      <c r="BR817" s="66"/>
      <c r="BS817" s="66"/>
      <c r="BT817" s="66"/>
      <c r="BU817" s="66"/>
      <c r="BV817" s="66"/>
      <c r="BW817" s="66"/>
    </row>
    <row r="818" spans="1:75" ht="15.75" customHeight="1">
      <c r="A818" s="65"/>
      <c r="B818" s="66"/>
      <c r="C818" s="66"/>
      <c r="D818" s="66"/>
      <c r="E818" s="66"/>
      <c r="F818" s="65"/>
      <c r="G818" s="65"/>
      <c r="H818" s="66"/>
      <c r="I818" s="66"/>
      <c r="J818" s="66"/>
      <c r="K818" s="66"/>
      <c r="L818" s="66"/>
      <c r="M818" s="66"/>
      <c r="N818" s="66"/>
      <c r="O818" s="66"/>
      <c r="P818" s="66"/>
      <c r="Q818" s="23"/>
      <c r="AB818" s="23"/>
      <c r="AC818" s="23"/>
      <c r="AD818" s="23"/>
      <c r="AE818" s="7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71"/>
      <c r="AV818" s="10"/>
      <c r="AW818" s="23"/>
      <c r="BB818" s="66"/>
      <c r="BC818" s="66"/>
      <c r="BD818" s="66"/>
      <c r="BE818" s="66"/>
      <c r="BF818" s="66"/>
      <c r="BG818" s="66"/>
      <c r="BH818" s="66"/>
      <c r="BI818" s="66"/>
      <c r="BJ818" s="66"/>
      <c r="BK818" s="66"/>
      <c r="BL818" s="66"/>
      <c r="BM818" s="66"/>
      <c r="BN818" s="66"/>
      <c r="BO818" s="66"/>
      <c r="BP818" s="66"/>
      <c r="BQ818" s="66"/>
      <c r="BR818" s="66"/>
      <c r="BS818" s="66"/>
      <c r="BT818" s="66"/>
      <c r="BU818" s="66"/>
      <c r="BV818" s="66"/>
      <c r="BW818" s="66"/>
    </row>
    <row r="819" spans="1:75" ht="15.75" customHeight="1">
      <c r="A819" s="65"/>
      <c r="B819" s="66"/>
      <c r="C819" s="66"/>
      <c r="D819" s="66"/>
      <c r="E819" s="66"/>
      <c r="F819" s="65"/>
      <c r="G819" s="65"/>
      <c r="H819" s="66"/>
      <c r="I819" s="66"/>
      <c r="J819" s="66"/>
      <c r="K819" s="66"/>
      <c r="L819" s="66"/>
      <c r="M819" s="66"/>
      <c r="N819" s="66"/>
      <c r="O819" s="66"/>
      <c r="P819" s="66"/>
      <c r="Q819" s="23"/>
      <c r="AB819" s="23"/>
      <c r="AC819" s="23"/>
      <c r="AD819" s="23"/>
      <c r="AE819" s="7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71"/>
      <c r="AV819" s="10"/>
      <c r="AW819" s="23"/>
      <c r="BB819" s="66"/>
      <c r="BC819" s="66"/>
      <c r="BD819" s="66"/>
      <c r="BE819" s="66"/>
      <c r="BF819" s="66"/>
      <c r="BG819" s="66"/>
      <c r="BH819" s="66"/>
      <c r="BI819" s="66"/>
      <c r="BJ819" s="66"/>
      <c r="BK819" s="66"/>
      <c r="BL819" s="66"/>
      <c r="BM819" s="66"/>
      <c r="BN819" s="66"/>
      <c r="BO819" s="66"/>
      <c r="BP819" s="66"/>
      <c r="BQ819" s="66"/>
      <c r="BR819" s="66"/>
      <c r="BS819" s="66"/>
      <c r="BT819" s="66"/>
      <c r="BU819" s="66"/>
      <c r="BV819" s="66"/>
      <c r="BW819" s="66"/>
    </row>
    <row r="820" spans="1:75" ht="15.75" customHeight="1">
      <c r="A820" s="65"/>
      <c r="B820" s="66"/>
      <c r="C820" s="66"/>
      <c r="D820" s="66"/>
      <c r="E820" s="66"/>
      <c r="F820" s="65"/>
      <c r="G820" s="65"/>
      <c r="H820" s="66"/>
      <c r="I820" s="66"/>
      <c r="J820" s="66"/>
      <c r="K820" s="66"/>
      <c r="L820" s="66"/>
      <c r="M820" s="66"/>
      <c r="N820" s="66"/>
      <c r="O820" s="66"/>
      <c r="P820" s="66"/>
      <c r="Q820" s="23"/>
      <c r="AB820" s="23"/>
      <c r="AC820" s="23"/>
      <c r="AD820" s="23"/>
      <c r="AE820" s="7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71"/>
      <c r="AV820" s="10"/>
      <c r="AW820" s="23"/>
      <c r="BB820" s="66"/>
      <c r="BC820" s="66"/>
      <c r="BD820" s="66"/>
      <c r="BE820" s="66"/>
      <c r="BF820" s="66"/>
      <c r="BG820" s="66"/>
      <c r="BH820" s="66"/>
      <c r="BI820" s="66"/>
      <c r="BJ820" s="66"/>
      <c r="BK820" s="66"/>
      <c r="BL820" s="66"/>
      <c r="BM820" s="66"/>
      <c r="BN820" s="66"/>
      <c r="BO820" s="66"/>
      <c r="BP820" s="66"/>
      <c r="BQ820" s="66"/>
      <c r="BR820" s="66"/>
      <c r="BS820" s="66"/>
      <c r="BT820" s="66"/>
      <c r="BU820" s="66"/>
      <c r="BV820" s="66"/>
      <c r="BW820" s="66"/>
    </row>
    <row r="821" spans="1:75" ht="15.75" customHeight="1">
      <c r="A821" s="65"/>
      <c r="B821" s="66"/>
      <c r="C821" s="66"/>
      <c r="D821" s="66"/>
      <c r="E821" s="66"/>
      <c r="F821" s="65"/>
      <c r="G821" s="65"/>
      <c r="H821" s="66"/>
      <c r="I821" s="66"/>
      <c r="J821" s="66"/>
      <c r="K821" s="66"/>
      <c r="L821" s="66"/>
      <c r="M821" s="66"/>
      <c r="N821" s="66"/>
      <c r="O821" s="66"/>
      <c r="P821" s="66"/>
      <c r="Q821" s="23"/>
      <c r="AB821" s="23"/>
      <c r="AC821" s="23"/>
      <c r="AD821" s="23"/>
      <c r="AE821" s="7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71"/>
      <c r="AV821" s="10"/>
      <c r="AW821" s="23"/>
      <c r="BB821" s="66"/>
      <c r="BC821" s="66"/>
      <c r="BD821" s="66"/>
      <c r="BE821" s="66"/>
      <c r="BF821" s="66"/>
      <c r="BG821" s="66"/>
      <c r="BH821" s="66"/>
      <c r="BI821" s="66"/>
      <c r="BJ821" s="66"/>
      <c r="BK821" s="66"/>
      <c r="BL821" s="66"/>
      <c r="BM821" s="66"/>
      <c r="BN821" s="66"/>
      <c r="BO821" s="66"/>
      <c r="BP821" s="66"/>
      <c r="BQ821" s="66"/>
      <c r="BR821" s="66"/>
      <c r="BS821" s="66"/>
      <c r="BT821" s="66"/>
      <c r="BU821" s="66"/>
      <c r="BV821" s="66"/>
      <c r="BW821" s="66"/>
    </row>
    <row r="822" spans="1:75" ht="15.75" customHeight="1">
      <c r="A822" s="65"/>
      <c r="B822" s="66"/>
      <c r="C822" s="66"/>
      <c r="D822" s="66"/>
      <c r="E822" s="66"/>
      <c r="F822" s="65"/>
      <c r="G822" s="65"/>
      <c r="H822" s="66"/>
      <c r="I822" s="66"/>
      <c r="J822" s="66"/>
      <c r="K822" s="66"/>
      <c r="L822" s="66"/>
      <c r="M822" s="66"/>
      <c r="N822" s="66"/>
      <c r="O822" s="66"/>
      <c r="P822" s="66"/>
      <c r="Q822" s="23"/>
      <c r="AB822" s="23"/>
      <c r="AC822" s="23"/>
      <c r="AD822" s="23"/>
      <c r="AE822" s="7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71"/>
      <c r="AV822" s="10"/>
      <c r="AW822" s="23"/>
      <c r="BB822" s="66"/>
      <c r="BC822" s="66"/>
      <c r="BD822" s="66"/>
      <c r="BE822" s="66"/>
      <c r="BF822" s="66"/>
      <c r="BG822" s="66"/>
      <c r="BH822" s="66"/>
      <c r="BI822" s="66"/>
      <c r="BJ822" s="66"/>
      <c r="BK822" s="66"/>
      <c r="BL822" s="66"/>
      <c r="BM822" s="66"/>
      <c r="BN822" s="66"/>
      <c r="BO822" s="66"/>
      <c r="BP822" s="66"/>
      <c r="BQ822" s="66"/>
      <c r="BR822" s="66"/>
      <c r="BS822" s="66"/>
      <c r="BT822" s="66"/>
      <c r="BU822" s="66"/>
      <c r="BV822" s="66"/>
      <c r="BW822" s="66"/>
    </row>
    <row r="823" spans="1:75" ht="15.75" customHeight="1">
      <c r="A823" s="65"/>
      <c r="B823" s="66"/>
      <c r="C823" s="66"/>
      <c r="D823" s="66"/>
      <c r="E823" s="66"/>
      <c r="F823" s="65"/>
      <c r="G823" s="65"/>
      <c r="H823" s="66"/>
      <c r="I823" s="66"/>
      <c r="J823" s="66"/>
      <c r="K823" s="66"/>
      <c r="L823" s="66"/>
      <c r="M823" s="66"/>
      <c r="N823" s="66"/>
      <c r="O823" s="66"/>
      <c r="P823" s="66"/>
      <c r="Q823" s="23"/>
      <c r="AB823" s="23"/>
      <c r="AC823" s="23"/>
      <c r="AD823" s="23"/>
      <c r="AE823" s="7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71"/>
      <c r="AV823" s="10"/>
      <c r="AW823" s="23"/>
      <c r="BB823" s="66"/>
      <c r="BC823" s="66"/>
      <c r="BD823" s="66"/>
      <c r="BE823" s="66"/>
      <c r="BF823" s="66"/>
      <c r="BG823" s="66"/>
      <c r="BH823" s="66"/>
      <c r="BI823" s="66"/>
      <c r="BJ823" s="66"/>
      <c r="BK823" s="66"/>
      <c r="BL823" s="66"/>
      <c r="BM823" s="66"/>
      <c r="BN823" s="66"/>
      <c r="BO823" s="66"/>
      <c r="BP823" s="66"/>
      <c r="BQ823" s="66"/>
      <c r="BR823" s="66"/>
      <c r="BS823" s="66"/>
      <c r="BT823" s="66"/>
      <c r="BU823" s="66"/>
      <c r="BV823" s="66"/>
      <c r="BW823" s="66"/>
    </row>
    <row r="824" spans="1:75" ht="15.75" customHeight="1">
      <c r="A824" s="65"/>
      <c r="B824" s="66"/>
      <c r="C824" s="66"/>
      <c r="D824" s="66"/>
      <c r="E824" s="66"/>
      <c r="F824" s="65"/>
      <c r="G824" s="65"/>
      <c r="H824" s="66"/>
      <c r="I824" s="66"/>
      <c r="J824" s="66"/>
      <c r="K824" s="66"/>
      <c r="L824" s="66"/>
      <c r="M824" s="66"/>
      <c r="N824" s="66"/>
      <c r="O824" s="66"/>
      <c r="P824" s="66"/>
      <c r="Q824" s="23"/>
      <c r="AB824" s="23"/>
      <c r="AC824" s="23"/>
      <c r="AD824" s="23"/>
      <c r="AE824" s="7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71"/>
      <c r="AV824" s="10"/>
      <c r="AW824" s="23"/>
      <c r="BB824" s="66"/>
      <c r="BC824" s="66"/>
      <c r="BD824" s="66"/>
      <c r="BE824" s="66"/>
      <c r="BF824" s="66"/>
      <c r="BG824" s="66"/>
      <c r="BH824" s="66"/>
      <c r="BI824" s="66"/>
      <c r="BJ824" s="66"/>
      <c r="BK824" s="66"/>
      <c r="BL824" s="66"/>
      <c r="BM824" s="66"/>
      <c r="BN824" s="66"/>
      <c r="BO824" s="66"/>
      <c r="BP824" s="66"/>
      <c r="BQ824" s="66"/>
      <c r="BR824" s="66"/>
      <c r="BS824" s="66"/>
      <c r="BT824" s="66"/>
      <c r="BU824" s="66"/>
      <c r="BV824" s="66"/>
      <c r="BW824" s="66"/>
    </row>
    <row r="825" spans="1:75" ht="15.75" customHeight="1">
      <c r="A825" s="65"/>
      <c r="B825" s="66"/>
      <c r="C825" s="66"/>
      <c r="D825" s="66"/>
      <c r="E825" s="66"/>
      <c r="F825" s="65"/>
      <c r="G825" s="65"/>
      <c r="H825" s="66"/>
      <c r="I825" s="66"/>
      <c r="J825" s="66"/>
      <c r="K825" s="66"/>
      <c r="L825" s="66"/>
      <c r="M825" s="66"/>
      <c r="N825" s="66"/>
      <c r="O825" s="66"/>
      <c r="P825" s="66"/>
      <c r="Q825" s="23"/>
      <c r="AB825" s="23"/>
      <c r="AC825" s="23"/>
      <c r="AD825" s="23"/>
      <c r="AE825" s="7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71"/>
      <c r="AV825" s="10"/>
      <c r="AW825" s="23"/>
      <c r="BB825" s="66"/>
      <c r="BC825" s="66"/>
      <c r="BD825" s="66"/>
      <c r="BE825" s="66"/>
      <c r="BF825" s="66"/>
      <c r="BG825" s="66"/>
      <c r="BH825" s="66"/>
      <c r="BI825" s="66"/>
      <c r="BJ825" s="66"/>
      <c r="BK825" s="66"/>
      <c r="BL825" s="66"/>
      <c r="BM825" s="66"/>
      <c r="BN825" s="66"/>
      <c r="BO825" s="66"/>
      <c r="BP825" s="66"/>
      <c r="BQ825" s="66"/>
      <c r="BR825" s="66"/>
      <c r="BS825" s="66"/>
      <c r="BT825" s="66"/>
      <c r="BU825" s="66"/>
      <c r="BV825" s="66"/>
      <c r="BW825" s="66"/>
    </row>
    <row r="826" spans="1:75" ht="15.75" customHeight="1">
      <c r="A826" s="65"/>
      <c r="B826" s="66"/>
      <c r="C826" s="66"/>
      <c r="D826" s="66"/>
      <c r="E826" s="66"/>
      <c r="F826" s="65"/>
      <c r="G826" s="65"/>
      <c r="H826" s="66"/>
      <c r="I826" s="66"/>
      <c r="J826" s="66"/>
      <c r="K826" s="66"/>
      <c r="L826" s="66"/>
      <c r="M826" s="66"/>
      <c r="N826" s="66"/>
      <c r="O826" s="66"/>
      <c r="P826" s="66"/>
      <c r="Q826" s="23"/>
      <c r="AB826" s="23"/>
      <c r="AC826" s="23"/>
      <c r="AD826" s="23"/>
      <c r="AE826" s="7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71"/>
      <c r="AV826" s="10"/>
      <c r="AW826" s="23"/>
      <c r="BB826" s="66"/>
      <c r="BC826" s="66"/>
      <c r="BD826" s="66"/>
      <c r="BE826" s="66"/>
      <c r="BF826" s="66"/>
      <c r="BG826" s="66"/>
      <c r="BH826" s="66"/>
      <c r="BI826" s="66"/>
      <c r="BJ826" s="66"/>
      <c r="BK826" s="66"/>
      <c r="BL826" s="66"/>
      <c r="BM826" s="66"/>
      <c r="BN826" s="66"/>
      <c r="BO826" s="66"/>
      <c r="BP826" s="66"/>
      <c r="BQ826" s="66"/>
      <c r="BR826" s="66"/>
      <c r="BS826" s="66"/>
      <c r="BT826" s="66"/>
      <c r="BU826" s="66"/>
      <c r="BV826" s="66"/>
      <c r="BW826" s="66"/>
    </row>
    <row r="827" spans="1:75" ht="15.75" customHeight="1">
      <c r="A827" s="65"/>
      <c r="B827" s="66"/>
      <c r="C827" s="66"/>
      <c r="D827" s="66"/>
      <c r="E827" s="66"/>
      <c r="F827" s="65"/>
      <c r="G827" s="65"/>
      <c r="H827" s="66"/>
      <c r="I827" s="66"/>
      <c r="J827" s="66"/>
      <c r="K827" s="66"/>
      <c r="L827" s="66"/>
      <c r="M827" s="66"/>
      <c r="N827" s="66"/>
      <c r="O827" s="66"/>
      <c r="P827" s="66"/>
      <c r="Q827" s="23"/>
      <c r="AB827" s="23"/>
      <c r="AC827" s="23"/>
      <c r="AD827" s="23"/>
      <c r="AE827" s="7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71"/>
      <c r="AV827" s="10"/>
      <c r="AW827" s="23"/>
      <c r="BB827" s="66"/>
      <c r="BC827" s="66"/>
      <c r="BD827" s="66"/>
      <c r="BE827" s="66"/>
      <c r="BF827" s="66"/>
      <c r="BG827" s="66"/>
      <c r="BH827" s="66"/>
      <c r="BI827" s="66"/>
      <c r="BJ827" s="66"/>
      <c r="BK827" s="66"/>
      <c r="BL827" s="66"/>
      <c r="BM827" s="66"/>
      <c r="BN827" s="66"/>
      <c r="BO827" s="66"/>
      <c r="BP827" s="66"/>
      <c r="BQ827" s="66"/>
      <c r="BR827" s="66"/>
      <c r="BS827" s="66"/>
      <c r="BT827" s="66"/>
      <c r="BU827" s="66"/>
      <c r="BV827" s="66"/>
      <c r="BW827" s="66"/>
    </row>
    <row r="828" spans="1:75" ht="15.75" customHeight="1">
      <c r="A828" s="65"/>
      <c r="B828" s="66"/>
      <c r="C828" s="66"/>
      <c r="D828" s="66"/>
      <c r="E828" s="66"/>
      <c r="F828" s="65"/>
      <c r="G828" s="65"/>
      <c r="H828" s="66"/>
      <c r="I828" s="66"/>
      <c r="J828" s="66"/>
      <c r="K828" s="66"/>
      <c r="L828" s="66"/>
      <c r="M828" s="66"/>
      <c r="N828" s="66"/>
      <c r="O828" s="66"/>
      <c r="P828" s="66"/>
      <c r="Q828" s="23"/>
      <c r="AB828" s="23"/>
      <c r="AC828" s="23"/>
      <c r="AD828" s="23"/>
      <c r="AE828" s="7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71"/>
      <c r="AV828" s="10"/>
      <c r="AW828" s="23"/>
      <c r="BB828" s="66"/>
      <c r="BC828" s="66"/>
      <c r="BD828" s="66"/>
      <c r="BE828" s="66"/>
      <c r="BF828" s="66"/>
      <c r="BG828" s="66"/>
      <c r="BH828" s="66"/>
      <c r="BI828" s="66"/>
      <c r="BJ828" s="66"/>
      <c r="BK828" s="66"/>
      <c r="BL828" s="66"/>
      <c r="BM828" s="66"/>
      <c r="BN828" s="66"/>
      <c r="BO828" s="66"/>
      <c r="BP828" s="66"/>
      <c r="BQ828" s="66"/>
      <c r="BR828" s="66"/>
      <c r="BS828" s="66"/>
      <c r="BT828" s="66"/>
      <c r="BU828" s="66"/>
      <c r="BV828" s="66"/>
      <c r="BW828" s="66"/>
    </row>
    <row r="829" spans="1:75" ht="15.75" customHeight="1">
      <c r="A829" s="65"/>
      <c r="B829" s="66"/>
      <c r="C829" s="66"/>
      <c r="D829" s="66"/>
      <c r="E829" s="66"/>
      <c r="F829" s="65"/>
      <c r="G829" s="65"/>
      <c r="H829" s="66"/>
      <c r="I829" s="66"/>
      <c r="J829" s="66"/>
      <c r="K829" s="66"/>
      <c r="L829" s="66"/>
      <c r="M829" s="66"/>
      <c r="N829" s="66"/>
      <c r="O829" s="66"/>
      <c r="P829" s="66"/>
      <c r="Q829" s="23"/>
      <c r="AB829" s="23"/>
      <c r="AC829" s="23"/>
      <c r="AD829" s="23"/>
      <c r="AE829" s="7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71"/>
      <c r="AV829" s="10"/>
      <c r="AW829" s="23"/>
      <c r="BB829" s="66"/>
      <c r="BC829" s="66"/>
      <c r="BD829" s="66"/>
      <c r="BE829" s="66"/>
      <c r="BF829" s="66"/>
      <c r="BG829" s="66"/>
      <c r="BH829" s="66"/>
      <c r="BI829" s="66"/>
      <c r="BJ829" s="66"/>
      <c r="BK829" s="66"/>
      <c r="BL829" s="66"/>
      <c r="BM829" s="66"/>
      <c r="BN829" s="66"/>
      <c r="BO829" s="66"/>
      <c r="BP829" s="66"/>
      <c r="BQ829" s="66"/>
      <c r="BR829" s="66"/>
      <c r="BS829" s="66"/>
      <c r="BT829" s="66"/>
      <c r="BU829" s="66"/>
      <c r="BV829" s="66"/>
      <c r="BW829" s="66"/>
    </row>
    <row r="830" spans="1:75" ht="15.75" customHeight="1">
      <c r="A830" s="65"/>
      <c r="B830" s="66"/>
      <c r="C830" s="66"/>
      <c r="D830" s="66"/>
      <c r="E830" s="66"/>
      <c r="F830" s="65"/>
      <c r="G830" s="65"/>
      <c r="H830" s="66"/>
      <c r="I830" s="66"/>
      <c r="J830" s="66"/>
      <c r="K830" s="66"/>
      <c r="L830" s="66"/>
      <c r="M830" s="66"/>
      <c r="N830" s="66"/>
      <c r="O830" s="66"/>
      <c r="P830" s="66"/>
      <c r="Q830" s="23"/>
      <c r="AB830" s="23"/>
      <c r="AC830" s="23"/>
      <c r="AD830" s="23"/>
      <c r="AE830" s="7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71"/>
      <c r="AV830" s="10"/>
      <c r="AW830" s="23"/>
      <c r="BB830" s="66"/>
      <c r="BC830" s="66"/>
      <c r="BD830" s="66"/>
      <c r="BE830" s="66"/>
      <c r="BF830" s="66"/>
      <c r="BG830" s="66"/>
      <c r="BH830" s="66"/>
      <c r="BI830" s="66"/>
      <c r="BJ830" s="66"/>
      <c r="BK830" s="66"/>
      <c r="BL830" s="66"/>
      <c r="BM830" s="66"/>
      <c r="BN830" s="66"/>
      <c r="BO830" s="66"/>
      <c r="BP830" s="66"/>
      <c r="BQ830" s="66"/>
      <c r="BR830" s="66"/>
      <c r="BS830" s="66"/>
      <c r="BT830" s="66"/>
      <c r="BU830" s="66"/>
      <c r="BV830" s="66"/>
      <c r="BW830" s="66"/>
    </row>
    <row r="831" spans="1:75" ht="15.75" customHeight="1">
      <c r="A831" s="65"/>
      <c r="B831" s="66"/>
      <c r="C831" s="66"/>
      <c r="D831" s="66"/>
      <c r="E831" s="66"/>
      <c r="F831" s="65"/>
      <c r="G831" s="65"/>
      <c r="H831" s="66"/>
      <c r="I831" s="66"/>
      <c r="J831" s="66"/>
      <c r="K831" s="66"/>
      <c r="L831" s="66"/>
      <c r="M831" s="66"/>
      <c r="N831" s="66"/>
      <c r="O831" s="66"/>
      <c r="P831" s="66"/>
      <c r="Q831" s="23"/>
      <c r="AB831" s="23"/>
      <c r="AC831" s="23"/>
      <c r="AD831" s="23"/>
      <c r="AE831" s="7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71"/>
      <c r="AV831" s="10"/>
      <c r="AW831" s="23"/>
      <c r="BB831" s="66"/>
      <c r="BC831" s="66"/>
      <c r="BD831" s="66"/>
      <c r="BE831" s="66"/>
      <c r="BF831" s="66"/>
      <c r="BG831" s="66"/>
      <c r="BH831" s="66"/>
      <c r="BI831" s="66"/>
      <c r="BJ831" s="66"/>
      <c r="BK831" s="66"/>
      <c r="BL831" s="66"/>
      <c r="BM831" s="66"/>
      <c r="BN831" s="66"/>
      <c r="BO831" s="66"/>
      <c r="BP831" s="66"/>
      <c r="BQ831" s="66"/>
      <c r="BR831" s="66"/>
      <c r="BS831" s="66"/>
      <c r="BT831" s="66"/>
      <c r="BU831" s="66"/>
      <c r="BV831" s="66"/>
      <c r="BW831" s="66"/>
    </row>
    <row r="832" spans="1:75" ht="15.75" customHeight="1">
      <c r="A832" s="65"/>
      <c r="B832" s="66"/>
      <c r="C832" s="66"/>
      <c r="D832" s="66"/>
      <c r="E832" s="66"/>
      <c r="F832" s="65"/>
      <c r="G832" s="65"/>
      <c r="H832" s="66"/>
      <c r="I832" s="66"/>
      <c r="J832" s="66"/>
      <c r="K832" s="66"/>
      <c r="L832" s="66"/>
      <c r="M832" s="66"/>
      <c r="N832" s="66"/>
      <c r="O832" s="66"/>
      <c r="P832" s="66"/>
      <c r="Q832" s="23"/>
      <c r="AB832" s="23"/>
      <c r="AC832" s="23"/>
      <c r="AD832" s="23"/>
      <c r="AE832" s="7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71"/>
      <c r="AV832" s="10"/>
      <c r="AW832" s="23"/>
      <c r="BB832" s="66"/>
      <c r="BC832" s="66"/>
      <c r="BD832" s="66"/>
      <c r="BE832" s="66"/>
      <c r="BF832" s="66"/>
      <c r="BG832" s="66"/>
      <c r="BH832" s="66"/>
      <c r="BI832" s="66"/>
      <c r="BJ832" s="66"/>
      <c r="BK832" s="66"/>
      <c r="BL832" s="66"/>
      <c r="BM832" s="66"/>
      <c r="BN832" s="66"/>
      <c r="BO832" s="66"/>
      <c r="BP832" s="66"/>
      <c r="BQ832" s="66"/>
      <c r="BR832" s="66"/>
      <c r="BS832" s="66"/>
      <c r="BT832" s="66"/>
      <c r="BU832" s="66"/>
      <c r="BV832" s="66"/>
      <c r="BW832" s="66"/>
    </row>
    <row r="833" spans="1:75" ht="15.75" customHeight="1">
      <c r="A833" s="65"/>
      <c r="B833" s="66"/>
      <c r="C833" s="66"/>
      <c r="D833" s="66"/>
      <c r="E833" s="66"/>
      <c r="F833" s="65"/>
      <c r="G833" s="65"/>
      <c r="H833" s="66"/>
      <c r="I833" s="66"/>
      <c r="J833" s="66"/>
      <c r="K833" s="66"/>
      <c r="L833" s="66"/>
      <c r="M833" s="66"/>
      <c r="N833" s="66"/>
      <c r="O833" s="66"/>
      <c r="P833" s="66"/>
      <c r="Q833" s="23"/>
      <c r="AB833" s="23"/>
      <c r="AC833" s="23"/>
      <c r="AD833" s="23"/>
      <c r="AE833" s="7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71"/>
      <c r="AV833" s="10"/>
      <c r="AW833" s="23"/>
      <c r="BB833" s="66"/>
      <c r="BC833" s="66"/>
      <c r="BD833" s="66"/>
      <c r="BE833" s="66"/>
      <c r="BF833" s="66"/>
      <c r="BG833" s="66"/>
      <c r="BH833" s="66"/>
      <c r="BI833" s="66"/>
      <c r="BJ833" s="66"/>
      <c r="BK833" s="66"/>
      <c r="BL833" s="66"/>
      <c r="BM833" s="66"/>
      <c r="BN833" s="66"/>
      <c r="BO833" s="66"/>
      <c r="BP833" s="66"/>
      <c r="BQ833" s="66"/>
      <c r="BR833" s="66"/>
      <c r="BS833" s="66"/>
      <c r="BT833" s="66"/>
      <c r="BU833" s="66"/>
      <c r="BV833" s="66"/>
      <c r="BW833" s="66"/>
    </row>
    <row r="834" spans="1:75" ht="15.75" customHeight="1">
      <c r="A834" s="65"/>
      <c r="B834" s="66"/>
      <c r="C834" s="66"/>
      <c r="D834" s="66"/>
      <c r="E834" s="66"/>
      <c r="F834" s="65"/>
      <c r="G834" s="65"/>
      <c r="H834" s="66"/>
      <c r="I834" s="66"/>
      <c r="J834" s="66"/>
      <c r="K834" s="66"/>
      <c r="L834" s="66"/>
      <c r="M834" s="66"/>
      <c r="N834" s="66"/>
      <c r="O834" s="66"/>
      <c r="P834" s="66"/>
      <c r="Q834" s="23"/>
      <c r="AB834" s="23"/>
      <c r="AC834" s="23"/>
      <c r="AD834" s="23"/>
      <c r="AE834" s="7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71"/>
      <c r="AV834" s="10"/>
      <c r="AW834" s="23"/>
      <c r="BB834" s="66"/>
      <c r="BC834" s="66"/>
      <c r="BD834" s="66"/>
      <c r="BE834" s="66"/>
      <c r="BF834" s="66"/>
      <c r="BG834" s="66"/>
      <c r="BH834" s="66"/>
      <c r="BI834" s="66"/>
      <c r="BJ834" s="66"/>
      <c r="BK834" s="66"/>
      <c r="BL834" s="66"/>
      <c r="BM834" s="66"/>
      <c r="BN834" s="66"/>
      <c r="BO834" s="66"/>
      <c r="BP834" s="66"/>
      <c r="BQ834" s="66"/>
      <c r="BR834" s="66"/>
      <c r="BS834" s="66"/>
      <c r="BT834" s="66"/>
      <c r="BU834" s="66"/>
      <c r="BV834" s="66"/>
      <c r="BW834" s="66"/>
    </row>
    <row r="835" spans="1:75" ht="15.75" customHeight="1">
      <c r="A835" s="65"/>
      <c r="B835" s="66"/>
      <c r="C835" s="66"/>
      <c r="D835" s="66"/>
      <c r="E835" s="66"/>
      <c r="F835" s="65"/>
      <c r="G835" s="65"/>
      <c r="H835" s="66"/>
      <c r="I835" s="66"/>
      <c r="J835" s="66"/>
      <c r="K835" s="66"/>
      <c r="L835" s="66"/>
      <c r="M835" s="66"/>
      <c r="N835" s="66"/>
      <c r="O835" s="66"/>
      <c r="P835" s="66"/>
      <c r="Q835" s="23"/>
      <c r="AB835" s="23"/>
      <c r="AC835" s="23"/>
      <c r="AD835" s="23"/>
      <c r="AE835" s="7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71"/>
      <c r="AV835" s="10"/>
      <c r="AW835" s="23"/>
      <c r="BB835" s="66"/>
      <c r="BC835" s="66"/>
      <c r="BD835" s="66"/>
      <c r="BE835" s="66"/>
      <c r="BF835" s="66"/>
      <c r="BG835" s="66"/>
      <c r="BH835" s="66"/>
      <c r="BI835" s="66"/>
      <c r="BJ835" s="66"/>
      <c r="BK835" s="66"/>
      <c r="BL835" s="66"/>
      <c r="BM835" s="66"/>
      <c r="BN835" s="66"/>
      <c r="BO835" s="66"/>
      <c r="BP835" s="66"/>
      <c r="BQ835" s="66"/>
      <c r="BR835" s="66"/>
      <c r="BS835" s="66"/>
      <c r="BT835" s="66"/>
      <c r="BU835" s="66"/>
      <c r="BV835" s="66"/>
      <c r="BW835" s="66"/>
    </row>
    <row r="836" spans="1:75" ht="15.75" customHeight="1">
      <c r="A836" s="65"/>
      <c r="B836" s="66"/>
      <c r="C836" s="66"/>
      <c r="D836" s="66"/>
      <c r="E836" s="66"/>
      <c r="F836" s="65"/>
      <c r="G836" s="65"/>
      <c r="H836" s="66"/>
      <c r="I836" s="66"/>
      <c r="J836" s="66"/>
      <c r="K836" s="66"/>
      <c r="L836" s="66"/>
      <c r="M836" s="66"/>
      <c r="N836" s="66"/>
      <c r="O836" s="66"/>
      <c r="P836" s="66"/>
      <c r="Q836" s="23"/>
      <c r="AB836" s="23"/>
      <c r="AC836" s="23"/>
      <c r="AD836" s="23"/>
      <c r="AE836" s="7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71"/>
      <c r="AV836" s="10"/>
      <c r="AW836" s="23"/>
      <c r="BB836" s="66"/>
      <c r="BC836" s="66"/>
      <c r="BD836" s="66"/>
      <c r="BE836" s="66"/>
      <c r="BF836" s="66"/>
      <c r="BG836" s="66"/>
      <c r="BH836" s="66"/>
      <c r="BI836" s="66"/>
      <c r="BJ836" s="66"/>
      <c r="BK836" s="66"/>
      <c r="BL836" s="66"/>
      <c r="BM836" s="66"/>
      <c r="BN836" s="66"/>
      <c r="BO836" s="66"/>
      <c r="BP836" s="66"/>
      <c r="BQ836" s="66"/>
      <c r="BR836" s="66"/>
      <c r="BS836" s="66"/>
      <c r="BT836" s="66"/>
      <c r="BU836" s="66"/>
      <c r="BV836" s="66"/>
      <c r="BW836" s="66"/>
    </row>
    <row r="837" spans="1:75" ht="15.75" customHeight="1">
      <c r="A837" s="65"/>
      <c r="B837" s="66"/>
      <c r="C837" s="66"/>
      <c r="D837" s="66"/>
      <c r="E837" s="66"/>
      <c r="F837" s="65"/>
      <c r="G837" s="65"/>
      <c r="H837" s="66"/>
      <c r="I837" s="66"/>
      <c r="J837" s="66"/>
      <c r="K837" s="66"/>
      <c r="L837" s="66"/>
      <c r="M837" s="66"/>
      <c r="N837" s="66"/>
      <c r="O837" s="66"/>
      <c r="P837" s="66"/>
      <c r="Q837" s="23"/>
      <c r="AB837" s="23"/>
      <c r="AC837" s="23"/>
      <c r="AD837" s="23"/>
      <c r="AE837" s="7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71"/>
      <c r="AV837" s="10"/>
      <c r="AW837" s="23"/>
      <c r="BB837" s="66"/>
      <c r="BC837" s="66"/>
      <c r="BD837" s="66"/>
      <c r="BE837" s="66"/>
      <c r="BF837" s="66"/>
      <c r="BG837" s="66"/>
      <c r="BH837" s="66"/>
      <c r="BI837" s="66"/>
      <c r="BJ837" s="66"/>
      <c r="BK837" s="66"/>
      <c r="BL837" s="66"/>
      <c r="BM837" s="66"/>
      <c r="BN837" s="66"/>
      <c r="BO837" s="66"/>
      <c r="BP837" s="66"/>
      <c r="BQ837" s="66"/>
      <c r="BR837" s="66"/>
      <c r="BS837" s="66"/>
      <c r="BT837" s="66"/>
      <c r="BU837" s="66"/>
      <c r="BV837" s="66"/>
      <c r="BW837" s="66"/>
    </row>
    <row r="838" spans="1:75" ht="15.75" customHeight="1">
      <c r="A838" s="65"/>
      <c r="B838" s="66"/>
      <c r="C838" s="66"/>
      <c r="D838" s="66"/>
      <c r="E838" s="66"/>
      <c r="F838" s="65"/>
      <c r="G838" s="65"/>
      <c r="H838" s="66"/>
      <c r="I838" s="66"/>
      <c r="J838" s="66"/>
      <c r="K838" s="66"/>
      <c r="L838" s="66"/>
      <c r="M838" s="66"/>
      <c r="N838" s="66"/>
      <c r="O838" s="66"/>
      <c r="P838" s="66"/>
      <c r="Q838" s="23"/>
      <c r="AB838" s="23"/>
      <c r="AC838" s="23"/>
      <c r="AD838" s="23"/>
      <c r="AE838" s="7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71"/>
      <c r="AV838" s="10"/>
      <c r="AW838" s="23"/>
      <c r="BB838" s="66"/>
      <c r="BC838" s="66"/>
      <c r="BD838" s="66"/>
      <c r="BE838" s="66"/>
      <c r="BF838" s="66"/>
      <c r="BG838" s="66"/>
      <c r="BH838" s="66"/>
      <c r="BI838" s="66"/>
      <c r="BJ838" s="66"/>
      <c r="BK838" s="66"/>
      <c r="BL838" s="66"/>
      <c r="BM838" s="66"/>
      <c r="BN838" s="66"/>
      <c r="BO838" s="66"/>
      <c r="BP838" s="66"/>
      <c r="BQ838" s="66"/>
      <c r="BR838" s="66"/>
      <c r="BS838" s="66"/>
      <c r="BT838" s="66"/>
      <c r="BU838" s="66"/>
      <c r="BV838" s="66"/>
      <c r="BW838" s="66"/>
    </row>
    <row r="839" spans="1:75" ht="15.75" customHeight="1">
      <c r="A839" s="65"/>
      <c r="B839" s="66"/>
      <c r="C839" s="66"/>
      <c r="D839" s="66"/>
      <c r="E839" s="66"/>
      <c r="F839" s="65"/>
      <c r="G839" s="65"/>
      <c r="H839" s="66"/>
      <c r="I839" s="66"/>
      <c r="J839" s="66"/>
      <c r="K839" s="66"/>
      <c r="L839" s="66"/>
      <c r="M839" s="66"/>
      <c r="N839" s="66"/>
      <c r="O839" s="66"/>
      <c r="P839" s="66"/>
      <c r="Q839" s="23"/>
      <c r="AB839" s="23"/>
      <c r="AC839" s="23"/>
      <c r="AD839" s="23"/>
      <c r="AE839" s="7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71"/>
      <c r="AV839" s="10"/>
      <c r="AW839" s="23"/>
      <c r="BB839" s="66"/>
      <c r="BC839" s="66"/>
      <c r="BD839" s="66"/>
      <c r="BE839" s="66"/>
      <c r="BF839" s="66"/>
      <c r="BG839" s="66"/>
      <c r="BH839" s="66"/>
      <c r="BI839" s="66"/>
      <c r="BJ839" s="66"/>
      <c r="BK839" s="66"/>
      <c r="BL839" s="66"/>
      <c r="BM839" s="66"/>
      <c r="BN839" s="66"/>
      <c r="BO839" s="66"/>
      <c r="BP839" s="66"/>
      <c r="BQ839" s="66"/>
      <c r="BR839" s="66"/>
      <c r="BS839" s="66"/>
      <c r="BT839" s="66"/>
      <c r="BU839" s="66"/>
      <c r="BV839" s="66"/>
      <c r="BW839" s="66"/>
    </row>
    <row r="840" spans="1:75" ht="15.75" customHeight="1">
      <c r="A840" s="65"/>
      <c r="B840" s="66"/>
      <c r="C840" s="66"/>
      <c r="D840" s="66"/>
      <c r="E840" s="66"/>
      <c r="F840" s="65"/>
      <c r="G840" s="65"/>
      <c r="H840" s="66"/>
      <c r="I840" s="66"/>
      <c r="J840" s="66"/>
      <c r="K840" s="66"/>
      <c r="L840" s="66"/>
      <c r="M840" s="66"/>
      <c r="N840" s="66"/>
      <c r="O840" s="66"/>
      <c r="P840" s="66"/>
      <c r="Q840" s="23"/>
      <c r="AB840" s="23"/>
      <c r="AC840" s="23"/>
      <c r="AD840" s="23"/>
      <c r="AE840" s="7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71"/>
      <c r="AV840" s="10"/>
      <c r="AW840" s="23"/>
      <c r="BB840" s="66"/>
      <c r="BC840" s="66"/>
      <c r="BD840" s="66"/>
      <c r="BE840" s="66"/>
      <c r="BF840" s="66"/>
      <c r="BG840" s="66"/>
      <c r="BH840" s="66"/>
      <c r="BI840" s="66"/>
      <c r="BJ840" s="66"/>
      <c r="BK840" s="66"/>
      <c r="BL840" s="66"/>
      <c r="BM840" s="66"/>
      <c r="BN840" s="66"/>
      <c r="BO840" s="66"/>
      <c r="BP840" s="66"/>
      <c r="BQ840" s="66"/>
      <c r="BR840" s="66"/>
      <c r="BS840" s="66"/>
      <c r="BT840" s="66"/>
      <c r="BU840" s="66"/>
      <c r="BV840" s="66"/>
      <c r="BW840" s="66"/>
    </row>
    <row r="841" spans="1:75" ht="15.75" customHeight="1">
      <c r="A841" s="65"/>
      <c r="B841" s="66"/>
      <c r="C841" s="66"/>
      <c r="D841" s="66"/>
      <c r="E841" s="66"/>
      <c r="F841" s="65"/>
      <c r="G841" s="65"/>
      <c r="H841" s="66"/>
      <c r="I841" s="66"/>
      <c r="J841" s="66"/>
      <c r="K841" s="66"/>
      <c r="L841" s="66"/>
      <c r="M841" s="66"/>
      <c r="N841" s="66"/>
      <c r="O841" s="66"/>
      <c r="P841" s="66"/>
      <c r="Q841" s="23"/>
      <c r="AB841" s="23"/>
      <c r="AC841" s="23"/>
      <c r="AD841" s="23"/>
      <c r="AE841" s="7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71"/>
      <c r="AV841" s="10"/>
      <c r="AW841" s="23"/>
      <c r="BB841" s="66"/>
      <c r="BC841" s="66"/>
      <c r="BD841" s="66"/>
      <c r="BE841" s="66"/>
      <c r="BF841" s="66"/>
      <c r="BG841" s="66"/>
      <c r="BH841" s="66"/>
      <c r="BI841" s="66"/>
      <c r="BJ841" s="66"/>
      <c r="BK841" s="66"/>
      <c r="BL841" s="66"/>
      <c r="BM841" s="66"/>
      <c r="BN841" s="66"/>
      <c r="BO841" s="66"/>
      <c r="BP841" s="66"/>
      <c r="BQ841" s="66"/>
      <c r="BR841" s="66"/>
      <c r="BS841" s="66"/>
      <c r="BT841" s="66"/>
      <c r="BU841" s="66"/>
      <c r="BV841" s="66"/>
      <c r="BW841" s="66"/>
    </row>
    <row r="842" spans="1:75" ht="15.75" customHeight="1">
      <c r="A842" s="65"/>
      <c r="B842" s="66"/>
      <c r="C842" s="66"/>
      <c r="D842" s="66"/>
      <c r="E842" s="66"/>
      <c r="F842" s="65"/>
      <c r="G842" s="65"/>
      <c r="H842" s="66"/>
      <c r="I842" s="66"/>
      <c r="J842" s="66"/>
      <c r="K842" s="66"/>
      <c r="L842" s="66"/>
      <c r="M842" s="66"/>
      <c r="N842" s="66"/>
      <c r="O842" s="66"/>
      <c r="P842" s="66"/>
      <c r="Q842" s="23"/>
      <c r="AB842" s="23"/>
      <c r="AC842" s="23"/>
      <c r="AD842" s="23"/>
      <c r="AE842" s="7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71"/>
      <c r="AV842" s="10"/>
      <c r="AW842" s="23"/>
      <c r="BB842" s="66"/>
      <c r="BC842" s="66"/>
      <c r="BD842" s="66"/>
      <c r="BE842" s="66"/>
      <c r="BF842" s="66"/>
      <c r="BG842" s="66"/>
      <c r="BH842" s="66"/>
      <c r="BI842" s="66"/>
      <c r="BJ842" s="66"/>
      <c r="BK842" s="66"/>
      <c r="BL842" s="66"/>
      <c r="BM842" s="66"/>
      <c r="BN842" s="66"/>
      <c r="BO842" s="66"/>
      <c r="BP842" s="66"/>
      <c r="BQ842" s="66"/>
      <c r="BR842" s="66"/>
      <c r="BS842" s="66"/>
      <c r="BT842" s="66"/>
      <c r="BU842" s="66"/>
      <c r="BV842" s="66"/>
      <c r="BW842" s="66"/>
    </row>
    <row r="843" spans="1:75" ht="15.75" customHeight="1">
      <c r="A843" s="65"/>
      <c r="B843" s="66"/>
      <c r="C843" s="66"/>
      <c r="D843" s="66"/>
      <c r="E843" s="66"/>
      <c r="F843" s="65"/>
      <c r="G843" s="65"/>
      <c r="H843" s="66"/>
      <c r="I843" s="66"/>
      <c r="J843" s="66"/>
      <c r="K843" s="66"/>
      <c r="L843" s="66"/>
      <c r="M843" s="66"/>
      <c r="N843" s="66"/>
      <c r="O843" s="66"/>
      <c r="P843" s="66"/>
      <c r="Q843" s="23"/>
      <c r="AB843" s="23"/>
      <c r="AC843" s="23"/>
      <c r="AD843" s="23"/>
      <c r="AE843" s="7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71"/>
      <c r="AV843" s="10"/>
      <c r="AW843" s="23"/>
      <c r="BB843" s="66"/>
      <c r="BC843" s="66"/>
      <c r="BD843" s="66"/>
      <c r="BE843" s="66"/>
      <c r="BF843" s="66"/>
      <c r="BG843" s="66"/>
      <c r="BH843" s="66"/>
      <c r="BI843" s="66"/>
      <c r="BJ843" s="66"/>
      <c r="BK843" s="66"/>
      <c r="BL843" s="66"/>
      <c r="BM843" s="66"/>
      <c r="BN843" s="66"/>
      <c r="BO843" s="66"/>
      <c r="BP843" s="66"/>
      <c r="BQ843" s="66"/>
      <c r="BR843" s="66"/>
      <c r="BS843" s="66"/>
      <c r="BT843" s="66"/>
      <c r="BU843" s="66"/>
      <c r="BV843" s="66"/>
      <c r="BW843" s="66"/>
    </row>
    <row r="844" spans="1:75" ht="15.75" customHeight="1">
      <c r="A844" s="65"/>
      <c r="B844" s="66"/>
      <c r="C844" s="66"/>
      <c r="D844" s="66"/>
      <c r="E844" s="66"/>
      <c r="F844" s="65"/>
      <c r="G844" s="65"/>
      <c r="H844" s="66"/>
      <c r="I844" s="66"/>
      <c r="J844" s="66"/>
      <c r="K844" s="66"/>
      <c r="L844" s="66"/>
      <c r="M844" s="66"/>
      <c r="N844" s="66"/>
      <c r="O844" s="66"/>
      <c r="P844" s="66"/>
      <c r="Q844" s="23"/>
      <c r="AB844" s="23"/>
      <c r="AC844" s="23"/>
      <c r="AD844" s="23"/>
      <c r="AE844" s="7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71"/>
      <c r="AV844" s="10"/>
      <c r="AW844" s="23"/>
      <c r="BB844" s="66"/>
      <c r="BC844" s="66"/>
      <c r="BD844" s="66"/>
      <c r="BE844" s="66"/>
      <c r="BF844" s="66"/>
      <c r="BG844" s="66"/>
      <c r="BH844" s="66"/>
      <c r="BI844" s="66"/>
      <c r="BJ844" s="66"/>
      <c r="BK844" s="66"/>
      <c r="BL844" s="66"/>
      <c r="BM844" s="66"/>
      <c r="BN844" s="66"/>
      <c r="BO844" s="66"/>
      <c r="BP844" s="66"/>
      <c r="BQ844" s="66"/>
      <c r="BR844" s="66"/>
      <c r="BS844" s="66"/>
      <c r="BT844" s="66"/>
      <c r="BU844" s="66"/>
      <c r="BV844" s="66"/>
      <c r="BW844" s="66"/>
    </row>
    <row r="845" spans="1:75" ht="15.75" customHeight="1">
      <c r="A845" s="65"/>
      <c r="B845" s="66"/>
      <c r="C845" s="66"/>
      <c r="D845" s="66"/>
      <c r="E845" s="66"/>
      <c r="F845" s="65"/>
      <c r="G845" s="65"/>
      <c r="H845" s="66"/>
      <c r="I845" s="66"/>
      <c r="J845" s="66"/>
      <c r="K845" s="66"/>
      <c r="L845" s="66"/>
      <c r="M845" s="66"/>
      <c r="N845" s="66"/>
      <c r="O845" s="66"/>
      <c r="P845" s="66"/>
      <c r="Q845" s="23"/>
      <c r="AB845" s="23"/>
      <c r="AC845" s="23"/>
      <c r="AD845" s="23"/>
      <c r="AE845" s="7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71"/>
      <c r="AV845" s="10"/>
      <c r="AW845" s="23"/>
      <c r="BB845" s="66"/>
      <c r="BC845" s="66"/>
      <c r="BD845" s="66"/>
      <c r="BE845" s="66"/>
      <c r="BF845" s="66"/>
      <c r="BG845" s="66"/>
      <c r="BH845" s="66"/>
      <c r="BI845" s="66"/>
      <c r="BJ845" s="66"/>
      <c r="BK845" s="66"/>
      <c r="BL845" s="66"/>
      <c r="BM845" s="66"/>
      <c r="BN845" s="66"/>
      <c r="BO845" s="66"/>
      <c r="BP845" s="66"/>
      <c r="BQ845" s="66"/>
      <c r="BR845" s="66"/>
      <c r="BS845" s="66"/>
      <c r="BT845" s="66"/>
      <c r="BU845" s="66"/>
      <c r="BV845" s="66"/>
      <c r="BW845" s="66"/>
    </row>
    <row r="846" spans="1:75" ht="15.75" customHeight="1">
      <c r="A846" s="65"/>
      <c r="B846" s="66"/>
      <c r="C846" s="66"/>
      <c r="D846" s="66"/>
      <c r="E846" s="66"/>
      <c r="F846" s="65"/>
      <c r="G846" s="65"/>
      <c r="H846" s="66"/>
      <c r="I846" s="66"/>
      <c r="J846" s="66"/>
      <c r="K846" s="66"/>
      <c r="L846" s="66"/>
      <c r="M846" s="66"/>
      <c r="N846" s="66"/>
      <c r="O846" s="66"/>
      <c r="P846" s="66"/>
      <c r="Q846" s="23"/>
      <c r="AB846" s="23"/>
      <c r="AC846" s="23"/>
      <c r="AD846" s="23"/>
      <c r="AE846" s="7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71"/>
      <c r="AV846" s="10"/>
      <c r="AW846" s="23"/>
      <c r="BB846" s="66"/>
      <c r="BC846" s="66"/>
      <c r="BD846" s="66"/>
      <c r="BE846" s="66"/>
      <c r="BF846" s="66"/>
      <c r="BG846" s="66"/>
      <c r="BH846" s="66"/>
      <c r="BI846" s="66"/>
      <c r="BJ846" s="66"/>
      <c r="BK846" s="66"/>
      <c r="BL846" s="66"/>
      <c r="BM846" s="66"/>
      <c r="BN846" s="66"/>
      <c r="BO846" s="66"/>
      <c r="BP846" s="66"/>
      <c r="BQ846" s="66"/>
      <c r="BR846" s="66"/>
      <c r="BS846" s="66"/>
      <c r="BT846" s="66"/>
      <c r="BU846" s="66"/>
      <c r="BV846" s="66"/>
      <c r="BW846" s="66"/>
    </row>
    <row r="847" spans="1:75" ht="15.75" customHeight="1">
      <c r="A847" s="65"/>
      <c r="B847" s="66"/>
      <c r="C847" s="66"/>
      <c r="D847" s="66"/>
      <c r="E847" s="66"/>
      <c r="F847" s="65"/>
      <c r="G847" s="65"/>
      <c r="H847" s="66"/>
      <c r="I847" s="66"/>
      <c r="J847" s="66"/>
      <c r="K847" s="66"/>
      <c r="L847" s="66"/>
      <c r="M847" s="66"/>
      <c r="N847" s="66"/>
      <c r="O847" s="66"/>
      <c r="P847" s="66"/>
      <c r="Q847" s="23"/>
      <c r="AB847" s="23"/>
      <c r="AC847" s="23"/>
      <c r="AD847" s="23"/>
      <c r="AE847" s="7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71"/>
      <c r="AV847" s="10"/>
      <c r="AW847" s="23"/>
      <c r="BB847" s="66"/>
      <c r="BC847" s="66"/>
      <c r="BD847" s="66"/>
      <c r="BE847" s="66"/>
      <c r="BF847" s="66"/>
      <c r="BG847" s="66"/>
      <c r="BH847" s="66"/>
      <c r="BI847" s="66"/>
      <c r="BJ847" s="66"/>
      <c r="BK847" s="66"/>
      <c r="BL847" s="66"/>
      <c r="BM847" s="66"/>
      <c r="BN847" s="66"/>
      <c r="BO847" s="66"/>
      <c r="BP847" s="66"/>
      <c r="BQ847" s="66"/>
      <c r="BR847" s="66"/>
      <c r="BS847" s="66"/>
      <c r="BT847" s="66"/>
      <c r="BU847" s="66"/>
      <c r="BV847" s="66"/>
      <c r="BW847" s="66"/>
    </row>
    <row r="848" spans="1:75" ht="15.75" customHeight="1">
      <c r="A848" s="65"/>
      <c r="B848" s="66"/>
      <c r="C848" s="66"/>
      <c r="D848" s="66"/>
      <c r="E848" s="66"/>
      <c r="F848" s="65"/>
      <c r="G848" s="65"/>
      <c r="H848" s="66"/>
      <c r="I848" s="66"/>
      <c r="J848" s="66"/>
      <c r="K848" s="66"/>
      <c r="L848" s="66"/>
      <c r="M848" s="66"/>
      <c r="N848" s="66"/>
      <c r="O848" s="66"/>
      <c r="P848" s="66"/>
      <c r="Q848" s="23"/>
      <c r="AB848" s="23"/>
      <c r="AC848" s="23"/>
      <c r="AD848" s="23"/>
      <c r="AE848" s="7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71"/>
      <c r="AV848" s="10"/>
      <c r="AW848" s="23"/>
      <c r="BB848" s="66"/>
      <c r="BC848" s="66"/>
      <c r="BD848" s="66"/>
      <c r="BE848" s="66"/>
      <c r="BF848" s="66"/>
      <c r="BG848" s="66"/>
      <c r="BH848" s="66"/>
      <c r="BI848" s="66"/>
      <c r="BJ848" s="66"/>
      <c r="BK848" s="66"/>
      <c r="BL848" s="66"/>
      <c r="BM848" s="66"/>
      <c r="BN848" s="66"/>
      <c r="BO848" s="66"/>
      <c r="BP848" s="66"/>
      <c r="BQ848" s="66"/>
      <c r="BR848" s="66"/>
      <c r="BS848" s="66"/>
      <c r="BT848" s="66"/>
      <c r="BU848" s="66"/>
      <c r="BV848" s="66"/>
      <c r="BW848" s="66"/>
    </row>
    <row r="849" spans="1:75" ht="15.75" customHeight="1">
      <c r="A849" s="65"/>
      <c r="B849" s="66"/>
      <c r="C849" s="66"/>
      <c r="D849" s="66"/>
      <c r="E849" s="66"/>
      <c r="F849" s="65"/>
      <c r="G849" s="65"/>
      <c r="H849" s="66"/>
      <c r="I849" s="66"/>
      <c r="J849" s="66"/>
      <c r="K849" s="66"/>
      <c r="L849" s="66"/>
      <c r="M849" s="66"/>
      <c r="N849" s="66"/>
      <c r="O849" s="66"/>
      <c r="P849" s="66"/>
      <c r="Q849" s="23"/>
      <c r="AB849" s="23"/>
      <c r="AC849" s="23"/>
      <c r="AD849" s="23"/>
      <c r="AE849" s="7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71"/>
      <c r="AV849" s="10"/>
      <c r="AW849" s="23"/>
      <c r="BB849" s="66"/>
      <c r="BC849" s="66"/>
      <c r="BD849" s="66"/>
      <c r="BE849" s="66"/>
      <c r="BF849" s="66"/>
      <c r="BG849" s="66"/>
      <c r="BH849" s="66"/>
      <c r="BI849" s="66"/>
      <c r="BJ849" s="66"/>
      <c r="BK849" s="66"/>
      <c r="BL849" s="66"/>
      <c r="BM849" s="66"/>
      <c r="BN849" s="66"/>
      <c r="BO849" s="66"/>
      <c r="BP849" s="66"/>
      <c r="BQ849" s="66"/>
      <c r="BR849" s="66"/>
      <c r="BS849" s="66"/>
      <c r="BT849" s="66"/>
      <c r="BU849" s="66"/>
      <c r="BV849" s="66"/>
      <c r="BW849" s="66"/>
    </row>
    <row r="850" spans="1:75" ht="15.75" customHeight="1">
      <c r="A850" s="65"/>
      <c r="B850" s="66"/>
      <c r="C850" s="66"/>
      <c r="D850" s="66"/>
      <c r="E850" s="66"/>
      <c r="F850" s="65"/>
      <c r="G850" s="65"/>
      <c r="H850" s="66"/>
      <c r="I850" s="66"/>
      <c r="J850" s="66"/>
      <c r="K850" s="66"/>
      <c r="L850" s="66"/>
      <c r="M850" s="66"/>
      <c r="N850" s="66"/>
      <c r="O850" s="66"/>
      <c r="P850" s="66"/>
      <c r="Q850" s="23"/>
      <c r="AB850" s="23"/>
      <c r="AC850" s="23"/>
      <c r="AD850" s="23"/>
      <c r="AE850" s="7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71"/>
      <c r="AV850" s="10"/>
      <c r="AW850" s="23"/>
      <c r="BB850" s="66"/>
      <c r="BC850" s="66"/>
      <c r="BD850" s="66"/>
      <c r="BE850" s="66"/>
      <c r="BF850" s="66"/>
      <c r="BG850" s="66"/>
      <c r="BH850" s="66"/>
      <c r="BI850" s="66"/>
      <c r="BJ850" s="66"/>
      <c r="BK850" s="66"/>
      <c r="BL850" s="66"/>
      <c r="BM850" s="66"/>
      <c r="BN850" s="66"/>
      <c r="BO850" s="66"/>
      <c r="BP850" s="66"/>
      <c r="BQ850" s="66"/>
      <c r="BR850" s="66"/>
      <c r="BS850" s="66"/>
      <c r="BT850" s="66"/>
      <c r="BU850" s="66"/>
      <c r="BV850" s="66"/>
      <c r="BW850" s="66"/>
    </row>
    <row r="851" spans="1:75" ht="15.75" customHeight="1">
      <c r="A851" s="65"/>
      <c r="B851" s="66"/>
      <c r="C851" s="66"/>
      <c r="D851" s="66"/>
      <c r="E851" s="66"/>
      <c r="F851" s="65"/>
      <c r="G851" s="65"/>
      <c r="H851" s="66"/>
      <c r="I851" s="66"/>
      <c r="J851" s="66"/>
      <c r="K851" s="66"/>
      <c r="L851" s="66"/>
      <c r="M851" s="66"/>
      <c r="N851" s="66"/>
      <c r="O851" s="66"/>
      <c r="P851" s="66"/>
      <c r="Q851" s="23"/>
      <c r="AB851" s="23"/>
      <c r="AC851" s="23"/>
      <c r="AD851" s="23"/>
      <c r="AE851" s="7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71"/>
      <c r="AV851" s="10"/>
      <c r="AW851" s="23"/>
      <c r="BB851" s="66"/>
      <c r="BC851" s="66"/>
      <c r="BD851" s="66"/>
      <c r="BE851" s="66"/>
      <c r="BF851" s="66"/>
      <c r="BG851" s="66"/>
      <c r="BH851" s="66"/>
      <c r="BI851" s="66"/>
      <c r="BJ851" s="66"/>
      <c r="BK851" s="66"/>
      <c r="BL851" s="66"/>
      <c r="BM851" s="66"/>
      <c r="BN851" s="66"/>
      <c r="BO851" s="66"/>
      <c r="BP851" s="66"/>
      <c r="BQ851" s="66"/>
      <c r="BR851" s="66"/>
      <c r="BS851" s="66"/>
      <c r="BT851" s="66"/>
      <c r="BU851" s="66"/>
      <c r="BV851" s="66"/>
      <c r="BW851" s="66"/>
    </row>
    <row r="852" spans="1:75" ht="15.75" customHeight="1">
      <c r="A852" s="65"/>
      <c r="B852" s="66"/>
      <c r="C852" s="66"/>
      <c r="D852" s="66"/>
      <c r="E852" s="66"/>
      <c r="F852" s="65"/>
      <c r="G852" s="65"/>
      <c r="H852" s="66"/>
      <c r="I852" s="66"/>
      <c r="J852" s="66"/>
      <c r="K852" s="66"/>
      <c r="L852" s="66"/>
      <c r="M852" s="66"/>
      <c r="N852" s="66"/>
      <c r="O852" s="66"/>
      <c r="P852" s="66"/>
      <c r="Q852" s="23"/>
      <c r="AB852" s="23"/>
      <c r="AC852" s="23"/>
      <c r="AD852" s="23"/>
      <c r="AE852" s="7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71"/>
      <c r="AV852" s="10"/>
      <c r="AW852" s="23"/>
      <c r="BB852" s="66"/>
      <c r="BC852" s="66"/>
      <c r="BD852" s="66"/>
      <c r="BE852" s="66"/>
      <c r="BF852" s="66"/>
      <c r="BG852" s="66"/>
      <c r="BH852" s="66"/>
      <c r="BI852" s="66"/>
      <c r="BJ852" s="66"/>
      <c r="BK852" s="66"/>
      <c r="BL852" s="66"/>
      <c r="BM852" s="66"/>
      <c r="BN852" s="66"/>
      <c r="BO852" s="66"/>
      <c r="BP852" s="66"/>
      <c r="BQ852" s="66"/>
      <c r="BR852" s="66"/>
      <c r="BS852" s="66"/>
      <c r="BT852" s="66"/>
      <c r="BU852" s="66"/>
      <c r="BV852" s="66"/>
      <c r="BW852" s="66"/>
    </row>
    <row r="853" spans="1:75" ht="15.75" customHeight="1">
      <c r="A853" s="65"/>
      <c r="B853" s="66"/>
      <c r="C853" s="66"/>
      <c r="D853" s="66"/>
      <c r="E853" s="66"/>
      <c r="F853" s="65"/>
      <c r="G853" s="65"/>
      <c r="H853" s="66"/>
      <c r="I853" s="66"/>
      <c r="J853" s="66"/>
      <c r="K853" s="66"/>
      <c r="L853" s="66"/>
      <c r="M853" s="66"/>
      <c r="N853" s="66"/>
      <c r="O853" s="66"/>
      <c r="P853" s="66"/>
      <c r="Q853" s="23"/>
      <c r="AB853" s="23"/>
      <c r="AC853" s="23"/>
      <c r="AD853" s="23"/>
      <c r="AE853" s="7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71"/>
      <c r="AV853" s="10"/>
      <c r="AW853" s="23"/>
      <c r="BB853" s="66"/>
      <c r="BC853" s="66"/>
      <c r="BD853" s="66"/>
      <c r="BE853" s="66"/>
      <c r="BF853" s="66"/>
      <c r="BG853" s="66"/>
      <c r="BH853" s="66"/>
      <c r="BI853" s="66"/>
      <c r="BJ853" s="66"/>
      <c r="BK853" s="66"/>
      <c r="BL853" s="66"/>
      <c r="BM853" s="66"/>
      <c r="BN853" s="66"/>
      <c r="BO853" s="66"/>
      <c r="BP853" s="66"/>
      <c r="BQ853" s="66"/>
      <c r="BR853" s="66"/>
      <c r="BS853" s="66"/>
      <c r="BT853" s="66"/>
      <c r="BU853" s="66"/>
      <c r="BV853" s="66"/>
      <c r="BW853" s="66"/>
    </row>
    <row r="854" spans="1:75" ht="15.75" customHeight="1">
      <c r="A854" s="65"/>
      <c r="B854" s="66"/>
      <c r="C854" s="66"/>
      <c r="D854" s="66"/>
      <c r="E854" s="66"/>
      <c r="F854" s="65"/>
      <c r="G854" s="65"/>
      <c r="H854" s="66"/>
      <c r="I854" s="66"/>
      <c r="J854" s="66"/>
      <c r="K854" s="66"/>
      <c r="L854" s="66"/>
      <c r="M854" s="66"/>
      <c r="N854" s="66"/>
      <c r="O854" s="66"/>
      <c r="P854" s="66"/>
      <c r="Q854" s="23"/>
      <c r="AB854" s="23"/>
      <c r="AC854" s="23"/>
      <c r="AD854" s="23"/>
      <c r="AE854" s="7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71"/>
      <c r="AV854" s="10"/>
      <c r="AW854" s="23"/>
      <c r="BB854" s="66"/>
      <c r="BC854" s="66"/>
      <c r="BD854" s="66"/>
      <c r="BE854" s="66"/>
      <c r="BF854" s="66"/>
      <c r="BG854" s="66"/>
      <c r="BH854" s="66"/>
      <c r="BI854" s="66"/>
      <c r="BJ854" s="66"/>
      <c r="BK854" s="66"/>
      <c r="BL854" s="66"/>
      <c r="BM854" s="66"/>
      <c r="BN854" s="66"/>
      <c r="BO854" s="66"/>
      <c r="BP854" s="66"/>
      <c r="BQ854" s="66"/>
      <c r="BR854" s="66"/>
      <c r="BS854" s="66"/>
      <c r="BT854" s="66"/>
      <c r="BU854" s="66"/>
      <c r="BV854" s="66"/>
      <c r="BW854" s="66"/>
    </row>
    <row r="855" spans="1:75" ht="15.75" customHeight="1">
      <c r="A855" s="65"/>
      <c r="B855" s="66"/>
      <c r="C855" s="66"/>
      <c r="D855" s="66"/>
      <c r="E855" s="66"/>
      <c r="F855" s="65"/>
      <c r="G855" s="65"/>
      <c r="H855" s="66"/>
      <c r="I855" s="66"/>
      <c r="J855" s="66"/>
      <c r="K855" s="66"/>
      <c r="L855" s="66"/>
      <c r="M855" s="66"/>
      <c r="N855" s="66"/>
      <c r="O855" s="66"/>
      <c r="P855" s="66"/>
      <c r="Q855" s="23"/>
      <c r="AB855" s="23"/>
      <c r="AC855" s="23"/>
      <c r="AD855" s="23"/>
      <c r="AE855" s="7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71"/>
      <c r="AV855" s="10"/>
      <c r="AW855" s="23"/>
      <c r="BB855" s="66"/>
      <c r="BC855" s="66"/>
      <c r="BD855" s="66"/>
      <c r="BE855" s="66"/>
      <c r="BF855" s="66"/>
      <c r="BG855" s="66"/>
      <c r="BH855" s="66"/>
      <c r="BI855" s="66"/>
      <c r="BJ855" s="66"/>
      <c r="BK855" s="66"/>
      <c r="BL855" s="66"/>
      <c r="BM855" s="66"/>
      <c r="BN855" s="66"/>
      <c r="BO855" s="66"/>
      <c r="BP855" s="66"/>
      <c r="BQ855" s="66"/>
      <c r="BR855" s="66"/>
      <c r="BS855" s="66"/>
      <c r="BT855" s="66"/>
      <c r="BU855" s="66"/>
      <c r="BV855" s="66"/>
      <c r="BW855" s="66"/>
    </row>
    <row r="856" spans="1:75" ht="15.75" customHeight="1">
      <c r="A856" s="65"/>
      <c r="B856" s="66"/>
      <c r="C856" s="66"/>
      <c r="D856" s="66"/>
      <c r="E856" s="66"/>
      <c r="F856" s="65"/>
      <c r="G856" s="65"/>
      <c r="H856" s="66"/>
      <c r="I856" s="66"/>
      <c r="J856" s="66"/>
      <c r="K856" s="66"/>
      <c r="L856" s="66"/>
      <c r="M856" s="66"/>
      <c r="N856" s="66"/>
      <c r="O856" s="66"/>
      <c r="P856" s="66"/>
      <c r="Q856" s="23"/>
      <c r="AB856" s="23"/>
      <c r="AC856" s="23"/>
      <c r="AD856" s="23"/>
      <c r="AE856" s="7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71"/>
      <c r="AV856" s="10"/>
      <c r="AW856" s="23"/>
      <c r="BB856" s="66"/>
      <c r="BC856" s="66"/>
      <c r="BD856" s="66"/>
      <c r="BE856" s="66"/>
      <c r="BF856" s="66"/>
      <c r="BG856" s="66"/>
      <c r="BH856" s="66"/>
      <c r="BI856" s="66"/>
      <c r="BJ856" s="66"/>
      <c r="BK856" s="66"/>
      <c r="BL856" s="66"/>
      <c r="BM856" s="66"/>
      <c r="BN856" s="66"/>
      <c r="BO856" s="66"/>
      <c r="BP856" s="66"/>
      <c r="BQ856" s="66"/>
      <c r="BR856" s="66"/>
      <c r="BS856" s="66"/>
      <c r="BT856" s="66"/>
      <c r="BU856" s="66"/>
      <c r="BV856" s="66"/>
      <c r="BW856" s="66"/>
    </row>
    <row r="857" spans="1:75" ht="15.75" customHeight="1">
      <c r="A857" s="65"/>
      <c r="B857" s="66"/>
      <c r="C857" s="66"/>
      <c r="D857" s="66"/>
      <c r="E857" s="66"/>
      <c r="F857" s="65"/>
      <c r="G857" s="65"/>
      <c r="H857" s="66"/>
      <c r="I857" s="66"/>
      <c r="J857" s="66"/>
      <c r="K857" s="66"/>
      <c r="L857" s="66"/>
      <c r="M857" s="66"/>
      <c r="N857" s="66"/>
      <c r="O857" s="66"/>
      <c r="P857" s="66"/>
      <c r="Q857" s="23"/>
      <c r="AB857" s="23"/>
      <c r="AC857" s="23"/>
      <c r="AD857" s="23"/>
      <c r="AE857" s="7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71"/>
      <c r="AV857" s="10"/>
      <c r="AW857" s="23"/>
      <c r="BB857" s="66"/>
      <c r="BC857" s="66"/>
      <c r="BD857" s="66"/>
      <c r="BE857" s="66"/>
      <c r="BF857" s="66"/>
      <c r="BG857" s="66"/>
      <c r="BH857" s="66"/>
      <c r="BI857" s="66"/>
      <c r="BJ857" s="66"/>
      <c r="BK857" s="66"/>
      <c r="BL857" s="66"/>
      <c r="BM857" s="66"/>
      <c r="BN857" s="66"/>
      <c r="BO857" s="66"/>
      <c r="BP857" s="66"/>
      <c r="BQ857" s="66"/>
      <c r="BR857" s="66"/>
      <c r="BS857" s="66"/>
      <c r="BT857" s="66"/>
      <c r="BU857" s="66"/>
      <c r="BV857" s="66"/>
      <c r="BW857" s="66"/>
    </row>
    <row r="858" spans="1:75" ht="15.75" customHeight="1">
      <c r="A858" s="65"/>
      <c r="B858" s="66"/>
      <c r="C858" s="66"/>
      <c r="D858" s="66"/>
      <c r="E858" s="66"/>
      <c r="F858" s="65"/>
      <c r="G858" s="65"/>
      <c r="H858" s="66"/>
      <c r="I858" s="66"/>
      <c r="J858" s="66"/>
      <c r="K858" s="66"/>
      <c r="L858" s="66"/>
      <c r="M858" s="66"/>
      <c r="N858" s="66"/>
      <c r="O858" s="66"/>
      <c r="P858" s="66"/>
      <c r="Q858" s="23"/>
      <c r="AB858" s="23"/>
      <c r="AC858" s="23"/>
      <c r="AD858" s="23"/>
      <c r="AE858" s="7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71"/>
      <c r="AV858" s="10"/>
      <c r="AW858" s="23"/>
      <c r="BB858" s="66"/>
      <c r="BC858" s="66"/>
      <c r="BD858" s="66"/>
      <c r="BE858" s="66"/>
      <c r="BF858" s="66"/>
      <c r="BG858" s="66"/>
      <c r="BH858" s="66"/>
      <c r="BI858" s="66"/>
      <c r="BJ858" s="66"/>
      <c r="BK858" s="66"/>
      <c r="BL858" s="66"/>
      <c r="BM858" s="66"/>
      <c r="BN858" s="66"/>
      <c r="BO858" s="66"/>
      <c r="BP858" s="66"/>
      <c r="BQ858" s="66"/>
      <c r="BR858" s="66"/>
      <c r="BS858" s="66"/>
      <c r="BT858" s="66"/>
      <c r="BU858" s="66"/>
      <c r="BV858" s="66"/>
      <c r="BW858" s="66"/>
    </row>
    <row r="859" spans="1:75" ht="15.75" customHeight="1">
      <c r="A859" s="65"/>
      <c r="B859" s="66"/>
      <c r="C859" s="66"/>
      <c r="D859" s="66"/>
      <c r="E859" s="66"/>
      <c r="F859" s="65"/>
      <c r="G859" s="65"/>
      <c r="H859" s="66"/>
      <c r="I859" s="66"/>
      <c r="J859" s="66"/>
      <c r="K859" s="66"/>
      <c r="L859" s="66"/>
      <c r="M859" s="66"/>
      <c r="N859" s="66"/>
      <c r="O859" s="66"/>
      <c r="P859" s="66"/>
      <c r="Q859" s="23"/>
      <c r="AB859" s="23"/>
      <c r="AC859" s="23"/>
      <c r="AD859" s="23"/>
      <c r="AE859" s="7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71"/>
      <c r="AV859" s="10"/>
      <c r="AW859" s="23"/>
      <c r="BB859" s="66"/>
      <c r="BC859" s="66"/>
      <c r="BD859" s="66"/>
      <c r="BE859" s="66"/>
      <c r="BF859" s="66"/>
      <c r="BG859" s="66"/>
      <c r="BH859" s="66"/>
      <c r="BI859" s="66"/>
      <c r="BJ859" s="66"/>
      <c r="BK859" s="66"/>
      <c r="BL859" s="66"/>
      <c r="BM859" s="66"/>
      <c r="BN859" s="66"/>
      <c r="BO859" s="66"/>
      <c r="BP859" s="66"/>
      <c r="BQ859" s="66"/>
      <c r="BR859" s="66"/>
      <c r="BS859" s="66"/>
      <c r="BT859" s="66"/>
      <c r="BU859" s="66"/>
      <c r="BV859" s="66"/>
      <c r="BW859" s="66"/>
    </row>
    <row r="860" spans="1:75" ht="15.75" customHeight="1">
      <c r="A860" s="65"/>
      <c r="B860" s="66"/>
      <c r="C860" s="66"/>
      <c r="D860" s="66"/>
      <c r="E860" s="66"/>
      <c r="F860" s="65"/>
      <c r="G860" s="65"/>
      <c r="H860" s="66"/>
      <c r="I860" s="66"/>
      <c r="J860" s="66"/>
      <c r="K860" s="66"/>
      <c r="L860" s="66"/>
      <c r="M860" s="66"/>
      <c r="N860" s="66"/>
      <c r="O860" s="66"/>
      <c r="P860" s="66"/>
      <c r="Q860" s="23"/>
      <c r="AB860" s="23"/>
      <c r="AC860" s="23"/>
      <c r="AD860" s="23"/>
      <c r="AE860" s="7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71"/>
      <c r="AV860" s="10"/>
      <c r="AW860" s="23"/>
      <c r="BB860" s="66"/>
      <c r="BC860" s="66"/>
      <c r="BD860" s="66"/>
      <c r="BE860" s="66"/>
      <c r="BF860" s="66"/>
      <c r="BG860" s="66"/>
      <c r="BH860" s="66"/>
      <c r="BI860" s="66"/>
      <c r="BJ860" s="66"/>
      <c r="BK860" s="66"/>
      <c r="BL860" s="66"/>
      <c r="BM860" s="66"/>
      <c r="BN860" s="66"/>
      <c r="BO860" s="66"/>
      <c r="BP860" s="66"/>
      <c r="BQ860" s="66"/>
      <c r="BR860" s="66"/>
      <c r="BS860" s="66"/>
      <c r="BT860" s="66"/>
      <c r="BU860" s="66"/>
      <c r="BV860" s="66"/>
      <c r="BW860" s="66"/>
    </row>
    <row r="861" spans="1:75" ht="15.75" customHeight="1">
      <c r="A861" s="65"/>
      <c r="B861" s="66"/>
      <c r="C861" s="66"/>
      <c r="D861" s="66"/>
      <c r="E861" s="66"/>
      <c r="F861" s="65"/>
      <c r="G861" s="65"/>
      <c r="H861" s="66"/>
      <c r="I861" s="66"/>
      <c r="J861" s="66"/>
      <c r="K861" s="66"/>
      <c r="L861" s="66"/>
      <c r="M861" s="66"/>
      <c r="N861" s="66"/>
      <c r="O861" s="66"/>
      <c r="P861" s="66"/>
      <c r="Q861" s="23"/>
      <c r="AB861" s="23"/>
      <c r="AC861" s="23"/>
      <c r="AD861" s="23"/>
      <c r="AE861" s="7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71"/>
      <c r="AV861" s="10"/>
      <c r="AW861" s="23"/>
      <c r="BB861" s="66"/>
      <c r="BC861" s="66"/>
      <c r="BD861" s="66"/>
      <c r="BE861" s="66"/>
      <c r="BF861" s="66"/>
      <c r="BG861" s="66"/>
      <c r="BH861" s="66"/>
      <c r="BI861" s="66"/>
      <c r="BJ861" s="66"/>
      <c r="BK861" s="66"/>
      <c r="BL861" s="66"/>
      <c r="BM861" s="66"/>
      <c r="BN861" s="66"/>
      <c r="BO861" s="66"/>
      <c r="BP861" s="66"/>
      <c r="BQ861" s="66"/>
      <c r="BR861" s="66"/>
      <c r="BS861" s="66"/>
      <c r="BT861" s="66"/>
      <c r="BU861" s="66"/>
      <c r="BV861" s="66"/>
      <c r="BW861" s="66"/>
    </row>
    <row r="862" spans="1:75" ht="15.75" customHeight="1">
      <c r="A862" s="65"/>
      <c r="B862" s="66"/>
      <c r="C862" s="66"/>
      <c r="D862" s="66"/>
      <c r="E862" s="66"/>
      <c r="F862" s="65"/>
      <c r="G862" s="65"/>
      <c r="H862" s="66"/>
      <c r="I862" s="66"/>
      <c r="J862" s="66"/>
      <c r="K862" s="66"/>
      <c r="L862" s="66"/>
      <c r="M862" s="66"/>
      <c r="N862" s="66"/>
      <c r="O862" s="66"/>
      <c r="P862" s="66"/>
      <c r="Q862" s="23"/>
      <c r="AB862" s="23"/>
      <c r="AC862" s="23"/>
      <c r="AD862" s="23"/>
      <c r="AE862" s="7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71"/>
      <c r="AV862" s="10"/>
      <c r="AW862" s="23"/>
      <c r="BB862" s="66"/>
      <c r="BC862" s="66"/>
      <c r="BD862" s="66"/>
      <c r="BE862" s="66"/>
      <c r="BF862" s="66"/>
      <c r="BG862" s="66"/>
      <c r="BH862" s="66"/>
      <c r="BI862" s="66"/>
      <c r="BJ862" s="66"/>
      <c r="BK862" s="66"/>
      <c r="BL862" s="66"/>
      <c r="BM862" s="66"/>
      <c r="BN862" s="66"/>
      <c r="BO862" s="66"/>
      <c r="BP862" s="66"/>
      <c r="BQ862" s="66"/>
      <c r="BR862" s="66"/>
      <c r="BS862" s="66"/>
      <c r="BT862" s="66"/>
      <c r="BU862" s="66"/>
      <c r="BV862" s="66"/>
      <c r="BW862" s="66"/>
    </row>
    <row r="863" spans="1:75" ht="15.75" customHeight="1">
      <c r="A863" s="65"/>
      <c r="B863" s="66"/>
      <c r="C863" s="66"/>
      <c r="D863" s="66"/>
      <c r="E863" s="66"/>
      <c r="F863" s="65"/>
      <c r="G863" s="65"/>
      <c r="H863" s="66"/>
      <c r="I863" s="66"/>
      <c r="J863" s="66"/>
      <c r="K863" s="66"/>
      <c r="L863" s="66"/>
      <c r="M863" s="66"/>
      <c r="N863" s="66"/>
      <c r="O863" s="66"/>
      <c r="P863" s="66"/>
      <c r="Q863" s="23"/>
      <c r="AB863" s="23"/>
      <c r="AC863" s="23"/>
      <c r="AD863" s="23"/>
      <c r="AE863" s="7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71"/>
      <c r="AV863" s="10"/>
      <c r="AW863" s="23"/>
      <c r="BB863" s="66"/>
      <c r="BC863" s="66"/>
      <c r="BD863" s="66"/>
      <c r="BE863" s="66"/>
      <c r="BF863" s="66"/>
      <c r="BG863" s="66"/>
      <c r="BH863" s="66"/>
      <c r="BI863" s="66"/>
      <c r="BJ863" s="66"/>
      <c r="BK863" s="66"/>
      <c r="BL863" s="66"/>
      <c r="BM863" s="66"/>
      <c r="BN863" s="66"/>
      <c r="BO863" s="66"/>
      <c r="BP863" s="66"/>
      <c r="BQ863" s="66"/>
      <c r="BR863" s="66"/>
      <c r="BS863" s="66"/>
      <c r="BT863" s="66"/>
      <c r="BU863" s="66"/>
      <c r="BV863" s="66"/>
      <c r="BW863" s="66"/>
    </row>
    <row r="864" spans="1:75" ht="15.75" customHeight="1">
      <c r="A864" s="65"/>
      <c r="B864" s="66"/>
      <c r="C864" s="66"/>
      <c r="D864" s="66"/>
      <c r="E864" s="66"/>
      <c r="F864" s="65"/>
      <c r="G864" s="65"/>
      <c r="H864" s="66"/>
      <c r="I864" s="66"/>
      <c r="J864" s="66"/>
      <c r="K864" s="66"/>
      <c r="L864" s="66"/>
      <c r="M864" s="66"/>
      <c r="N864" s="66"/>
      <c r="O864" s="66"/>
      <c r="P864" s="66"/>
      <c r="Q864" s="23"/>
      <c r="AB864" s="23"/>
      <c r="AC864" s="23"/>
      <c r="AD864" s="23"/>
      <c r="AE864" s="7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71"/>
      <c r="AV864" s="10"/>
      <c r="AW864" s="23"/>
      <c r="BB864" s="66"/>
      <c r="BC864" s="66"/>
      <c r="BD864" s="66"/>
      <c r="BE864" s="66"/>
      <c r="BF864" s="66"/>
      <c r="BG864" s="66"/>
      <c r="BH864" s="66"/>
      <c r="BI864" s="66"/>
      <c r="BJ864" s="66"/>
      <c r="BK864" s="66"/>
      <c r="BL864" s="66"/>
      <c r="BM864" s="66"/>
      <c r="BN864" s="66"/>
      <c r="BO864" s="66"/>
      <c r="BP864" s="66"/>
      <c r="BQ864" s="66"/>
      <c r="BR864" s="66"/>
      <c r="BS864" s="66"/>
      <c r="BT864" s="66"/>
      <c r="BU864" s="66"/>
      <c r="BV864" s="66"/>
      <c r="BW864" s="66"/>
    </row>
    <row r="865" spans="1:75" ht="15.75" customHeight="1">
      <c r="A865" s="65"/>
      <c r="B865" s="66"/>
      <c r="C865" s="66"/>
      <c r="D865" s="66"/>
      <c r="E865" s="66"/>
      <c r="F865" s="65"/>
      <c r="G865" s="65"/>
      <c r="H865" s="66"/>
      <c r="I865" s="66"/>
      <c r="J865" s="66"/>
      <c r="K865" s="66"/>
      <c r="L865" s="66"/>
      <c r="M865" s="66"/>
      <c r="N865" s="66"/>
      <c r="O865" s="66"/>
      <c r="P865" s="66"/>
      <c r="Q865" s="23"/>
      <c r="AB865" s="23"/>
      <c r="AC865" s="23"/>
      <c r="AD865" s="23"/>
      <c r="AE865" s="7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71"/>
      <c r="AV865" s="10"/>
      <c r="AW865" s="23"/>
      <c r="BB865" s="66"/>
      <c r="BC865" s="66"/>
      <c r="BD865" s="66"/>
      <c r="BE865" s="66"/>
      <c r="BF865" s="66"/>
      <c r="BG865" s="66"/>
      <c r="BH865" s="66"/>
      <c r="BI865" s="66"/>
      <c r="BJ865" s="66"/>
      <c r="BK865" s="66"/>
      <c r="BL865" s="66"/>
      <c r="BM865" s="66"/>
      <c r="BN865" s="66"/>
      <c r="BO865" s="66"/>
      <c r="BP865" s="66"/>
      <c r="BQ865" s="66"/>
      <c r="BR865" s="66"/>
      <c r="BS865" s="66"/>
      <c r="BT865" s="66"/>
      <c r="BU865" s="66"/>
      <c r="BV865" s="66"/>
      <c r="BW865" s="66"/>
    </row>
    <row r="866" spans="1:75" ht="15.75" customHeight="1">
      <c r="A866" s="65"/>
      <c r="B866" s="66"/>
      <c r="C866" s="66"/>
      <c r="D866" s="66"/>
      <c r="E866" s="66"/>
      <c r="F866" s="65"/>
      <c r="G866" s="65"/>
      <c r="H866" s="66"/>
      <c r="I866" s="66"/>
      <c r="J866" s="66"/>
      <c r="K866" s="66"/>
      <c r="L866" s="66"/>
      <c r="M866" s="66"/>
      <c r="N866" s="66"/>
      <c r="O866" s="66"/>
      <c r="P866" s="66"/>
      <c r="Q866" s="23"/>
      <c r="AB866" s="23"/>
      <c r="AC866" s="23"/>
      <c r="AD866" s="23"/>
      <c r="AE866" s="7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71"/>
      <c r="AV866" s="10"/>
      <c r="AW866" s="23"/>
      <c r="BB866" s="66"/>
      <c r="BC866" s="66"/>
      <c r="BD866" s="66"/>
      <c r="BE866" s="66"/>
      <c r="BF866" s="66"/>
      <c r="BG866" s="66"/>
      <c r="BH866" s="66"/>
      <c r="BI866" s="66"/>
      <c r="BJ866" s="66"/>
      <c r="BK866" s="66"/>
      <c r="BL866" s="66"/>
      <c r="BM866" s="66"/>
      <c r="BN866" s="66"/>
      <c r="BO866" s="66"/>
      <c r="BP866" s="66"/>
      <c r="BQ866" s="66"/>
      <c r="BR866" s="66"/>
      <c r="BS866" s="66"/>
      <c r="BT866" s="66"/>
      <c r="BU866" s="66"/>
      <c r="BV866" s="66"/>
      <c r="BW866" s="66"/>
    </row>
    <row r="867" spans="1:75" ht="15.75" customHeight="1">
      <c r="A867" s="65"/>
      <c r="B867" s="66"/>
      <c r="C867" s="66"/>
      <c r="D867" s="66"/>
      <c r="E867" s="66"/>
      <c r="F867" s="65"/>
      <c r="G867" s="65"/>
      <c r="H867" s="66"/>
      <c r="I867" s="66"/>
      <c r="J867" s="66"/>
      <c r="K867" s="66"/>
      <c r="L867" s="66"/>
      <c r="M867" s="66"/>
      <c r="N867" s="66"/>
      <c r="O867" s="66"/>
      <c r="P867" s="66"/>
      <c r="Q867" s="23"/>
      <c r="AB867" s="23"/>
      <c r="AC867" s="23"/>
      <c r="AD867" s="23"/>
      <c r="AE867" s="7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71"/>
      <c r="AV867" s="10"/>
      <c r="AW867" s="23"/>
      <c r="BB867" s="66"/>
      <c r="BC867" s="66"/>
      <c r="BD867" s="66"/>
      <c r="BE867" s="66"/>
      <c r="BF867" s="66"/>
      <c r="BG867" s="66"/>
      <c r="BH867" s="66"/>
      <c r="BI867" s="66"/>
      <c r="BJ867" s="66"/>
      <c r="BK867" s="66"/>
      <c r="BL867" s="66"/>
      <c r="BM867" s="66"/>
      <c r="BN867" s="66"/>
      <c r="BO867" s="66"/>
      <c r="BP867" s="66"/>
      <c r="BQ867" s="66"/>
      <c r="BR867" s="66"/>
      <c r="BS867" s="66"/>
      <c r="BT867" s="66"/>
      <c r="BU867" s="66"/>
      <c r="BV867" s="66"/>
      <c r="BW867" s="66"/>
    </row>
    <row r="868" spans="1:75" ht="15.75" customHeight="1">
      <c r="A868" s="65"/>
      <c r="B868" s="66"/>
      <c r="C868" s="66"/>
      <c r="D868" s="66"/>
      <c r="E868" s="66"/>
      <c r="F868" s="65"/>
      <c r="G868" s="65"/>
      <c r="H868" s="66"/>
      <c r="I868" s="66"/>
      <c r="J868" s="66"/>
      <c r="K868" s="66"/>
      <c r="L868" s="66"/>
      <c r="M868" s="66"/>
      <c r="N868" s="66"/>
      <c r="O868" s="66"/>
      <c r="P868" s="66"/>
      <c r="Q868" s="23"/>
      <c r="AB868" s="23"/>
      <c r="AC868" s="23"/>
      <c r="AD868" s="23"/>
      <c r="AE868" s="7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71"/>
      <c r="AV868" s="10"/>
      <c r="AW868" s="23"/>
      <c r="BB868" s="66"/>
      <c r="BC868" s="66"/>
      <c r="BD868" s="66"/>
      <c r="BE868" s="66"/>
      <c r="BF868" s="66"/>
      <c r="BG868" s="66"/>
      <c r="BH868" s="66"/>
      <c r="BI868" s="66"/>
      <c r="BJ868" s="66"/>
      <c r="BK868" s="66"/>
      <c r="BL868" s="66"/>
      <c r="BM868" s="66"/>
      <c r="BN868" s="66"/>
      <c r="BO868" s="66"/>
      <c r="BP868" s="66"/>
      <c r="BQ868" s="66"/>
      <c r="BR868" s="66"/>
      <c r="BS868" s="66"/>
      <c r="BT868" s="66"/>
      <c r="BU868" s="66"/>
      <c r="BV868" s="66"/>
      <c r="BW868" s="66"/>
    </row>
    <row r="869" spans="1:75" ht="15.75" customHeight="1">
      <c r="A869" s="65"/>
      <c r="B869" s="66"/>
      <c r="C869" s="66"/>
      <c r="D869" s="66"/>
      <c r="E869" s="66"/>
      <c r="F869" s="65"/>
      <c r="G869" s="65"/>
      <c r="H869" s="66"/>
      <c r="I869" s="66"/>
      <c r="J869" s="66"/>
      <c r="K869" s="66"/>
      <c r="L869" s="66"/>
      <c r="M869" s="66"/>
      <c r="N869" s="66"/>
      <c r="O869" s="66"/>
      <c r="P869" s="66"/>
      <c r="Q869" s="23"/>
      <c r="AB869" s="23"/>
      <c r="AC869" s="23"/>
      <c r="AD869" s="23"/>
      <c r="AE869" s="7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71"/>
      <c r="AV869" s="10"/>
      <c r="AW869" s="23"/>
      <c r="BB869" s="66"/>
      <c r="BC869" s="66"/>
      <c r="BD869" s="66"/>
      <c r="BE869" s="66"/>
      <c r="BF869" s="66"/>
      <c r="BG869" s="66"/>
      <c r="BH869" s="66"/>
      <c r="BI869" s="66"/>
      <c r="BJ869" s="66"/>
      <c r="BK869" s="66"/>
      <c r="BL869" s="66"/>
      <c r="BM869" s="66"/>
      <c r="BN869" s="66"/>
      <c r="BO869" s="66"/>
      <c r="BP869" s="66"/>
      <c r="BQ869" s="66"/>
      <c r="BR869" s="66"/>
      <c r="BS869" s="66"/>
      <c r="BT869" s="66"/>
      <c r="BU869" s="66"/>
      <c r="BV869" s="66"/>
      <c r="BW869" s="66"/>
    </row>
    <row r="870" spans="1:75" ht="15.75" customHeight="1">
      <c r="A870" s="65"/>
      <c r="B870" s="66"/>
      <c r="C870" s="66"/>
      <c r="D870" s="66"/>
      <c r="E870" s="66"/>
      <c r="F870" s="65"/>
      <c r="G870" s="65"/>
      <c r="H870" s="66"/>
      <c r="I870" s="66"/>
      <c r="J870" s="66"/>
      <c r="K870" s="66"/>
      <c r="L870" s="66"/>
      <c r="M870" s="66"/>
      <c r="N870" s="66"/>
      <c r="O870" s="66"/>
      <c r="P870" s="66"/>
      <c r="Q870" s="23"/>
      <c r="AB870" s="23"/>
      <c r="AC870" s="23"/>
      <c r="AD870" s="23"/>
      <c r="AE870" s="7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71"/>
      <c r="AV870" s="10"/>
      <c r="AW870" s="23"/>
      <c r="BB870" s="66"/>
      <c r="BC870" s="66"/>
      <c r="BD870" s="66"/>
      <c r="BE870" s="66"/>
      <c r="BF870" s="66"/>
      <c r="BG870" s="66"/>
      <c r="BH870" s="66"/>
      <c r="BI870" s="66"/>
      <c r="BJ870" s="66"/>
      <c r="BK870" s="66"/>
      <c r="BL870" s="66"/>
      <c r="BM870" s="66"/>
      <c r="BN870" s="66"/>
      <c r="BO870" s="66"/>
      <c r="BP870" s="66"/>
      <c r="BQ870" s="66"/>
      <c r="BR870" s="66"/>
      <c r="BS870" s="66"/>
      <c r="BT870" s="66"/>
      <c r="BU870" s="66"/>
      <c r="BV870" s="66"/>
      <c r="BW870" s="66"/>
    </row>
    <row r="871" spans="1:75" ht="15.75" customHeight="1">
      <c r="A871" s="65"/>
      <c r="B871" s="66"/>
      <c r="C871" s="66"/>
      <c r="D871" s="66"/>
      <c r="E871" s="66"/>
      <c r="F871" s="65"/>
      <c r="G871" s="65"/>
      <c r="H871" s="66"/>
      <c r="I871" s="66"/>
      <c r="J871" s="66"/>
      <c r="K871" s="66"/>
      <c r="L871" s="66"/>
      <c r="M871" s="66"/>
      <c r="N871" s="66"/>
      <c r="O871" s="66"/>
      <c r="P871" s="66"/>
      <c r="Q871" s="23"/>
      <c r="AB871" s="23"/>
      <c r="AC871" s="23"/>
      <c r="AD871" s="23"/>
      <c r="AE871" s="7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71"/>
      <c r="AV871" s="10"/>
      <c r="AW871" s="23"/>
      <c r="BB871" s="66"/>
      <c r="BC871" s="66"/>
      <c r="BD871" s="66"/>
      <c r="BE871" s="66"/>
      <c r="BF871" s="66"/>
      <c r="BG871" s="66"/>
      <c r="BH871" s="66"/>
      <c r="BI871" s="66"/>
      <c r="BJ871" s="66"/>
      <c r="BK871" s="66"/>
      <c r="BL871" s="66"/>
      <c r="BM871" s="66"/>
      <c r="BN871" s="66"/>
      <c r="BO871" s="66"/>
      <c r="BP871" s="66"/>
      <c r="BQ871" s="66"/>
      <c r="BR871" s="66"/>
      <c r="BS871" s="66"/>
      <c r="BT871" s="66"/>
      <c r="BU871" s="66"/>
      <c r="BV871" s="66"/>
      <c r="BW871" s="66"/>
    </row>
    <row r="872" spans="1:75" ht="15.75" customHeight="1">
      <c r="A872" s="65"/>
      <c r="B872" s="66"/>
      <c r="C872" s="66"/>
      <c r="D872" s="66"/>
      <c r="E872" s="66"/>
      <c r="F872" s="65"/>
      <c r="G872" s="65"/>
      <c r="H872" s="66"/>
      <c r="I872" s="66"/>
      <c r="J872" s="66"/>
      <c r="K872" s="66"/>
      <c r="L872" s="66"/>
      <c r="M872" s="66"/>
      <c r="N872" s="66"/>
      <c r="O872" s="66"/>
      <c r="P872" s="66"/>
      <c r="Q872" s="23"/>
      <c r="AB872" s="23"/>
      <c r="AC872" s="23"/>
      <c r="AD872" s="23"/>
      <c r="AE872" s="7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71"/>
      <c r="AV872" s="10"/>
      <c r="AW872" s="23"/>
      <c r="BB872" s="66"/>
      <c r="BC872" s="66"/>
      <c r="BD872" s="66"/>
      <c r="BE872" s="66"/>
      <c r="BF872" s="66"/>
      <c r="BG872" s="66"/>
      <c r="BH872" s="66"/>
      <c r="BI872" s="66"/>
      <c r="BJ872" s="66"/>
      <c r="BK872" s="66"/>
      <c r="BL872" s="66"/>
      <c r="BM872" s="66"/>
      <c r="BN872" s="66"/>
      <c r="BO872" s="66"/>
      <c r="BP872" s="66"/>
      <c r="BQ872" s="66"/>
      <c r="BR872" s="66"/>
      <c r="BS872" s="66"/>
      <c r="BT872" s="66"/>
      <c r="BU872" s="66"/>
      <c r="BV872" s="66"/>
      <c r="BW872" s="66"/>
    </row>
    <row r="873" spans="1:75" ht="15.75" customHeight="1">
      <c r="A873" s="65"/>
      <c r="B873" s="66"/>
      <c r="C873" s="66"/>
      <c r="D873" s="66"/>
      <c r="E873" s="66"/>
      <c r="F873" s="65"/>
      <c r="G873" s="65"/>
      <c r="H873" s="66"/>
      <c r="I873" s="66"/>
      <c r="J873" s="66"/>
      <c r="K873" s="66"/>
      <c r="L873" s="66"/>
      <c r="M873" s="66"/>
      <c r="N873" s="66"/>
      <c r="O873" s="66"/>
      <c r="P873" s="66"/>
      <c r="Q873" s="23"/>
      <c r="AB873" s="23"/>
      <c r="AC873" s="23"/>
      <c r="AD873" s="23"/>
      <c r="AE873" s="7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71"/>
      <c r="AV873" s="10"/>
      <c r="AW873" s="23"/>
      <c r="BB873" s="66"/>
      <c r="BC873" s="66"/>
      <c r="BD873" s="66"/>
      <c r="BE873" s="66"/>
      <c r="BF873" s="66"/>
      <c r="BG873" s="66"/>
      <c r="BH873" s="66"/>
      <c r="BI873" s="66"/>
      <c r="BJ873" s="66"/>
      <c r="BK873" s="66"/>
      <c r="BL873" s="66"/>
      <c r="BM873" s="66"/>
      <c r="BN873" s="66"/>
      <c r="BO873" s="66"/>
      <c r="BP873" s="66"/>
      <c r="BQ873" s="66"/>
      <c r="BR873" s="66"/>
      <c r="BS873" s="66"/>
      <c r="BT873" s="66"/>
      <c r="BU873" s="66"/>
      <c r="BV873" s="66"/>
      <c r="BW873" s="66"/>
    </row>
    <row r="874" spans="1:75" ht="15.75" customHeight="1">
      <c r="A874" s="65"/>
      <c r="B874" s="66"/>
      <c r="C874" s="66"/>
      <c r="D874" s="66"/>
      <c r="E874" s="66"/>
      <c r="F874" s="65"/>
      <c r="G874" s="65"/>
      <c r="H874" s="66"/>
      <c r="I874" s="66"/>
      <c r="J874" s="66"/>
      <c r="K874" s="66"/>
      <c r="L874" s="66"/>
      <c r="M874" s="66"/>
      <c r="N874" s="66"/>
      <c r="O874" s="66"/>
      <c r="P874" s="66"/>
      <c r="Q874" s="23"/>
      <c r="AB874" s="23"/>
      <c r="AC874" s="23"/>
      <c r="AD874" s="23"/>
      <c r="AE874" s="7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71"/>
      <c r="AV874" s="10"/>
      <c r="AW874" s="23"/>
      <c r="BB874" s="66"/>
      <c r="BC874" s="66"/>
      <c r="BD874" s="66"/>
      <c r="BE874" s="66"/>
      <c r="BF874" s="66"/>
      <c r="BG874" s="66"/>
      <c r="BH874" s="66"/>
      <c r="BI874" s="66"/>
      <c r="BJ874" s="66"/>
      <c r="BK874" s="66"/>
      <c r="BL874" s="66"/>
      <c r="BM874" s="66"/>
      <c r="BN874" s="66"/>
      <c r="BO874" s="66"/>
      <c r="BP874" s="66"/>
      <c r="BQ874" s="66"/>
      <c r="BR874" s="66"/>
      <c r="BS874" s="66"/>
      <c r="BT874" s="66"/>
      <c r="BU874" s="66"/>
      <c r="BV874" s="66"/>
      <c r="BW874" s="66"/>
    </row>
    <row r="875" spans="1:75" ht="15.75" customHeight="1">
      <c r="A875" s="65"/>
      <c r="B875" s="66"/>
      <c r="C875" s="66"/>
      <c r="D875" s="66"/>
      <c r="E875" s="66"/>
      <c r="F875" s="65"/>
      <c r="G875" s="65"/>
      <c r="H875" s="66"/>
      <c r="I875" s="66"/>
      <c r="J875" s="66"/>
      <c r="K875" s="66"/>
      <c r="L875" s="66"/>
      <c r="M875" s="66"/>
      <c r="N875" s="66"/>
      <c r="O875" s="66"/>
      <c r="P875" s="66"/>
      <c r="Q875" s="23"/>
      <c r="AB875" s="23"/>
      <c r="AC875" s="23"/>
      <c r="AD875" s="23"/>
      <c r="AE875" s="7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71"/>
      <c r="AV875" s="10"/>
      <c r="AW875" s="23"/>
      <c r="BB875" s="66"/>
      <c r="BC875" s="66"/>
      <c r="BD875" s="66"/>
      <c r="BE875" s="66"/>
      <c r="BF875" s="66"/>
      <c r="BG875" s="66"/>
      <c r="BH875" s="66"/>
      <c r="BI875" s="66"/>
      <c r="BJ875" s="66"/>
      <c r="BK875" s="66"/>
      <c r="BL875" s="66"/>
      <c r="BM875" s="66"/>
      <c r="BN875" s="66"/>
      <c r="BO875" s="66"/>
      <c r="BP875" s="66"/>
      <c r="BQ875" s="66"/>
      <c r="BR875" s="66"/>
      <c r="BS875" s="66"/>
      <c r="BT875" s="66"/>
      <c r="BU875" s="66"/>
      <c r="BV875" s="66"/>
      <c r="BW875" s="66"/>
    </row>
    <row r="876" spans="1:75" ht="15.75" customHeight="1">
      <c r="A876" s="65"/>
      <c r="B876" s="66"/>
      <c r="C876" s="66"/>
      <c r="D876" s="66"/>
      <c r="E876" s="66"/>
      <c r="F876" s="65"/>
      <c r="G876" s="65"/>
      <c r="H876" s="66"/>
      <c r="I876" s="66"/>
      <c r="J876" s="66"/>
      <c r="K876" s="66"/>
      <c r="L876" s="66"/>
      <c r="M876" s="66"/>
      <c r="N876" s="66"/>
      <c r="O876" s="66"/>
      <c r="P876" s="66"/>
      <c r="Q876" s="23"/>
      <c r="AB876" s="23"/>
      <c r="AC876" s="23"/>
      <c r="AD876" s="23"/>
      <c r="AE876" s="7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71"/>
      <c r="AV876" s="10"/>
      <c r="AW876" s="23"/>
      <c r="BB876" s="66"/>
      <c r="BC876" s="66"/>
      <c r="BD876" s="66"/>
      <c r="BE876" s="66"/>
      <c r="BF876" s="66"/>
      <c r="BG876" s="66"/>
      <c r="BH876" s="66"/>
      <c r="BI876" s="66"/>
      <c r="BJ876" s="66"/>
      <c r="BK876" s="66"/>
      <c r="BL876" s="66"/>
      <c r="BM876" s="66"/>
      <c r="BN876" s="66"/>
      <c r="BO876" s="66"/>
      <c r="BP876" s="66"/>
      <c r="BQ876" s="66"/>
      <c r="BR876" s="66"/>
      <c r="BS876" s="66"/>
      <c r="BT876" s="66"/>
      <c r="BU876" s="66"/>
      <c r="BV876" s="66"/>
      <c r="BW876" s="66"/>
    </row>
    <row r="877" spans="1:75" ht="15.75" customHeight="1">
      <c r="A877" s="65"/>
      <c r="B877" s="66"/>
      <c r="C877" s="66"/>
      <c r="D877" s="66"/>
      <c r="E877" s="66"/>
      <c r="F877" s="65"/>
      <c r="G877" s="65"/>
      <c r="H877" s="66"/>
      <c r="I877" s="66"/>
      <c r="J877" s="66"/>
      <c r="K877" s="66"/>
      <c r="L877" s="66"/>
      <c r="M877" s="66"/>
      <c r="N877" s="66"/>
      <c r="O877" s="66"/>
      <c r="P877" s="66"/>
      <c r="Q877" s="23"/>
      <c r="AB877" s="23"/>
      <c r="AC877" s="23"/>
      <c r="AD877" s="23"/>
      <c r="AE877" s="7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71"/>
      <c r="AV877" s="10"/>
      <c r="AW877" s="23"/>
      <c r="BB877" s="66"/>
      <c r="BC877" s="66"/>
      <c r="BD877" s="66"/>
      <c r="BE877" s="66"/>
      <c r="BF877" s="66"/>
      <c r="BG877" s="66"/>
      <c r="BH877" s="66"/>
      <c r="BI877" s="66"/>
      <c r="BJ877" s="66"/>
      <c r="BK877" s="66"/>
      <c r="BL877" s="66"/>
      <c r="BM877" s="66"/>
      <c r="BN877" s="66"/>
      <c r="BO877" s="66"/>
      <c r="BP877" s="66"/>
      <c r="BQ877" s="66"/>
      <c r="BR877" s="66"/>
      <c r="BS877" s="66"/>
      <c r="BT877" s="66"/>
      <c r="BU877" s="66"/>
      <c r="BV877" s="66"/>
      <c r="BW877" s="66"/>
    </row>
    <row r="878" spans="1:75" ht="15.75" customHeight="1">
      <c r="A878" s="65"/>
      <c r="B878" s="66"/>
      <c r="C878" s="66"/>
      <c r="D878" s="66"/>
      <c r="E878" s="66"/>
      <c r="F878" s="65"/>
      <c r="G878" s="65"/>
      <c r="H878" s="66"/>
      <c r="I878" s="66"/>
      <c r="J878" s="66"/>
      <c r="K878" s="66"/>
      <c r="L878" s="66"/>
      <c r="M878" s="66"/>
      <c r="N878" s="66"/>
      <c r="O878" s="66"/>
      <c r="P878" s="66"/>
      <c r="Q878" s="23"/>
      <c r="AB878" s="23"/>
      <c r="AC878" s="23"/>
      <c r="AD878" s="23"/>
      <c r="AE878" s="7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71"/>
      <c r="AV878" s="10"/>
      <c r="AW878" s="23"/>
      <c r="BB878" s="66"/>
      <c r="BC878" s="66"/>
      <c r="BD878" s="66"/>
      <c r="BE878" s="66"/>
      <c r="BF878" s="66"/>
      <c r="BG878" s="66"/>
      <c r="BH878" s="66"/>
      <c r="BI878" s="66"/>
      <c r="BJ878" s="66"/>
      <c r="BK878" s="66"/>
      <c r="BL878" s="66"/>
      <c r="BM878" s="66"/>
      <c r="BN878" s="66"/>
      <c r="BO878" s="66"/>
      <c r="BP878" s="66"/>
      <c r="BQ878" s="66"/>
      <c r="BR878" s="66"/>
      <c r="BS878" s="66"/>
      <c r="BT878" s="66"/>
      <c r="BU878" s="66"/>
      <c r="BV878" s="66"/>
      <c r="BW878" s="66"/>
    </row>
    <row r="879" spans="1:75" ht="15.75" customHeight="1">
      <c r="A879" s="65"/>
      <c r="B879" s="66"/>
      <c r="C879" s="66"/>
      <c r="D879" s="66"/>
      <c r="E879" s="66"/>
      <c r="F879" s="65"/>
      <c r="G879" s="65"/>
      <c r="H879" s="66"/>
      <c r="I879" s="66"/>
      <c r="J879" s="66"/>
      <c r="K879" s="66"/>
      <c r="L879" s="66"/>
      <c r="M879" s="66"/>
      <c r="N879" s="66"/>
      <c r="O879" s="66"/>
      <c r="P879" s="66"/>
      <c r="Q879" s="23"/>
      <c r="AB879" s="23"/>
      <c r="AC879" s="23"/>
      <c r="AD879" s="23"/>
      <c r="AE879" s="7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71"/>
      <c r="AV879" s="10"/>
      <c r="AW879" s="23"/>
      <c r="BB879" s="66"/>
      <c r="BC879" s="66"/>
      <c r="BD879" s="66"/>
      <c r="BE879" s="66"/>
      <c r="BF879" s="66"/>
      <c r="BG879" s="66"/>
      <c r="BH879" s="66"/>
      <c r="BI879" s="66"/>
      <c r="BJ879" s="66"/>
      <c r="BK879" s="66"/>
      <c r="BL879" s="66"/>
      <c r="BM879" s="66"/>
      <c r="BN879" s="66"/>
      <c r="BO879" s="66"/>
      <c r="BP879" s="66"/>
      <c r="BQ879" s="66"/>
      <c r="BR879" s="66"/>
      <c r="BS879" s="66"/>
      <c r="BT879" s="66"/>
      <c r="BU879" s="66"/>
      <c r="BV879" s="66"/>
      <c r="BW879" s="66"/>
    </row>
    <row r="880" spans="1:75" ht="15.75" customHeight="1">
      <c r="A880" s="65"/>
      <c r="B880" s="66"/>
      <c r="C880" s="66"/>
      <c r="D880" s="66"/>
      <c r="E880" s="66"/>
      <c r="F880" s="65"/>
      <c r="G880" s="65"/>
      <c r="H880" s="66"/>
      <c r="I880" s="66"/>
      <c r="J880" s="66"/>
      <c r="K880" s="66"/>
      <c r="L880" s="66"/>
      <c r="M880" s="66"/>
      <c r="N880" s="66"/>
      <c r="O880" s="66"/>
      <c r="P880" s="66"/>
      <c r="Q880" s="23"/>
      <c r="AB880" s="23"/>
      <c r="AC880" s="23"/>
      <c r="AD880" s="23"/>
      <c r="AE880" s="7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71"/>
      <c r="AV880" s="10"/>
      <c r="AW880" s="23"/>
      <c r="BB880" s="66"/>
      <c r="BC880" s="66"/>
      <c r="BD880" s="66"/>
      <c r="BE880" s="66"/>
      <c r="BF880" s="66"/>
      <c r="BG880" s="66"/>
      <c r="BH880" s="66"/>
      <c r="BI880" s="66"/>
      <c r="BJ880" s="66"/>
      <c r="BK880" s="66"/>
      <c r="BL880" s="66"/>
      <c r="BM880" s="66"/>
      <c r="BN880" s="66"/>
      <c r="BO880" s="66"/>
      <c r="BP880" s="66"/>
      <c r="BQ880" s="66"/>
      <c r="BR880" s="66"/>
      <c r="BS880" s="66"/>
      <c r="BT880" s="66"/>
      <c r="BU880" s="66"/>
      <c r="BV880" s="66"/>
      <c r="BW880" s="66"/>
    </row>
    <row r="881" spans="1:75" ht="15.75" customHeight="1">
      <c r="A881" s="65"/>
      <c r="B881" s="66"/>
      <c r="C881" s="66"/>
      <c r="D881" s="66"/>
      <c r="E881" s="66"/>
      <c r="F881" s="65"/>
      <c r="G881" s="65"/>
      <c r="H881" s="66"/>
      <c r="I881" s="66"/>
      <c r="J881" s="66"/>
      <c r="K881" s="66"/>
      <c r="L881" s="66"/>
      <c r="M881" s="66"/>
      <c r="N881" s="66"/>
      <c r="O881" s="66"/>
      <c r="P881" s="66"/>
      <c r="Q881" s="23"/>
      <c r="AB881" s="23"/>
      <c r="AC881" s="23"/>
      <c r="AD881" s="23"/>
      <c r="AE881" s="7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71"/>
      <c r="AV881" s="10"/>
      <c r="AW881" s="23"/>
      <c r="BB881" s="66"/>
      <c r="BC881" s="66"/>
      <c r="BD881" s="66"/>
      <c r="BE881" s="66"/>
      <c r="BF881" s="66"/>
      <c r="BG881" s="66"/>
      <c r="BH881" s="66"/>
      <c r="BI881" s="66"/>
      <c r="BJ881" s="66"/>
      <c r="BK881" s="66"/>
      <c r="BL881" s="66"/>
      <c r="BM881" s="66"/>
      <c r="BN881" s="66"/>
      <c r="BO881" s="66"/>
      <c r="BP881" s="66"/>
      <c r="BQ881" s="66"/>
      <c r="BR881" s="66"/>
      <c r="BS881" s="66"/>
      <c r="BT881" s="66"/>
      <c r="BU881" s="66"/>
      <c r="BV881" s="66"/>
      <c r="BW881" s="66"/>
    </row>
    <row r="882" spans="1:75" ht="15.75" customHeight="1">
      <c r="A882" s="65"/>
      <c r="B882" s="66"/>
      <c r="C882" s="66"/>
      <c r="D882" s="66"/>
      <c r="E882" s="66"/>
      <c r="F882" s="65"/>
      <c r="G882" s="65"/>
      <c r="H882" s="66"/>
      <c r="I882" s="66"/>
      <c r="J882" s="66"/>
      <c r="K882" s="66"/>
      <c r="L882" s="66"/>
      <c r="M882" s="66"/>
      <c r="N882" s="66"/>
      <c r="O882" s="66"/>
      <c r="P882" s="66"/>
      <c r="Q882" s="23"/>
      <c r="AB882" s="23"/>
      <c r="AC882" s="23"/>
      <c r="AD882" s="23"/>
      <c r="AE882" s="7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71"/>
      <c r="AV882" s="10"/>
      <c r="AW882" s="23"/>
      <c r="BB882" s="66"/>
      <c r="BC882" s="66"/>
      <c r="BD882" s="66"/>
      <c r="BE882" s="66"/>
      <c r="BF882" s="66"/>
      <c r="BG882" s="66"/>
      <c r="BH882" s="66"/>
      <c r="BI882" s="66"/>
      <c r="BJ882" s="66"/>
      <c r="BK882" s="66"/>
      <c r="BL882" s="66"/>
      <c r="BM882" s="66"/>
      <c r="BN882" s="66"/>
      <c r="BO882" s="66"/>
      <c r="BP882" s="66"/>
      <c r="BQ882" s="66"/>
      <c r="BR882" s="66"/>
      <c r="BS882" s="66"/>
      <c r="BT882" s="66"/>
      <c r="BU882" s="66"/>
      <c r="BV882" s="66"/>
      <c r="BW882" s="66"/>
    </row>
    <row r="883" spans="1:75" ht="15.75" customHeight="1">
      <c r="A883" s="65"/>
      <c r="B883" s="66"/>
      <c r="C883" s="66"/>
      <c r="D883" s="66"/>
      <c r="E883" s="66"/>
      <c r="F883" s="65"/>
      <c r="G883" s="65"/>
      <c r="H883" s="66"/>
      <c r="I883" s="66"/>
      <c r="J883" s="66"/>
      <c r="K883" s="66"/>
      <c r="L883" s="66"/>
      <c r="M883" s="66"/>
      <c r="N883" s="66"/>
      <c r="O883" s="66"/>
      <c r="P883" s="66"/>
      <c r="Q883" s="23"/>
      <c r="AB883" s="23"/>
      <c r="AC883" s="23"/>
      <c r="AD883" s="23"/>
      <c r="AE883" s="7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71"/>
      <c r="AV883" s="10"/>
      <c r="AW883" s="23"/>
      <c r="BB883" s="66"/>
      <c r="BC883" s="66"/>
      <c r="BD883" s="66"/>
      <c r="BE883" s="66"/>
      <c r="BF883" s="66"/>
      <c r="BG883" s="66"/>
      <c r="BH883" s="66"/>
      <c r="BI883" s="66"/>
      <c r="BJ883" s="66"/>
      <c r="BK883" s="66"/>
      <c r="BL883" s="66"/>
      <c r="BM883" s="66"/>
      <c r="BN883" s="66"/>
      <c r="BO883" s="66"/>
      <c r="BP883" s="66"/>
      <c r="BQ883" s="66"/>
      <c r="BR883" s="66"/>
      <c r="BS883" s="66"/>
      <c r="BT883" s="66"/>
      <c r="BU883" s="66"/>
      <c r="BV883" s="66"/>
      <c r="BW883" s="66"/>
    </row>
    <row r="884" spans="1:75" ht="15.75" customHeight="1">
      <c r="A884" s="65"/>
      <c r="B884" s="66"/>
      <c r="C884" s="66"/>
      <c r="D884" s="66"/>
      <c r="E884" s="66"/>
      <c r="F884" s="65"/>
      <c r="G884" s="65"/>
      <c r="H884" s="66"/>
      <c r="I884" s="66"/>
      <c r="J884" s="66"/>
      <c r="K884" s="66"/>
      <c r="L884" s="66"/>
      <c r="M884" s="66"/>
      <c r="N884" s="66"/>
      <c r="O884" s="66"/>
      <c r="P884" s="66"/>
      <c r="Q884" s="23"/>
      <c r="AB884" s="23"/>
      <c r="AC884" s="23"/>
      <c r="AD884" s="23"/>
      <c r="AE884" s="7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71"/>
      <c r="AV884" s="10"/>
      <c r="AW884" s="23"/>
      <c r="BB884" s="66"/>
      <c r="BC884" s="66"/>
      <c r="BD884" s="66"/>
      <c r="BE884" s="66"/>
      <c r="BF884" s="66"/>
      <c r="BG884" s="66"/>
      <c r="BH884" s="66"/>
      <c r="BI884" s="66"/>
      <c r="BJ884" s="66"/>
      <c r="BK884" s="66"/>
      <c r="BL884" s="66"/>
      <c r="BM884" s="66"/>
      <c r="BN884" s="66"/>
      <c r="BO884" s="66"/>
      <c r="BP884" s="66"/>
      <c r="BQ884" s="66"/>
      <c r="BR884" s="66"/>
      <c r="BS884" s="66"/>
      <c r="BT884" s="66"/>
      <c r="BU884" s="66"/>
      <c r="BV884" s="66"/>
      <c r="BW884" s="66"/>
    </row>
    <row r="885" spans="1:75" ht="15.75" customHeight="1">
      <c r="A885" s="65"/>
      <c r="B885" s="66"/>
      <c r="C885" s="66"/>
      <c r="D885" s="66"/>
      <c r="E885" s="66"/>
      <c r="F885" s="65"/>
      <c r="G885" s="65"/>
      <c r="H885" s="66"/>
      <c r="I885" s="66"/>
      <c r="J885" s="66"/>
      <c r="K885" s="66"/>
      <c r="L885" s="66"/>
      <c r="M885" s="66"/>
      <c r="N885" s="66"/>
      <c r="O885" s="66"/>
      <c r="P885" s="66"/>
      <c r="Q885" s="23"/>
      <c r="AB885" s="23"/>
      <c r="AC885" s="23"/>
      <c r="AD885" s="23"/>
      <c r="AE885" s="7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71"/>
      <c r="AV885" s="10"/>
      <c r="AW885" s="23"/>
      <c r="BB885" s="66"/>
      <c r="BC885" s="66"/>
      <c r="BD885" s="66"/>
      <c r="BE885" s="66"/>
      <c r="BF885" s="66"/>
      <c r="BG885" s="66"/>
      <c r="BH885" s="66"/>
      <c r="BI885" s="66"/>
      <c r="BJ885" s="66"/>
      <c r="BK885" s="66"/>
      <c r="BL885" s="66"/>
      <c r="BM885" s="66"/>
      <c r="BN885" s="66"/>
      <c r="BO885" s="66"/>
      <c r="BP885" s="66"/>
      <c r="BQ885" s="66"/>
      <c r="BR885" s="66"/>
      <c r="BS885" s="66"/>
      <c r="BT885" s="66"/>
      <c r="BU885" s="66"/>
      <c r="BV885" s="66"/>
      <c r="BW885" s="66"/>
    </row>
    <row r="886" spans="1:75" ht="15.75" customHeight="1">
      <c r="A886" s="65"/>
      <c r="B886" s="66"/>
      <c r="C886" s="66"/>
      <c r="D886" s="66"/>
      <c r="E886" s="66"/>
      <c r="F886" s="65"/>
      <c r="G886" s="65"/>
      <c r="H886" s="66"/>
      <c r="I886" s="66"/>
      <c r="J886" s="66"/>
      <c r="K886" s="66"/>
      <c r="L886" s="66"/>
      <c r="M886" s="66"/>
      <c r="N886" s="66"/>
      <c r="O886" s="66"/>
      <c r="P886" s="66"/>
      <c r="Q886" s="23"/>
      <c r="AB886" s="23"/>
      <c r="AC886" s="23"/>
      <c r="AD886" s="23"/>
      <c r="AE886" s="7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71"/>
      <c r="AV886" s="10"/>
      <c r="AW886" s="23"/>
      <c r="BB886" s="66"/>
      <c r="BC886" s="66"/>
      <c r="BD886" s="66"/>
      <c r="BE886" s="66"/>
      <c r="BF886" s="66"/>
      <c r="BG886" s="66"/>
      <c r="BH886" s="66"/>
      <c r="BI886" s="66"/>
      <c r="BJ886" s="66"/>
      <c r="BK886" s="66"/>
      <c r="BL886" s="66"/>
      <c r="BM886" s="66"/>
      <c r="BN886" s="66"/>
      <c r="BO886" s="66"/>
      <c r="BP886" s="66"/>
      <c r="BQ886" s="66"/>
      <c r="BR886" s="66"/>
      <c r="BS886" s="66"/>
      <c r="BT886" s="66"/>
      <c r="BU886" s="66"/>
      <c r="BV886" s="66"/>
      <c r="BW886" s="66"/>
    </row>
    <row r="887" spans="1:75" ht="15.75" customHeight="1">
      <c r="A887" s="65"/>
      <c r="B887" s="66"/>
      <c r="C887" s="66"/>
      <c r="D887" s="66"/>
      <c r="E887" s="66"/>
      <c r="F887" s="65"/>
      <c r="G887" s="65"/>
      <c r="H887" s="66"/>
      <c r="I887" s="66"/>
      <c r="J887" s="66"/>
      <c r="K887" s="66"/>
      <c r="L887" s="66"/>
      <c r="M887" s="66"/>
      <c r="N887" s="66"/>
      <c r="O887" s="66"/>
      <c r="P887" s="66"/>
      <c r="Q887" s="23"/>
      <c r="AB887" s="23"/>
      <c r="AC887" s="23"/>
      <c r="AD887" s="23"/>
      <c r="AE887" s="7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71"/>
      <c r="AV887" s="10"/>
      <c r="AW887" s="23"/>
      <c r="BB887" s="66"/>
      <c r="BC887" s="66"/>
      <c r="BD887" s="66"/>
      <c r="BE887" s="66"/>
      <c r="BF887" s="66"/>
      <c r="BG887" s="66"/>
      <c r="BH887" s="66"/>
      <c r="BI887" s="66"/>
      <c r="BJ887" s="66"/>
      <c r="BK887" s="66"/>
      <c r="BL887" s="66"/>
      <c r="BM887" s="66"/>
      <c r="BN887" s="66"/>
      <c r="BO887" s="66"/>
      <c r="BP887" s="66"/>
      <c r="BQ887" s="66"/>
      <c r="BR887" s="66"/>
      <c r="BS887" s="66"/>
      <c r="BT887" s="66"/>
      <c r="BU887" s="66"/>
      <c r="BV887" s="66"/>
      <c r="BW887" s="66"/>
    </row>
    <row r="888" spans="1:75" ht="15.75" customHeight="1">
      <c r="A888" s="65"/>
      <c r="B888" s="66"/>
      <c r="C888" s="66"/>
      <c r="D888" s="66"/>
      <c r="E888" s="66"/>
      <c r="F888" s="65"/>
      <c r="G888" s="65"/>
      <c r="H888" s="66"/>
      <c r="I888" s="66"/>
      <c r="J888" s="66"/>
      <c r="K888" s="66"/>
      <c r="L888" s="66"/>
      <c r="M888" s="66"/>
      <c r="N888" s="66"/>
      <c r="O888" s="66"/>
      <c r="P888" s="66"/>
      <c r="Q888" s="23"/>
      <c r="AB888" s="23"/>
      <c r="AC888" s="23"/>
      <c r="AD888" s="23"/>
      <c r="AE888" s="7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71"/>
      <c r="AV888" s="10"/>
      <c r="AW888" s="23"/>
      <c r="BB888" s="66"/>
      <c r="BC888" s="66"/>
      <c r="BD888" s="66"/>
      <c r="BE888" s="66"/>
      <c r="BF888" s="66"/>
      <c r="BG888" s="66"/>
      <c r="BH888" s="66"/>
      <c r="BI888" s="66"/>
      <c r="BJ888" s="66"/>
      <c r="BK888" s="66"/>
      <c r="BL888" s="66"/>
      <c r="BM888" s="66"/>
      <c r="BN888" s="66"/>
      <c r="BO888" s="66"/>
      <c r="BP888" s="66"/>
      <c r="BQ888" s="66"/>
      <c r="BR888" s="66"/>
      <c r="BS888" s="66"/>
      <c r="BT888" s="66"/>
      <c r="BU888" s="66"/>
      <c r="BV888" s="66"/>
      <c r="BW888" s="66"/>
    </row>
    <row r="889" spans="1:75" ht="15.75" customHeight="1">
      <c r="A889" s="65"/>
      <c r="B889" s="66"/>
      <c r="C889" s="66"/>
      <c r="D889" s="66"/>
      <c r="E889" s="66"/>
      <c r="F889" s="65"/>
      <c r="G889" s="65"/>
      <c r="H889" s="66"/>
      <c r="I889" s="66"/>
      <c r="J889" s="66"/>
      <c r="K889" s="66"/>
      <c r="L889" s="66"/>
      <c r="M889" s="66"/>
      <c r="N889" s="66"/>
      <c r="O889" s="66"/>
      <c r="P889" s="66"/>
      <c r="Q889" s="23"/>
      <c r="AB889" s="23"/>
      <c r="AC889" s="23"/>
      <c r="AD889" s="23"/>
      <c r="AE889" s="7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71"/>
      <c r="AV889" s="10"/>
      <c r="AW889" s="23"/>
      <c r="BB889" s="66"/>
      <c r="BC889" s="66"/>
      <c r="BD889" s="66"/>
      <c r="BE889" s="66"/>
      <c r="BF889" s="66"/>
      <c r="BG889" s="66"/>
      <c r="BH889" s="66"/>
      <c r="BI889" s="66"/>
      <c r="BJ889" s="66"/>
      <c r="BK889" s="66"/>
      <c r="BL889" s="66"/>
      <c r="BM889" s="66"/>
      <c r="BN889" s="66"/>
      <c r="BO889" s="66"/>
      <c r="BP889" s="66"/>
      <c r="BQ889" s="66"/>
      <c r="BR889" s="66"/>
      <c r="BS889" s="66"/>
      <c r="BT889" s="66"/>
      <c r="BU889" s="66"/>
      <c r="BV889" s="66"/>
      <c r="BW889" s="66"/>
    </row>
    <row r="890" spans="1:75" ht="15.75" customHeight="1">
      <c r="A890" s="65"/>
      <c r="B890" s="66"/>
      <c r="C890" s="66"/>
      <c r="D890" s="66"/>
      <c r="E890" s="66"/>
      <c r="F890" s="65"/>
      <c r="G890" s="65"/>
      <c r="H890" s="66"/>
      <c r="I890" s="66"/>
      <c r="J890" s="66"/>
      <c r="K890" s="66"/>
      <c r="L890" s="66"/>
      <c r="M890" s="66"/>
      <c r="N890" s="66"/>
      <c r="O890" s="66"/>
      <c r="P890" s="66"/>
      <c r="Q890" s="23"/>
      <c r="AB890" s="23"/>
      <c r="AC890" s="23"/>
      <c r="AD890" s="23"/>
      <c r="AE890" s="7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71"/>
      <c r="AV890" s="10"/>
      <c r="AW890" s="23"/>
      <c r="BB890" s="66"/>
      <c r="BC890" s="66"/>
      <c r="BD890" s="66"/>
      <c r="BE890" s="66"/>
      <c r="BF890" s="66"/>
      <c r="BG890" s="66"/>
      <c r="BH890" s="66"/>
      <c r="BI890" s="66"/>
      <c r="BJ890" s="66"/>
      <c r="BK890" s="66"/>
      <c r="BL890" s="66"/>
      <c r="BM890" s="66"/>
      <c r="BN890" s="66"/>
      <c r="BO890" s="66"/>
      <c r="BP890" s="66"/>
      <c r="BQ890" s="66"/>
      <c r="BR890" s="66"/>
      <c r="BS890" s="66"/>
      <c r="BT890" s="66"/>
      <c r="BU890" s="66"/>
      <c r="BV890" s="66"/>
      <c r="BW890" s="66"/>
    </row>
    <row r="891" spans="1:75" ht="15.75" customHeight="1">
      <c r="A891" s="65"/>
      <c r="B891" s="66"/>
      <c r="C891" s="66"/>
      <c r="D891" s="66"/>
      <c r="E891" s="66"/>
      <c r="F891" s="65"/>
      <c r="G891" s="65"/>
      <c r="H891" s="66"/>
      <c r="I891" s="66"/>
      <c r="J891" s="66"/>
      <c r="K891" s="66"/>
      <c r="L891" s="66"/>
      <c r="M891" s="66"/>
      <c r="N891" s="66"/>
      <c r="O891" s="66"/>
      <c r="P891" s="66"/>
      <c r="Q891" s="23"/>
      <c r="AB891" s="23"/>
      <c r="AC891" s="23"/>
      <c r="AD891" s="23"/>
      <c r="AE891" s="7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71"/>
      <c r="AV891" s="10"/>
      <c r="AW891" s="23"/>
      <c r="BB891" s="66"/>
      <c r="BC891" s="66"/>
      <c r="BD891" s="66"/>
      <c r="BE891" s="66"/>
      <c r="BF891" s="66"/>
      <c r="BG891" s="66"/>
      <c r="BH891" s="66"/>
      <c r="BI891" s="66"/>
      <c r="BJ891" s="66"/>
      <c r="BK891" s="66"/>
      <c r="BL891" s="66"/>
      <c r="BM891" s="66"/>
      <c r="BN891" s="66"/>
      <c r="BO891" s="66"/>
      <c r="BP891" s="66"/>
      <c r="BQ891" s="66"/>
      <c r="BR891" s="66"/>
      <c r="BS891" s="66"/>
      <c r="BT891" s="66"/>
      <c r="BU891" s="66"/>
      <c r="BV891" s="66"/>
      <c r="BW891" s="66"/>
    </row>
    <row r="892" spans="1:75" ht="15.75" customHeight="1">
      <c r="A892" s="65"/>
      <c r="B892" s="66"/>
      <c r="C892" s="66"/>
      <c r="D892" s="66"/>
      <c r="E892" s="66"/>
      <c r="F892" s="65"/>
      <c r="G892" s="65"/>
      <c r="H892" s="66"/>
      <c r="I892" s="66"/>
      <c r="J892" s="66"/>
      <c r="K892" s="66"/>
      <c r="L892" s="66"/>
      <c r="M892" s="66"/>
      <c r="N892" s="66"/>
      <c r="O892" s="66"/>
      <c r="P892" s="66"/>
      <c r="Q892" s="23"/>
      <c r="AB892" s="23"/>
      <c r="AC892" s="23"/>
      <c r="AD892" s="23"/>
      <c r="AE892" s="7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71"/>
      <c r="AV892" s="10"/>
      <c r="AW892" s="23"/>
      <c r="BB892" s="66"/>
      <c r="BC892" s="66"/>
      <c r="BD892" s="66"/>
      <c r="BE892" s="66"/>
      <c r="BF892" s="66"/>
      <c r="BG892" s="66"/>
      <c r="BH892" s="66"/>
      <c r="BI892" s="66"/>
      <c r="BJ892" s="66"/>
      <c r="BK892" s="66"/>
      <c r="BL892" s="66"/>
      <c r="BM892" s="66"/>
      <c r="BN892" s="66"/>
      <c r="BO892" s="66"/>
      <c r="BP892" s="66"/>
      <c r="BQ892" s="66"/>
      <c r="BR892" s="66"/>
      <c r="BS892" s="66"/>
      <c r="BT892" s="66"/>
      <c r="BU892" s="66"/>
      <c r="BV892" s="66"/>
      <c r="BW892" s="66"/>
    </row>
    <row r="893" spans="1:75" ht="15.75" customHeight="1">
      <c r="A893" s="65"/>
      <c r="B893" s="66"/>
      <c r="C893" s="66"/>
      <c r="D893" s="66"/>
      <c r="E893" s="66"/>
      <c r="F893" s="65"/>
      <c r="G893" s="65"/>
      <c r="H893" s="66"/>
      <c r="I893" s="66"/>
      <c r="J893" s="66"/>
      <c r="K893" s="66"/>
      <c r="L893" s="66"/>
      <c r="M893" s="66"/>
      <c r="N893" s="66"/>
      <c r="O893" s="66"/>
      <c r="P893" s="66"/>
      <c r="Q893" s="23"/>
      <c r="AB893" s="23"/>
      <c r="AC893" s="23"/>
      <c r="AD893" s="23"/>
      <c r="AE893" s="7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71"/>
      <c r="AV893" s="10"/>
      <c r="AW893" s="23"/>
      <c r="BB893" s="66"/>
      <c r="BC893" s="66"/>
      <c r="BD893" s="66"/>
      <c r="BE893" s="66"/>
      <c r="BF893" s="66"/>
      <c r="BG893" s="66"/>
      <c r="BH893" s="66"/>
      <c r="BI893" s="66"/>
      <c r="BJ893" s="66"/>
      <c r="BK893" s="66"/>
      <c r="BL893" s="66"/>
      <c r="BM893" s="66"/>
      <c r="BN893" s="66"/>
      <c r="BO893" s="66"/>
      <c r="BP893" s="66"/>
      <c r="BQ893" s="66"/>
      <c r="BR893" s="66"/>
      <c r="BS893" s="66"/>
      <c r="BT893" s="66"/>
      <c r="BU893" s="66"/>
      <c r="BV893" s="66"/>
      <c r="BW893" s="66"/>
    </row>
    <row r="894" spans="1:75" ht="15.75" customHeight="1">
      <c r="A894" s="65"/>
      <c r="B894" s="66"/>
      <c r="C894" s="66"/>
      <c r="D894" s="66"/>
      <c r="E894" s="66"/>
      <c r="F894" s="65"/>
      <c r="G894" s="65"/>
      <c r="H894" s="66"/>
      <c r="I894" s="66"/>
      <c r="J894" s="66"/>
      <c r="K894" s="66"/>
      <c r="L894" s="66"/>
      <c r="M894" s="66"/>
      <c r="N894" s="66"/>
      <c r="O894" s="66"/>
      <c r="P894" s="66"/>
      <c r="Q894" s="23"/>
      <c r="AB894" s="23"/>
      <c r="AC894" s="23"/>
      <c r="AD894" s="23"/>
      <c r="AE894" s="7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71"/>
      <c r="AV894" s="10"/>
      <c r="AW894" s="23"/>
      <c r="BB894" s="66"/>
      <c r="BC894" s="66"/>
      <c r="BD894" s="66"/>
      <c r="BE894" s="66"/>
      <c r="BF894" s="66"/>
      <c r="BG894" s="66"/>
      <c r="BH894" s="66"/>
      <c r="BI894" s="66"/>
      <c r="BJ894" s="66"/>
      <c r="BK894" s="66"/>
      <c r="BL894" s="66"/>
      <c r="BM894" s="66"/>
      <c r="BN894" s="66"/>
      <c r="BO894" s="66"/>
      <c r="BP894" s="66"/>
      <c r="BQ894" s="66"/>
      <c r="BR894" s="66"/>
      <c r="BS894" s="66"/>
      <c r="BT894" s="66"/>
      <c r="BU894" s="66"/>
      <c r="BV894" s="66"/>
      <c r="BW894" s="66"/>
    </row>
    <row r="895" spans="1:75" ht="15.75" customHeight="1">
      <c r="A895" s="65"/>
      <c r="B895" s="66"/>
      <c r="C895" s="66"/>
      <c r="D895" s="66"/>
      <c r="E895" s="66"/>
      <c r="F895" s="65"/>
      <c r="G895" s="65"/>
      <c r="H895" s="66"/>
      <c r="I895" s="66"/>
      <c r="J895" s="66"/>
      <c r="K895" s="66"/>
      <c r="L895" s="66"/>
      <c r="M895" s="66"/>
      <c r="N895" s="66"/>
      <c r="O895" s="66"/>
      <c r="P895" s="66"/>
      <c r="Q895" s="23"/>
      <c r="AB895" s="23"/>
      <c r="AC895" s="23"/>
      <c r="AD895" s="23"/>
      <c r="AE895" s="7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71"/>
      <c r="AV895" s="10"/>
      <c r="AW895" s="23"/>
      <c r="BB895" s="66"/>
      <c r="BC895" s="66"/>
      <c r="BD895" s="66"/>
      <c r="BE895" s="66"/>
      <c r="BF895" s="66"/>
      <c r="BG895" s="66"/>
      <c r="BH895" s="66"/>
      <c r="BI895" s="66"/>
      <c r="BJ895" s="66"/>
      <c r="BK895" s="66"/>
      <c r="BL895" s="66"/>
      <c r="BM895" s="66"/>
      <c r="BN895" s="66"/>
      <c r="BO895" s="66"/>
      <c r="BP895" s="66"/>
      <c r="BQ895" s="66"/>
      <c r="BR895" s="66"/>
      <c r="BS895" s="66"/>
      <c r="BT895" s="66"/>
      <c r="BU895" s="66"/>
      <c r="BV895" s="66"/>
      <c r="BW895" s="66"/>
    </row>
    <row r="896" spans="1:75" ht="15.75" customHeight="1">
      <c r="A896" s="65"/>
      <c r="B896" s="66"/>
      <c r="C896" s="66"/>
      <c r="D896" s="66"/>
      <c r="E896" s="66"/>
      <c r="F896" s="65"/>
      <c r="G896" s="65"/>
      <c r="H896" s="66"/>
      <c r="I896" s="66"/>
      <c r="J896" s="66"/>
      <c r="K896" s="66"/>
      <c r="L896" s="66"/>
      <c r="M896" s="66"/>
      <c r="N896" s="66"/>
      <c r="O896" s="66"/>
      <c r="P896" s="66"/>
      <c r="Q896" s="23"/>
      <c r="AB896" s="23"/>
      <c r="AC896" s="23"/>
      <c r="AD896" s="23"/>
      <c r="AE896" s="7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71"/>
      <c r="AV896" s="10"/>
      <c r="AW896" s="23"/>
      <c r="BB896" s="66"/>
      <c r="BC896" s="66"/>
      <c r="BD896" s="66"/>
      <c r="BE896" s="66"/>
      <c r="BF896" s="66"/>
      <c r="BG896" s="66"/>
      <c r="BH896" s="66"/>
      <c r="BI896" s="66"/>
      <c r="BJ896" s="66"/>
      <c r="BK896" s="66"/>
      <c r="BL896" s="66"/>
      <c r="BM896" s="66"/>
      <c r="BN896" s="66"/>
      <c r="BO896" s="66"/>
      <c r="BP896" s="66"/>
      <c r="BQ896" s="66"/>
      <c r="BR896" s="66"/>
      <c r="BS896" s="66"/>
      <c r="BT896" s="66"/>
      <c r="BU896" s="66"/>
      <c r="BV896" s="66"/>
      <c r="BW896" s="66"/>
    </row>
    <row r="897" spans="1:75" ht="15.75" customHeight="1">
      <c r="A897" s="65"/>
      <c r="B897" s="66"/>
      <c r="C897" s="66"/>
      <c r="D897" s="66"/>
      <c r="E897" s="66"/>
      <c r="F897" s="65"/>
      <c r="G897" s="65"/>
      <c r="H897" s="66"/>
      <c r="I897" s="66"/>
      <c r="J897" s="66"/>
      <c r="K897" s="66"/>
      <c r="L897" s="66"/>
      <c r="M897" s="66"/>
      <c r="N897" s="66"/>
      <c r="O897" s="66"/>
      <c r="P897" s="66"/>
      <c r="Q897" s="23"/>
      <c r="AB897" s="23"/>
      <c r="AC897" s="23"/>
      <c r="AD897" s="23"/>
      <c r="AE897" s="7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71"/>
      <c r="AV897" s="10"/>
      <c r="AW897" s="23"/>
      <c r="BB897" s="66"/>
      <c r="BC897" s="66"/>
      <c r="BD897" s="66"/>
      <c r="BE897" s="66"/>
      <c r="BF897" s="66"/>
      <c r="BG897" s="66"/>
      <c r="BH897" s="66"/>
      <c r="BI897" s="66"/>
      <c r="BJ897" s="66"/>
      <c r="BK897" s="66"/>
      <c r="BL897" s="66"/>
      <c r="BM897" s="66"/>
      <c r="BN897" s="66"/>
      <c r="BO897" s="66"/>
      <c r="BP897" s="66"/>
      <c r="BQ897" s="66"/>
      <c r="BR897" s="66"/>
      <c r="BS897" s="66"/>
      <c r="BT897" s="66"/>
      <c r="BU897" s="66"/>
      <c r="BV897" s="66"/>
      <c r="BW897" s="66"/>
    </row>
    <row r="898" spans="1:75" ht="15.75" customHeight="1">
      <c r="A898" s="65"/>
      <c r="B898" s="66"/>
      <c r="C898" s="66"/>
      <c r="D898" s="66"/>
      <c r="E898" s="66"/>
      <c r="F898" s="65"/>
      <c r="G898" s="65"/>
      <c r="H898" s="66"/>
      <c r="I898" s="66"/>
      <c r="J898" s="66"/>
      <c r="K898" s="66"/>
      <c r="L898" s="66"/>
      <c r="M898" s="66"/>
      <c r="N898" s="66"/>
      <c r="O898" s="66"/>
      <c r="P898" s="66"/>
      <c r="Q898" s="23"/>
      <c r="AB898" s="23"/>
      <c r="AC898" s="23"/>
      <c r="AD898" s="23"/>
      <c r="AE898" s="7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71"/>
      <c r="AV898" s="10"/>
      <c r="AW898" s="23"/>
      <c r="BB898" s="66"/>
      <c r="BC898" s="66"/>
      <c r="BD898" s="66"/>
      <c r="BE898" s="66"/>
      <c r="BF898" s="66"/>
      <c r="BG898" s="66"/>
      <c r="BH898" s="66"/>
      <c r="BI898" s="66"/>
      <c r="BJ898" s="66"/>
      <c r="BK898" s="66"/>
      <c r="BL898" s="66"/>
      <c r="BM898" s="66"/>
      <c r="BN898" s="66"/>
      <c r="BO898" s="66"/>
      <c r="BP898" s="66"/>
      <c r="BQ898" s="66"/>
      <c r="BR898" s="66"/>
      <c r="BS898" s="66"/>
      <c r="BT898" s="66"/>
      <c r="BU898" s="66"/>
      <c r="BV898" s="66"/>
      <c r="BW898" s="66"/>
    </row>
    <row r="899" spans="1:75" ht="15.75" customHeight="1">
      <c r="A899" s="65"/>
      <c r="B899" s="66"/>
      <c r="C899" s="66"/>
      <c r="D899" s="66"/>
      <c r="E899" s="66"/>
      <c r="F899" s="65"/>
      <c r="G899" s="65"/>
      <c r="H899" s="66"/>
      <c r="I899" s="66"/>
      <c r="J899" s="66"/>
      <c r="K899" s="66"/>
      <c r="L899" s="66"/>
      <c r="M899" s="66"/>
      <c r="N899" s="66"/>
      <c r="O899" s="66"/>
      <c r="P899" s="66"/>
      <c r="Q899" s="23"/>
      <c r="AB899" s="23"/>
      <c r="AC899" s="23"/>
      <c r="AD899" s="23"/>
      <c r="AE899" s="7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71"/>
      <c r="AV899" s="10"/>
      <c r="AW899" s="23"/>
      <c r="BB899" s="66"/>
      <c r="BC899" s="66"/>
      <c r="BD899" s="66"/>
      <c r="BE899" s="66"/>
      <c r="BF899" s="66"/>
      <c r="BG899" s="66"/>
      <c r="BH899" s="66"/>
      <c r="BI899" s="66"/>
      <c r="BJ899" s="66"/>
      <c r="BK899" s="66"/>
      <c r="BL899" s="66"/>
      <c r="BM899" s="66"/>
      <c r="BN899" s="66"/>
      <c r="BO899" s="66"/>
      <c r="BP899" s="66"/>
      <c r="BQ899" s="66"/>
      <c r="BR899" s="66"/>
      <c r="BS899" s="66"/>
      <c r="BT899" s="66"/>
      <c r="BU899" s="66"/>
      <c r="BV899" s="66"/>
      <c r="BW899" s="66"/>
    </row>
    <row r="900" spans="1:75" ht="15.75" customHeight="1">
      <c r="A900" s="65"/>
      <c r="B900" s="66"/>
      <c r="C900" s="66"/>
      <c r="D900" s="66"/>
      <c r="E900" s="66"/>
      <c r="F900" s="65"/>
      <c r="G900" s="65"/>
      <c r="H900" s="66"/>
      <c r="I900" s="66"/>
      <c r="J900" s="66"/>
      <c r="K900" s="66"/>
      <c r="L900" s="66"/>
      <c r="M900" s="66"/>
      <c r="N900" s="66"/>
      <c r="O900" s="66"/>
      <c r="P900" s="66"/>
      <c r="Q900" s="23"/>
      <c r="AB900" s="23"/>
      <c r="AC900" s="23"/>
      <c r="AD900" s="23"/>
      <c r="AE900" s="7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71"/>
      <c r="AV900" s="10"/>
      <c r="AW900" s="23"/>
      <c r="BB900" s="66"/>
      <c r="BC900" s="66"/>
      <c r="BD900" s="66"/>
      <c r="BE900" s="66"/>
      <c r="BF900" s="66"/>
      <c r="BG900" s="66"/>
      <c r="BH900" s="66"/>
      <c r="BI900" s="66"/>
      <c r="BJ900" s="66"/>
      <c r="BK900" s="66"/>
      <c r="BL900" s="66"/>
      <c r="BM900" s="66"/>
      <c r="BN900" s="66"/>
      <c r="BO900" s="66"/>
      <c r="BP900" s="66"/>
      <c r="BQ900" s="66"/>
      <c r="BR900" s="66"/>
      <c r="BS900" s="66"/>
      <c r="BT900" s="66"/>
      <c r="BU900" s="66"/>
      <c r="BV900" s="66"/>
      <c r="BW900" s="66"/>
    </row>
    <row r="901" spans="1:75" ht="15.75" customHeight="1">
      <c r="A901" s="65"/>
      <c r="B901" s="66"/>
      <c r="C901" s="66"/>
      <c r="D901" s="66"/>
      <c r="E901" s="66"/>
      <c r="F901" s="65"/>
      <c r="G901" s="65"/>
      <c r="H901" s="66"/>
      <c r="I901" s="66"/>
      <c r="J901" s="66"/>
      <c r="K901" s="66"/>
      <c r="L901" s="66"/>
      <c r="M901" s="66"/>
      <c r="N901" s="66"/>
      <c r="O901" s="66"/>
      <c r="P901" s="66"/>
      <c r="Q901" s="23"/>
      <c r="AB901" s="23"/>
      <c r="AC901" s="23"/>
      <c r="AD901" s="23"/>
      <c r="AE901" s="7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71"/>
      <c r="AV901" s="10"/>
      <c r="AW901" s="23"/>
      <c r="BB901" s="66"/>
      <c r="BC901" s="66"/>
      <c r="BD901" s="66"/>
      <c r="BE901" s="66"/>
      <c r="BF901" s="66"/>
      <c r="BG901" s="66"/>
      <c r="BH901" s="66"/>
      <c r="BI901" s="66"/>
      <c r="BJ901" s="66"/>
      <c r="BK901" s="66"/>
      <c r="BL901" s="66"/>
      <c r="BM901" s="66"/>
      <c r="BN901" s="66"/>
      <c r="BO901" s="66"/>
      <c r="BP901" s="66"/>
      <c r="BQ901" s="66"/>
      <c r="BR901" s="66"/>
      <c r="BS901" s="66"/>
      <c r="BT901" s="66"/>
      <c r="BU901" s="66"/>
      <c r="BV901" s="66"/>
      <c r="BW901" s="66"/>
    </row>
    <row r="902" spans="1:75" ht="15.75" customHeight="1">
      <c r="A902" s="65"/>
      <c r="B902" s="66"/>
      <c r="C902" s="66"/>
      <c r="D902" s="66"/>
      <c r="E902" s="66"/>
      <c r="F902" s="65"/>
      <c r="G902" s="65"/>
      <c r="H902" s="66"/>
      <c r="I902" s="66"/>
      <c r="J902" s="66"/>
      <c r="K902" s="66"/>
      <c r="L902" s="66"/>
      <c r="M902" s="66"/>
      <c r="N902" s="66"/>
      <c r="O902" s="66"/>
      <c r="P902" s="66"/>
      <c r="Q902" s="23"/>
      <c r="AB902" s="23"/>
      <c r="AC902" s="23"/>
      <c r="AD902" s="23"/>
      <c r="AE902" s="7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71"/>
      <c r="AV902" s="10"/>
      <c r="AW902" s="23"/>
      <c r="BB902" s="66"/>
      <c r="BC902" s="66"/>
      <c r="BD902" s="66"/>
      <c r="BE902" s="66"/>
      <c r="BF902" s="66"/>
      <c r="BG902" s="66"/>
      <c r="BH902" s="66"/>
      <c r="BI902" s="66"/>
      <c r="BJ902" s="66"/>
      <c r="BK902" s="66"/>
      <c r="BL902" s="66"/>
      <c r="BM902" s="66"/>
      <c r="BN902" s="66"/>
      <c r="BO902" s="66"/>
      <c r="BP902" s="66"/>
      <c r="BQ902" s="66"/>
      <c r="BR902" s="66"/>
      <c r="BS902" s="66"/>
      <c r="BT902" s="66"/>
      <c r="BU902" s="66"/>
      <c r="BV902" s="66"/>
      <c r="BW902" s="66"/>
    </row>
    <row r="903" spans="1:75" ht="15.75" customHeight="1">
      <c r="A903" s="65"/>
      <c r="B903" s="66"/>
      <c r="C903" s="66"/>
      <c r="D903" s="66"/>
      <c r="E903" s="66"/>
      <c r="F903" s="65"/>
      <c r="G903" s="65"/>
      <c r="H903" s="66"/>
      <c r="I903" s="66"/>
      <c r="J903" s="66"/>
      <c r="K903" s="66"/>
      <c r="L903" s="66"/>
      <c r="M903" s="66"/>
      <c r="N903" s="66"/>
      <c r="O903" s="66"/>
      <c r="P903" s="66"/>
      <c r="Q903" s="23"/>
      <c r="AB903" s="23"/>
      <c r="AC903" s="23"/>
      <c r="AD903" s="23"/>
      <c r="AE903" s="7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71"/>
      <c r="AV903" s="10"/>
      <c r="AW903" s="23"/>
      <c r="BB903" s="66"/>
      <c r="BC903" s="66"/>
      <c r="BD903" s="66"/>
      <c r="BE903" s="66"/>
      <c r="BF903" s="66"/>
      <c r="BG903" s="66"/>
      <c r="BH903" s="66"/>
      <c r="BI903" s="66"/>
      <c r="BJ903" s="66"/>
      <c r="BK903" s="66"/>
      <c r="BL903" s="66"/>
      <c r="BM903" s="66"/>
      <c r="BN903" s="66"/>
      <c r="BO903" s="66"/>
      <c r="BP903" s="66"/>
      <c r="BQ903" s="66"/>
      <c r="BR903" s="66"/>
      <c r="BS903" s="66"/>
      <c r="BT903" s="66"/>
      <c r="BU903" s="66"/>
      <c r="BV903" s="66"/>
      <c r="BW903" s="66"/>
    </row>
    <row r="904" spans="1:75" ht="15.75" customHeight="1">
      <c r="A904" s="65"/>
      <c r="B904" s="66"/>
      <c r="C904" s="66"/>
      <c r="D904" s="66"/>
      <c r="E904" s="66"/>
      <c r="F904" s="65"/>
      <c r="G904" s="65"/>
      <c r="H904" s="66"/>
      <c r="I904" s="66"/>
      <c r="J904" s="66"/>
      <c r="K904" s="66"/>
      <c r="L904" s="66"/>
      <c r="M904" s="66"/>
      <c r="N904" s="66"/>
      <c r="O904" s="66"/>
      <c r="P904" s="66"/>
      <c r="Q904" s="23"/>
      <c r="AB904" s="23"/>
      <c r="AC904" s="23"/>
      <c r="AD904" s="23"/>
      <c r="AE904" s="7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71"/>
      <c r="AV904" s="10"/>
      <c r="AW904" s="23"/>
      <c r="BB904" s="66"/>
      <c r="BC904" s="66"/>
      <c r="BD904" s="66"/>
      <c r="BE904" s="66"/>
      <c r="BF904" s="66"/>
      <c r="BG904" s="66"/>
      <c r="BH904" s="66"/>
      <c r="BI904" s="66"/>
      <c r="BJ904" s="66"/>
      <c r="BK904" s="66"/>
      <c r="BL904" s="66"/>
      <c r="BM904" s="66"/>
      <c r="BN904" s="66"/>
      <c r="BO904" s="66"/>
      <c r="BP904" s="66"/>
      <c r="BQ904" s="66"/>
      <c r="BR904" s="66"/>
      <c r="BS904" s="66"/>
      <c r="BT904" s="66"/>
      <c r="BU904" s="66"/>
      <c r="BV904" s="66"/>
      <c r="BW904" s="66"/>
    </row>
    <row r="905" spans="1:75" ht="15.75" customHeight="1">
      <c r="A905" s="65"/>
      <c r="B905" s="66"/>
      <c r="C905" s="66"/>
      <c r="D905" s="66"/>
      <c r="E905" s="66"/>
      <c r="F905" s="65"/>
      <c r="G905" s="65"/>
      <c r="H905" s="66"/>
      <c r="I905" s="66"/>
      <c r="J905" s="66"/>
      <c r="K905" s="66"/>
      <c r="L905" s="66"/>
      <c r="M905" s="66"/>
      <c r="N905" s="66"/>
      <c r="O905" s="66"/>
      <c r="P905" s="66"/>
      <c r="Q905" s="23"/>
      <c r="AB905" s="23"/>
      <c r="AC905" s="23"/>
      <c r="AD905" s="23"/>
      <c r="AE905" s="7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71"/>
      <c r="AV905" s="10"/>
      <c r="AW905" s="23"/>
      <c r="BB905" s="66"/>
      <c r="BC905" s="66"/>
      <c r="BD905" s="66"/>
      <c r="BE905" s="66"/>
      <c r="BF905" s="66"/>
      <c r="BG905" s="66"/>
      <c r="BH905" s="66"/>
      <c r="BI905" s="66"/>
      <c r="BJ905" s="66"/>
      <c r="BK905" s="66"/>
      <c r="BL905" s="66"/>
      <c r="BM905" s="66"/>
      <c r="BN905" s="66"/>
      <c r="BO905" s="66"/>
      <c r="BP905" s="66"/>
      <c r="BQ905" s="66"/>
      <c r="BR905" s="66"/>
      <c r="BS905" s="66"/>
      <c r="BT905" s="66"/>
      <c r="BU905" s="66"/>
      <c r="BV905" s="66"/>
      <c r="BW905" s="66"/>
    </row>
    <row r="906" spans="1:75" ht="15.75" customHeight="1">
      <c r="A906" s="65"/>
      <c r="B906" s="66"/>
      <c r="C906" s="66"/>
      <c r="D906" s="66"/>
      <c r="E906" s="66"/>
      <c r="F906" s="65"/>
      <c r="G906" s="65"/>
      <c r="H906" s="66"/>
      <c r="I906" s="66"/>
      <c r="J906" s="66"/>
      <c r="K906" s="66"/>
      <c r="L906" s="66"/>
      <c r="M906" s="66"/>
      <c r="N906" s="66"/>
      <c r="O906" s="66"/>
      <c r="P906" s="66"/>
      <c r="Q906" s="23"/>
      <c r="AB906" s="23"/>
      <c r="AC906" s="23"/>
      <c r="AD906" s="23"/>
      <c r="AE906" s="7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71"/>
      <c r="AV906" s="10"/>
      <c r="AW906" s="23"/>
      <c r="BB906" s="66"/>
      <c r="BC906" s="66"/>
      <c r="BD906" s="66"/>
      <c r="BE906" s="66"/>
      <c r="BF906" s="66"/>
      <c r="BG906" s="66"/>
      <c r="BH906" s="66"/>
      <c r="BI906" s="66"/>
      <c r="BJ906" s="66"/>
      <c r="BK906" s="66"/>
      <c r="BL906" s="66"/>
      <c r="BM906" s="66"/>
      <c r="BN906" s="66"/>
      <c r="BO906" s="66"/>
      <c r="BP906" s="66"/>
      <c r="BQ906" s="66"/>
      <c r="BR906" s="66"/>
      <c r="BS906" s="66"/>
      <c r="BT906" s="66"/>
      <c r="BU906" s="66"/>
      <c r="BV906" s="66"/>
      <c r="BW906" s="66"/>
    </row>
    <row r="907" spans="1:75" ht="15.75" customHeight="1">
      <c r="A907" s="65"/>
      <c r="B907" s="66"/>
      <c r="C907" s="66"/>
      <c r="D907" s="66"/>
      <c r="E907" s="66"/>
      <c r="F907" s="65"/>
      <c r="G907" s="65"/>
      <c r="H907" s="66"/>
      <c r="I907" s="66"/>
      <c r="J907" s="66"/>
      <c r="K907" s="66"/>
      <c r="L907" s="66"/>
      <c r="M907" s="66"/>
      <c r="N907" s="66"/>
      <c r="O907" s="66"/>
      <c r="P907" s="66"/>
      <c r="Q907" s="23"/>
      <c r="AB907" s="23"/>
      <c r="AC907" s="23"/>
      <c r="AD907" s="23"/>
      <c r="AE907" s="7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71"/>
      <c r="AV907" s="10"/>
      <c r="AW907" s="23"/>
      <c r="BB907" s="66"/>
      <c r="BC907" s="66"/>
      <c r="BD907" s="66"/>
      <c r="BE907" s="66"/>
      <c r="BF907" s="66"/>
      <c r="BG907" s="66"/>
      <c r="BH907" s="66"/>
      <c r="BI907" s="66"/>
      <c r="BJ907" s="66"/>
      <c r="BK907" s="66"/>
      <c r="BL907" s="66"/>
      <c r="BM907" s="66"/>
      <c r="BN907" s="66"/>
      <c r="BO907" s="66"/>
      <c r="BP907" s="66"/>
      <c r="BQ907" s="66"/>
      <c r="BR907" s="66"/>
      <c r="BS907" s="66"/>
      <c r="BT907" s="66"/>
      <c r="BU907" s="66"/>
      <c r="BV907" s="66"/>
      <c r="BW907" s="66"/>
    </row>
    <row r="908" spans="1:75" ht="15.75" customHeight="1">
      <c r="A908" s="65"/>
      <c r="B908" s="66"/>
      <c r="C908" s="66"/>
      <c r="D908" s="66"/>
      <c r="E908" s="66"/>
      <c r="F908" s="65"/>
      <c r="G908" s="65"/>
      <c r="H908" s="66"/>
      <c r="I908" s="66"/>
      <c r="J908" s="66"/>
      <c r="K908" s="66"/>
      <c r="L908" s="66"/>
      <c r="M908" s="66"/>
      <c r="N908" s="66"/>
      <c r="O908" s="66"/>
      <c r="P908" s="66"/>
      <c r="Q908" s="23"/>
      <c r="AB908" s="23"/>
      <c r="AC908" s="23"/>
      <c r="AD908" s="23"/>
      <c r="AE908" s="7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71"/>
      <c r="AV908" s="10"/>
      <c r="AW908" s="23"/>
      <c r="BB908" s="66"/>
      <c r="BC908" s="66"/>
      <c r="BD908" s="66"/>
      <c r="BE908" s="66"/>
      <c r="BF908" s="66"/>
      <c r="BG908" s="66"/>
      <c r="BH908" s="66"/>
      <c r="BI908" s="66"/>
      <c r="BJ908" s="66"/>
      <c r="BK908" s="66"/>
      <c r="BL908" s="66"/>
      <c r="BM908" s="66"/>
      <c r="BN908" s="66"/>
      <c r="BO908" s="66"/>
      <c r="BP908" s="66"/>
      <c r="BQ908" s="66"/>
      <c r="BR908" s="66"/>
      <c r="BS908" s="66"/>
      <c r="BT908" s="66"/>
      <c r="BU908" s="66"/>
      <c r="BV908" s="66"/>
      <c r="BW908" s="66"/>
    </row>
    <row r="909" spans="1:75" ht="15.75" customHeight="1">
      <c r="A909" s="65"/>
      <c r="B909" s="66"/>
      <c r="C909" s="66"/>
      <c r="D909" s="66"/>
      <c r="E909" s="66"/>
      <c r="F909" s="65"/>
      <c r="G909" s="65"/>
      <c r="H909" s="66"/>
      <c r="I909" s="66"/>
      <c r="J909" s="66"/>
      <c r="K909" s="66"/>
      <c r="L909" s="66"/>
      <c r="M909" s="66"/>
      <c r="N909" s="66"/>
      <c r="O909" s="66"/>
      <c r="P909" s="66"/>
      <c r="Q909" s="23"/>
      <c r="AB909" s="23"/>
      <c r="AC909" s="23"/>
      <c r="AD909" s="23"/>
      <c r="AE909" s="7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71"/>
      <c r="AV909" s="10"/>
      <c r="AW909" s="23"/>
      <c r="BB909" s="66"/>
      <c r="BC909" s="66"/>
      <c r="BD909" s="66"/>
      <c r="BE909" s="66"/>
      <c r="BF909" s="66"/>
      <c r="BG909" s="66"/>
      <c r="BH909" s="66"/>
      <c r="BI909" s="66"/>
      <c r="BJ909" s="66"/>
      <c r="BK909" s="66"/>
      <c r="BL909" s="66"/>
      <c r="BM909" s="66"/>
      <c r="BN909" s="66"/>
      <c r="BO909" s="66"/>
      <c r="BP909" s="66"/>
      <c r="BQ909" s="66"/>
      <c r="BR909" s="66"/>
      <c r="BS909" s="66"/>
      <c r="BT909" s="66"/>
      <c r="BU909" s="66"/>
      <c r="BV909" s="66"/>
      <c r="BW909" s="66"/>
    </row>
    <row r="910" spans="1:75" ht="15.75" customHeight="1">
      <c r="A910" s="65"/>
      <c r="B910" s="66"/>
      <c r="C910" s="66"/>
      <c r="D910" s="66"/>
      <c r="E910" s="66"/>
      <c r="F910" s="65"/>
      <c r="G910" s="65"/>
      <c r="H910" s="66"/>
      <c r="I910" s="66"/>
      <c r="J910" s="66"/>
      <c r="K910" s="66"/>
      <c r="L910" s="66"/>
      <c r="M910" s="66"/>
      <c r="N910" s="66"/>
      <c r="O910" s="66"/>
      <c r="P910" s="66"/>
      <c r="Q910" s="23"/>
      <c r="AB910" s="23"/>
      <c r="AC910" s="23"/>
      <c r="AD910" s="23"/>
      <c r="AE910" s="7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71"/>
      <c r="AV910" s="10"/>
      <c r="AW910" s="23"/>
      <c r="BB910" s="66"/>
      <c r="BC910" s="66"/>
      <c r="BD910" s="66"/>
      <c r="BE910" s="66"/>
      <c r="BF910" s="66"/>
      <c r="BG910" s="66"/>
      <c r="BH910" s="66"/>
      <c r="BI910" s="66"/>
      <c r="BJ910" s="66"/>
      <c r="BK910" s="66"/>
      <c r="BL910" s="66"/>
      <c r="BM910" s="66"/>
      <c r="BN910" s="66"/>
      <c r="BO910" s="66"/>
      <c r="BP910" s="66"/>
      <c r="BQ910" s="66"/>
      <c r="BR910" s="66"/>
      <c r="BS910" s="66"/>
      <c r="BT910" s="66"/>
      <c r="BU910" s="66"/>
      <c r="BV910" s="66"/>
      <c r="BW910" s="66"/>
    </row>
    <row r="911" spans="1:75" ht="15.75" customHeight="1">
      <c r="A911" s="65"/>
      <c r="B911" s="66"/>
      <c r="C911" s="66"/>
      <c r="D911" s="66"/>
      <c r="E911" s="66"/>
      <c r="F911" s="65"/>
      <c r="G911" s="65"/>
      <c r="H911" s="66"/>
      <c r="I911" s="66"/>
      <c r="J911" s="66"/>
      <c r="K911" s="66"/>
      <c r="L911" s="66"/>
      <c r="M911" s="66"/>
      <c r="N911" s="66"/>
      <c r="O911" s="66"/>
      <c r="P911" s="66"/>
      <c r="Q911" s="23"/>
      <c r="AB911" s="23"/>
      <c r="AC911" s="23"/>
      <c r="AD911" s="23"/>
      <c r="AE911" s="7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71"/>
      <c r="AV911" s="10"/>
      <c r="AW911" s="23"/>
      <c r="BB911" s="66"/>
      <c r="BC911" s="66"/>
      <c r="BD911" s="66"/>
      <c r="BE911" s="66"/>
      <c r="BF911" s="66"/>
      <c r="BG911" s="66"/>
      <c r="BH911" s="66"/>
      <c r="BI911" s="66"/>
      <c r="BJ911" s="66"/>
      <c r="BK911" s="66"/>
      <c r="BL911" s="66"/>
      <c r="BM911" s="66"/>
      <c r="BN911" s="66"/>
      <c r="BO911" s="66"/>
      <c r="BP911" s="66"/>
      <c r="BQ911" s="66"/>
      <c r="BR911" s="66"/>
      <c r="BS911" s="66"/>
      <c r="BT911" s="66"/>
      <c r="BU911" s="66"/>
      <c r="BV911" s="66"/>
      <c r="BW911" s="66"/>
    </row>
    <row r="912" spans="1:75" ht="15.75" customHeight="1">
      <c r="A912" s="65"/>
      <c r="B912" s="66"/>
      <c r="C912" s="66"/>
      <c r="D912" s="66"/>
      <c r="E912" s="66"/>
      <c r="F912" s="65"/>
      <c r="G912" s="65"/>
      <c r="H912" s="66"/>
      <c r="I912" s="66"/>
      <c r="J912" s="66"/>
      <c r="K912" s="66"/>
      <c r="L912" s="66"/>
      <c r="M912" s="66"/>
      <c r="N912" s="66"/>
      <c r="O912" s="66"/>
      <c r="P912" s="66"/>
      <c r="Q912" s="23"/>
      <c r="AB912" s="23"/>
      <c r="AC912" s="23"/>
      <c r="AD912" s="23"/>
      <c r="AE912" s="7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71"/>
      <c r="AV912" s="10"/>
      <c r="AW912" s="23"/>
      <c r="BB912" s="66"/>
      <c r="BC912" s="66"/>
      <c r="BD912" s="66"/>
      <c r="BE912" s="66"/>
      <c r="BF912" s="66"/>
      <c r="BG912" s="66"/>
      <c r="BH912" s="66"/>
      <c r="BI912" s="66"/>
      <c r="BJ912" s="66"/>
      <c r="BK912" s="66"/>
      <c r="BL912" s="66"/>
      <c r="BM912" s="66"/>
      <c r="BN912" s="66"/>
      <c r="BO912" s="66"/>
      <c r="BP912" s="66"/>
      <c r="BQ912" s="66"/>
      <c r="BR912" s="66"/>
      <c r="BS912" s="66"/>
      <c r="BT912" s="66"/>
      <c r="BU912" s="66"/>
      <c r="BV912" s="66"/>
      <c r="BW912" s="66"/>
    </row>
    <row r="913" spans="1:75" ht="15.75" customHeight="1">
      <c r="A913" s="65"/>
      <c r="B913" s="66"/>
      <c r="C913" s="66"/>
      <c r="D913" s="66"/>
      <c r="E913" s="66"/>
      <c r="F913" s="65"/>
      <c r="G913" s="65"/>
      <c r="H913" s="66"/>
      <c r="I913" s="66"/>
      <c r="J913" s="66"/>
      <c r="K913" s="66"/>
      <c r="L913" s="66"/>
      <c r="M913" s="66"/>
      <c r="N913" s="66"/>
      <c r="O913" s="66"/>
      <c r="P913" s="66"/>
      <c r="Q913" s="23"/>
      <c r="AB913" s="23"/>
      <c r="AC913" s="23"/>
      <c r="AD913" s="23"/>
      <c r="AE913" s="7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71"/>
      <c r="AV913" s="10"/>
      <c r="AW913" s="23"/>
      <c r="BB913" s="66"/>
      <c r="BC913" s="66"/>
      <c r="BD913" s="66"/>
      <c r="BE913" s="66"/>
      <c r="BF913" s="66"/>
      <c r="BG913" s="66"/>
      <c r="BH913" s="66"/>
      <c r="BI913" s="66"/>
      <c r="BJ913" s="66"/>
      <c r="BK913" s="66"/>
      <c r="BL913" s="66"/>
      <c r="BM913" s="66"/>
      <c r="BN913" s="66"/>
      <c r="BO913" s="66"/>
      <c r="BP913" s="66"/>
      <c r="BQ913" s="66"/>
      <c r="BR913" s="66"/>
      <c r="BS913" s="66"/>
      <c r="BT913" s="66"/>
      <c r="BU913" s="66"/>
      <c r="BV913" s="66"/>
      <c r="BW913" s="66"/>
    </row>
    <row r="914" spans="1:75" ht="15.75" customHeight="1">
      <c r="A914" s="65"/>
      <c r="B914" s="66"/>
      <c r="C914" s="66"/>
      <c r="D914" s="66"/>
      <c r="E914" s="66"/>
      <c r="F914" s="65"/>
      <c r="G914" s="65"/>
      <c r="H914" s="66"/>
      <c r="I914" s="66"/>
      <c r="J914" s="66"/>
      <c r="K914" s="66"/>
      <c r="L914" s="66"/>
      <c r="M914" s="66"/>
      <c r="N914" s="66"/>
      <c r="O914" s="66"/>
      <c r="P914" s="66"/>
      <c r="Q914" s="23"/>
      <c r="AB914" s="23"/>
      <c r="AC914" s="23"/>
      <c r="AD914" s="23"/>
      <c r="AE914" s="7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71"/>
      <c r="AV914" s="10"/>
      <c r="AW914" s="23"/>
      <c r="BB914" s="66"/>
      <c r="BC914" s="66"/>
      <c r="BD914" s="66"/>
      <c r="BE914" s="66"/>
      <c r="BF914" s="66"/>
      <c r="BG914" s="66"/>
      <c r="BH914" s="66"/>
      <c r="BI914" s="66"/>
      <c r="BJ914" s="66"/>
      <c r="BK914" s="66"/>
      <c r="BL914" s="66"/>
      <c r="BM914" s="66"/>
      <c r="BN914" s="66"/>
      <c r="BO914" s="66"/>
      <c r="BP914" s="66"/>
      <c r="BQ914" s="66"/>
      <c r="BR914" s="66"/>
      <c r="BS914" s="66"/>
      <c r="BT914" s="66"/>
      <c r="BU914" s="66"/>
      <c r="BV914" s="66"/>
      <c r="BW914" s="66"/>
    </row>
    <row r="915" spans="1:75" ht="15.75" customHeight="1">
      <c r="A915" s="65"/>
      <c r="B915" s="66"/>
      <c r="C915" s="66"/>
      <c r="D915" s="66"/>
      <c r="E915" s="66"/>
      <c r="F915" s="65"/>
      <c r="G915" s="65"/>
      <c r="H915" s="66"/>
      <c r="I915" s="66"/>
      <c r="J915" s="66"/>
      <c r="K915" s="66"/>
      <c r="L915" s="66"/>
      <c r="M915" s="66"/>
      <c r="N915" s="66"/>
      <c r="O915" s="66"/>
      <c r="P915" s="66"/>
      <c r="Q915" s="23"/>
      <c r="AB915" s="23"/>
      <c r="AC915" s="23"/>
      <c r="AD915" s="23"/>
      <c r="AE915" s="7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71"/>
      <c r="AV915" s="10"/>
      <c r="AW915" s="23"/>
      <c r="BB915" s="66"/>
      <c r="BC915" s="66"/>
      <c r="BD915" s="66"/>
      <c r="BE915" s="66"/>
      <c r="BF915" s="66"/>
      <c r="BG915" s="66"/>
      <c r="BH915" s="66"/>
      <c r="BI915" s="66"/>
      <c r="BJ915" s="66"/>
      <c r="BK915" s="66"/>
      <c r="BL915" s="66"/>
      <c r="BM915" s="66"/>
      <c r="BN915" s="66"/>
      <c r="BO915" s="66"/>
      <c r="BP915" s="66"/>
      <c r="BQ915" s="66"/>
      <c r="BR915" s="66"/>
      <c r="BS915" s="66"/>
      <c r="BT915" s="66"/>
      <c r="BU915" s="66"/>
      <c r="BV915" s="66"/>
      <c r="BW915" s="66"/>
    </row>
    <row r="916" spans="1:75" ht="15.75" customHeight="1">
      <c r="A916" s="65"/>
      <c r="B916" s="66"/>
      <c r="C916" s="66"/>
      <c r="D916" s="66"/>
      <c r="E916" s="66"/>
      <c r="F916" s="65"/>
      <c r="G916" s="65"/>
      <c r="H916" s="66"/>
      <c r="I916" s="66"/>
      <c r="J916" s="66"/>
      <c r="K916" s="66"/>
      <c r="L916" s="66"/>
      <c r="M916" s="66"/>
      <c r="N916" s="66"/>
      <c r="O916" s="66"/>
      <c r="P916" s="66"/>
      <c r="Q916" s="23"/>
      <c r="AB916" s="23"/>
      <c r="AC916" s="23"/>
      <c r="AD916" s="23"/>
      <c r="AE916" s="7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71"/>
      <c r="AV916" s="10"/>
      <c r="AW916" s="23"/>
      <c r="BB916" s="66"/>
      <c r="BC916" s="66"/>
      <c r="BD916" s="66"/>
      <c r="BE916" s="66"/>
      <c r="BF916" s="66"/>
      <c r="BG916" s="66"/>
      <c r="BH916" s="66"/>
      <c r="BI916" s="66"/>
      <c r="BJ916" s="66"/>
      <c r="BK916" s="66"/>
      <c r="BL916" s="66"/>
      <c r="BM916" s="66"/>
      <c r="BN916" s="66"/>
      <c r="BO916" s="66"/>
      <c r="BP916" s="66"/>
      <c r="BQ916" s="66"/>
      <c r="BR916" s="66"/>
      <c r="BS916" s="66"/>
      <c r="BT916" s="66"/>
      <c r="BU916" s="66"/>
      <c r="BV916" s="66"/>
      <c r="BW916" s="66"/>
    </row>
    <row r="917" spans="1:75" ht="15.75" customHeight="1">
      <c r="A917" s="65"/>
      <c r="B917" s="66"/>
      <c r="C917" s="66"/>
      <c r="D917" s="66"/>
      <c r="E917" s="66"/>
      <c r="F917" s="65"/>
      <c r="G917" s="65"/>
      <c r="H917" s="66"/>
      <c r="I917" s="66"/>
      <c r="J917" s="66"/>
      <c r="K917" s="66"/>
      <c r="L917" s="66"/>
      <c r="M917" s="66"/>
      <c r="N917" s="66"/>
      <c r="O917" s="66"/>
      <c r="P917" s="66"/>
      <c r="Q917" s="23"/>
      <c r="AB917" s="23"/>
      <c r="AC917" s="23"/>
      <c r="AD917" s="23"/>
      <c r="AE917" s="7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71"/>
      <c r="AV917" s="10"/>
      <c r="AW917" s="23"/>
      <c r="BB917" s="66"/>
      <c r="BC917" s="66"/>
      <c r="BD917" s="66"/>
      <c r="BE917" s="66"/>
      <c r="BF917" s="66"/>
      <c r="BG917" s="66"/>
      <c r="BH917" s="66"/>
      <c r="BI917" s="66"/>
      <c r="BJ917" s="66"/>
      <c r="BK917" s="66"/>
      <c r="BL917" s="66"/>
      <c r="BM917" s="66"/>
      <c r="BN917" s="66"/>
      <c r="BO917" s="66"/>
      <c r="BP917" s="66"/>
      <c r="BQ917" s="66"/>
      <c r="BR917" s="66"/>
      <c r="BS917" s="66"/>
      <c r="BT917" s="66"/>
      <c r="BU917" s="66"/>
      <c r="BV917" s="66"/>
      <c r="BW917" s="66"/>
    </row>
    <row r="918" spans="1:75" ht="15.75" customHeight="1">
      <c r="A918" s="65"/>
      <c r="B918" s="66"/>
      <c r="C918" s="66"/>
      <c r="D918" s="66"/>
      <c r="E918" s="66"/>
      <c r="F918" s="65"/>
      <c r="G918" s="65"/>
      <c r="H918" s="66"/>
      <c r="I918" s="66"/>
      <c r="J918" s="66"/>
      <c r="K918" s="66"/>
      <c r="L918" s="66"/>
      <c r="M918" s="66"/>
      <c r="N918" s="66"/>
      <c r="O918" s="66"/>
      <c r="P918" s="66"/>
      <c r="Q918" s="23"/>
      <c r="AB918" s="23"/>
      <c r="AC918" s="23"/>
      <c r="AD918" s="23"/>
      <c r="AE918" s="7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71"/>
      <c r="AV918" s="10"/>
      <c r="AW918" s="23"/>
      <c r="BB918" s="66"/>
      <c r="BC918" s="66"/>
      <c r="BD918" s="66"/>
      <c r="BE918" s="66"/>
      <c r="BF918" s="66"/>
      <c r="BG918" s="66"/>
      <c r="BH918" s="66"/>
      <c r="BI918" s="66"/>
      <c r="BJ918" s="66"/>
      <c r="BK918" s="66"/>
      <c r="BL918" s="66"/>
      <c r="BM918" s="66"/>
      <c r="BN918" s="66"/>
      <c r="BO918" s="66"/>
      <c r="BP918" s="66"/>
      <c r="BQ918" s="66"/>
      <c r="BR918" s="66"/>
      <c r="BS918" s="66"/>
      <c r="BT918" s="66"/>
      <c r="BU918" s="66"/>
      <c r="BV918" s="66"/>
      <c r="BW918" s="66"/>
    </row>
    <row r="919" spans="1:75" ht="15.75" customHeight="1">
      <c r="A919" s="65"/>
      <c r="B919" s="66"/>
      <c r="C919" s="66"/>
      <c r="D919" s="66"/>
      <c r="E919" s="66"/>
      <c r="F919" s="65"/>
      <c r="G919" s="65"/>
      <c r="H919" s="66"/>
      <c r="I919" s="66"/>
      <c r="J919" s="66"/>
      <c r="K919" s="66"/>
      <c r="L919" s="66"/>
      <c r="M919" s="66"/>
      <c r="N919" s="66"/>
      <c r="O919" s="66"/>
      <c r="P919" s="66"/>
      <c r="Q919" s="23"/>
      <c r="AB919" s="23"/>
      <c r="AC919" s="23"/>
      <c r="AD919" s="23"/>
      <c r="AE919" s="7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71"/>
      <c r="AV919" s="10"/>
      <c r="AW919" s="23"/>
      <c r="BB919" s="66"/>
      <c r="BC919" s="66"/>
      <c r="BD919" s="66"/>
      <c r="BE919" s="66"/>
      <c r="BF919" s="66"/>
      <c r="BG919" s="66"/>
      <c r="BH919" s="66"/>
      <c r="BI919" s="66"/>
      <c r="BJ919" s="66"/>
      <c r="BK919" s="66"/>
      <c r="BL919" s="66"/>
      <c r="BM919" s="66"/>
      <c r="BN919" s="66"/>
      <c r="BO919" s="66"/>
      <c r="BP919" s="66"/>
      <c r="BQ919" s="66"/>
      <c r="BR919" s="66"/>
      <c r="BS919" s="66"/>
      <c r="BT919" s="66"/>
      <c r="BU919" s="66"/>
      <c r="BV919" s="66"/>
      <c r="BW919" s="66"/>
    </row>
    <row r="920" spans="1:75" ht="15.75" customHeight="1">
      <c r="A920" s="65"/>
      <c r="B920" s="66"/>
      <c r="C920" s="66"/>
      <c r="D920" s="66"/>
      <c r="E920" s="66"/>
      <c r="F920" s="65"/>
      <c r="G920" s="65"/>
      <c r="H920" s="66"/>
      <c r="I920" s="66"/>
      <c r="J920" s="66"/>
      <c r="K920" s="66"/>
      <c r="L920" s="66"/>
      <c r="M920" s="66"/>
      <c r="N920" s="66"/>
      <c r="O920" s="66"/>
      <c r="P920" s="66"/>
      <c r="Q920" s="23"/>
      <c r="AB920" s="23"/>
      <c r="AC920" s="23"/>
      <c r="AD920" s="23"/>
      <c r="AE920" s="7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71"/>
      <c r="AV920" s="10"/>
      <c r="AW920" s="23"/>
      <c r="BB920" s="66"/>
      <c r="BC920" s="66"/>
      <c r="BD920" s="66"/>
      <c r="BE920" s="66"/>
      <c r="BF920" s="66"/>
      <c r="BG920" s="66"/>
      <c r="BH920" s="66"/>
      <c r="BI920" s="66"/>
      <c r="BJ920" s="66"/>
      <c r="BK920" s="66"/>
      <c r="BL920" s="66"/>
      <c r="BM920" s="66"/>
      <c r="BN920" s="66"/>
      <c r="BO920" s="66"/>
      <c r="BP920" s="66"/>
      <c r="BQ920" s="66"/>
      <c r="BR920" s="66"/>
      <c r="BS920" s="66"/>
      <c r="BT920" s="66"/>
      <c r="BU920" s="66"/>
      <c r="BV920" s="66"/>
      <c r="BW920" s="66"/>
    </row>
    <row r="921" spans="1:75" ht="15.75" customHeight="1">
      <c r="A921" s="65"/>
      <c r="B921" s="66"/>
      <c r="C921" s="66"/>
      <c r="D921" s="66"/>
      <c r="E921" s="66"/>
      <c r="F921" s="65"/>
      <c r="G921" s="65"/>
      <c r="H921" s="66"/>
      <c r="I921" s="66"/>
      <c r="J921" s="66"/>
      <c r="K921" s="66"/>
      <c r="L921" s="66"/>
      <c r="M921" s="66"/>
      <c r="N921" s="66"/>
      <c r="O921" s="66"/>
      <c r="P921" s="66"/>
      <c r="Q921" s="23"/>
      <c r="AB921" s="23"/>
      <c r="AC921" s="23"/>
      <c r="AD921" s="23"/>
      <c r="AE921" s="7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71"/>
      <c r="AV921" s="10"/>
      <c r="AW921" s="23"/>
      <c r="BB921" s="66"/>
      <c r="BC921" s="66"/>
      <c r="BD921" s="66"/>
      <c r="BE921" s="66"/>
      <c r="BF921" s="66"/>
      <c r="BG921" s="66"/>
      <c r="BH921" s="66"/>
      <c r="BI921" s="66"/>
      <c r="BJ921" s="66"/>
      <c r="BK921" s="66"/>
      <c r="BL921" s="66"/>
      <c r="BM921" s="66"/>
      <c r="BN921" s="66"/>
      <c r="BO921" s="66"/>
      <c r="BP921" s="66"/>
      <c r="BQ921" s="66"/>
      <c r="BR921" s="66"/>
      <c r="BS921" s="66"/>
      <c r="BT921" s="66"/>
      <c r="BU921" s="66"/>
      <c r="BV921" s="66"/>
      <c r="BW921" s="66"/>
    </row>
    <row r="922" spans="1:75" ht="15.75" customHeight="1">
      <c r="A922" s="65"/>
      <c r="B922" s="66"/>
      <c r="C922" s="66"/>
      <c r="D922" s="66"/>
      <c r="E922" s="66"/>
      <c r="F922" s="65"/>
      <c r="G922" s="65"/>
      <c r="H922" s="66"/>
      <c r="I922" s="66"/>
      <c r="J922" s="66"/>
      <c r="K922" s="66"/>
      <c r="L922" s="66"/>
      <c r="M922" s="66"/>
      <c r="N922" s="66"/>
      <c r="O922" s="66"/>
      <c r="P922" s="66"/>
      <c r="Q922" s="23"/>
      <c r="AB922" s="23"/>
      <c r="AC922" s="23"/>
      <c r="AD922" s="23"/>
      <c r="AE922" s="7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71"/>
      <c r="AV922" s="10"/>
      <c r="AW922" s="23"/>
      <c r="BB922" s="66"/>
      <c r="BC922" s="66"/>
      <c r="BD922" s="66"/>
      <c r="BE922" s="66"/>
      <c r="BF922" s="66"/>
      <c r="BG922" s="66"/>
      <c r="BH922" s="66"/>
      <c r="BI922" s="66"/>
      <c r="BJ922" s="66"/>
      <c r="BK922" s="66"/>
      <c r="BL922" s="66"/>
      <c r="BM922" s="66"/>
      <c r="BN922" s="66"/>
      <c r="BO922" s="66"/>
      <c r="BP922" s="66"/>
      <c r="BQ922" s="66"/>
      <c r="BR922" s="66"/>
      <c r="BS922" s="66"/>
      <c r="BT922" s="66"/>
      <c r="BU922" s="66"/>
      <c r="BV922" s="66"/>
      <c r="BW922" s="66"/>
    </row>
    <row r="923" spans="1:75" ht="15.75" customHeight="1">
      <c r="A923" s="65"/>
      <c r="B923" s="66"/>
      <c r="C923" s="66"/>
      <c r="D923" s="66"/>
      <c r="E923" s="66"/>
      <c r="F923" s="65"/>
      <c r="G923" s="65"/>
      <c r="H923" s="66"/>
      <c r="I923" s="66"/>
      <c r="J923" s="66"/>
      <c r="K923" s="66"/>
      <c r="L923" s="66"/>
      <c r="M923" s="66"/>
      <c r="N923" s="66"/>
      <c r="O923" s="66"/>
      <c r="P923" s="66"/>
      <c r="Q923" s="23"/>
      <c r="AB923" s="23"/>
      <c r="AC923" s="23"/>
      <c r="AD923" s="23"/>
      <c r="AE923" s="7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71"/>
      <c r="AV923" s="10"/>
      <c r="AW923" s="23"/>
      <c r="BB923" s="66"/>
      <c r="BC923" s="66"/>
      <c r="BD923" s="66"/>
      <c r="BE923" s="66"/>
      <c r="BF923" s="66"/>
      <c r="BG923" s="66"/>
      <c r="BH923" s="66"/>
      <c r="BI923" s="66"/>
      <c r="BJ923" s="66"/>
      <c r="BK923" s="66"/>
      <c r="BL923" s="66"/>
      <c r="BM923" s="66"/>
      <c r="BN923" s="66"/>
      <c r="BO923" s="66"/>
      <c r="BP923" s="66"/>
      <c r="BQ923" s="66"/>
      <c r="BR923" s="66"/>
      <c r="BS923" s="66"/>
      <c r="BT923" s="66"/>
      <c r="BU923" s="66"/>
      <c r="BV923" s="66"/>
      <c r="BW923" s="66"/>
    </row>
    <row r="924" spans="1:75" ht="15.75" customHeight="1">
      <c r="A924" s="65"/>
      <c r="B924" s="66"/>
      <c r="C924" s="66"/>
      <c r="D924" s="66"/>
      <c r="E924" s="66"/>
      <c r="F924" s="65"/>
      <c r="G924" s="65"/>
      <c r="H924" s="66"/>
      <c r="I924" s="66"/>
      <c r="J924" s="66"/>
      <c r="K924" s="66"/>
      <c r="L924" s="66"/>
      <c r="M924" s="66"/>
      <c r="N924" s="66"/>
      <c r="O924" s="66"/>
      <c r="P924" s="66"/>
      <c r="Q924" s="23"/>
      <c r="AB924" s="23"/>
      <c r="AC924" s="23"/>
      <c r="AD924" s="23"/>
      <c r="AE924" s="7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71"/>
      <c r="AV924" s="10"/>
      <c r="AW924" s="23"/>
      <c r="BB924" s="66"/>
      <c r="BC924" s="66"/>
      <c r="BD924" s="66"/>
      <c r="BE924" s="66"/>
      <c r="BF924" s="66"/>
      <c r="BG924" s="66"/>
      <c r="BH924" s="66"/>
      <c r="BI924" s="66"/>
      <c r="BJ924" s="66"/>
      <c r="BK924" s="66"/>
      <c r="BL924" s="66"/>
      <c r="BM924" s="66"/>
      <c r="BN924" s="66"/>
      <c r="BO924" s="66"/>
      <c r="BP924" s="66"/>
      <c r="BQ924" s="66"/>
      <c r="BR924" s="66"/>
      <c r="BS924" s="66"/>
      <c r="BT924" s="66"/>
      <c r="BU924" s="66"/>
      <c r="BV924" s="66"/>
      <c r="BW924" s="66"/>
    </row>
    <row r="925" spans="1:75" ht="15.75" customHeight="1">
      <c r="A925" s="65"/>
      <c r="B925" s="66"/>
      <c r="C925" s="66"/>
      <c r="D925" s="66"/>
      <c r="E925" s="66"/>
      <c r="F925" s="65"/>
      <c r="G925" s="65"/>
      <c r="H925" s="66"/>
      <c r="I925" s="66"/>
      <c r="J925" s="66"/>
      <c r="K925" s="66"/>
      <c r="L925" s="66"/>
      <c r="M925" s="66"/>
      <c r="N925" s="66"/>
      <c r="O925" s="66"/>
      <c r="P925" s="66"/>
      <c r="Q925" s="23"/>
      <c r="AB925" s="23"/>
      <c r="AC925" s="23"/>
      <c r="AD925" s="23"/>
      <c r="AE925" s="7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71"/>
      <c r="AV925" s="10"/>
      <c r="AW925" s="23"/>
      <c r="BB925" s="66"/>
      <c r="BC925" s="66"/>
      <c r="BD925" s="66"/>
      <c r="BE925" s="66"/>
      <c r="BF925" s="66"/>
      <c r="BG925" s="66"/>
      <c r="BH925" s="66"/>
      <c r="BI925" s="66"/>
      <c r="BJ925" s="66"/>
      <c r="BK925" s="66"/>
      <c r="BL925" s="66"/>
      <c r="BM925" s="66"/>
      <c r="BN925" s="66"/>
      <c r="BO925" s="66"/>
      <c r="BP925" s="66"/>
      <c r="BQ925" s="66"/>
      <c r="BR925" s="66"/>
      <c r="BS925" s="66"/>
      <c r="BT925" s="66"/>
      <c r="BU925" s="66"/>
      <c r="BV925" s="66"/>
      <c r="BW925" s="66"/>
    </row>
    <row r="926" spans="1:75" ht="15.75" customHeight="1">
      <c r="A926" s="65"/>
      <c r="B926" s="66"/>
      <c r="C926" s="66"/>
      <c r="D926" s="66"/>
      <c r="E926" s="66"/>
      <c r="F926" s="65"/>
      <c r="G926" s="65"/>
      <c r="H926" s="66"/>
      <c r="I926" s="66"/>
      <c r="J926" s="66"/>
      <c r="K926" s="66"/>
      <c r="L926" s="66"/>
      <c r="M926" s="66"/>
      <c r="N926" s="66"/>
      <c r="O926" s="66"/>
      <c r="P926" s="66"/>
      <c r="Q926" s="23"/>
      <c r="AB926" s="23"/>
      <c r="AC926" s="23"/>
      <c r="AD926" s="23"/>
      <c r="AE926" s="7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71"/>
      <c r="AV926" s="10"/>
      <c r="AW926" s="23"/>
      <c r="BB926" s="66"/>
      <c r="BC926" s="66"/>
      <c r="BD926" s="66"/>
      <c r="BE926" s="66"/>
      <c r="BF926" s="66"/>
      <c r="BG926" s="66"/>
      <c r="BH926" s="66"/>
      <c r="BI926" s="66"/>
      <c r="BJ926" s="66"/>
      <c r="BK926" s="66"/>
      <c r="BL926" s="66"/>
      <c r="BM926" s="66"/>
      <c r="BN926" s="66"/>
      <c r="BO926" s="66"/>
      <c r="BP926" s="66"/>
      <c r="BQ926" s="66"/>
      <c r="BR926" s="66"/>
      <c r="BS926" s="66"/>
      <c r="BT926" s="66"/>
      <c r="BU926" s="66"/>
      <c r="BV926" s="66"/>
      <c r="BW926" s="66"/>
    </row>
    <row r="927" spans="1:75" ht="15.75" customHeight="1">
      <c r="A927" s="65"/>
      <c r="B927" s="66"/>
      <c r="C927" s="66"/>
      <c r="D927" s="66"/>
      <c r="E927" s="66"/>
      <c r="F927" s="65"/>
      <c r="G927" s="65"/>
      <c r="H927" s="66"/>
      <c r="I927" s="66"/>
      <c r="J927" s="66"/>
      <c r="K927" s="66"/>
      <c r="L927" s="66"/>
      <c r="M927" s="66"/>
      <c r="N927" s="66"/>
      <c r="O927" s="66"/>
      <c r="P927" s="66"/>
      <c r="Q927" s="23"/>
      <c r="AB927" s="23"/>
      <c r="AC927" s="23"/>
      <c r="AD927" s="23"/>
      <c r="AE927" s="7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71"/>
      <c r="AV927" s="10"/>
      <c r="AW927" s="23"/>
      <c r="BB927" s="66"/>
      <c r="BC927" s="66"/>
      <c r="BD927" s="66"/>
      <c r="BE927" s="66"/>
      <c r="BF927" s="66"/>
      <c r="BG927" s="66"/>
      <c r="BH927" s="66"/>
      <c r="BI927" s="66"/>
      <c r="BJ927" s="66"/>
      <c r="BK927" s="66"/>
      <c r="BL927" s="66"/>
      <c r="BM927" s="66"/>
      <c r="BN927" s="66"/>
      <c r="BO927" s="66"/>
      <c r="BP927" s="66"/>
      <c r="BQ927" s="66"/>
      <c r="BR927" s="66"/>
      <c r="BS927" s="66"/>
      <c r="BT927" s="66"/>
      <c r="BU927" s="66"/>
      <c r="BV927" s="66"/>
      <c r="BW927" s="66"/>
    </row>
    <row r="928" spans="1:75" ht="15.75" customHeight="1">
      <c r="A928" s="65"/>
      <c r="B928" s="66"/>
      <c r="C928" s="66"/>
      <c r="D928" s="66"/>
      <c r="E928" s="66"/>
      <c r="F928" s="65"/>
      <c r="G928" s="65"/>
      <c r="H928" s="66"/>
      <c r="I928" s="66"/>
      <c r="J928" s="66"/>
      <c r="K928" s="66"/>
      <c r="L928" s="66"/>
      <c r="M928" s="66"/>
      <c r="N928" s="66"/>
      <c r="O928" s="66"/>
      <c r="P928" s="66"/>
      <c r="Q928" s="23"/>
      <c r="AB928" s="23"/>
      <c r="AC928" s="23"/>
      <c r="AD928" s="23"/>
      <c r="AE928" s="7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71"/>
      <c r="AV928" s="10"/>
      <c r="AW928" s="23"/>
      <c r="BB928" s="66"/>
      <c r="BC928" s="66"/>
      <c r="BD928" s="66"/>
      <c r="BE928" s="66"/>
      <c r="BF928" s="66"/>
      <c r="BG928" s="66"/>
      <c r="BH928" s="66"/>
      <c r="BI928" s="66"/>
      <c r="BJ928" s="66"/>
      <c r="BK928" s="66"/>
      <c r="BL928" s="66"/>
      <c r="BM928" s="66"/>
      <c r="BN928" s="66"/>
      <c r="BO928" s="66"/>
      <c r="BP928" s="66"/>
      <c r="BQ928" s="66"/>
      <c r="BR928" s="66"/>
      <c r="BS928" s="66"/>
      <c r="BT928" s="66"/>
      <c r="BU928" s="66"/>
      <c r="BV928" s="66"/>
      <c r="BW928" s="66"/>
    </row>
    <row r="929" spans="1:75" ht="15.75" customHeight="1">
      <c r="A929" s="65"/>
      <c r="B929" s="66"/>
      <c r="C929" s="66"/>
      <c r="D929" s="66"/>
      <c r="E929" s="66"/>
      <c r="F929" s="65"/>
      <c r="G929" s="65"/>
      <c r="H929" s="66"/>
      <c r="I929" s="66"/>
      <c r="J929" s="66"/>
      <c r="K929" s="66"/>
      <c r="L929" s="66"/>
      <c r="M929" s="66"/>
      <c r="N929" s="66"/>
      <c r="O929" s="66"/>
      <c r="P929" s="66"/>
      <c r="Q929" s="23"/>
      <c r="AB929" s="23"/>
      <c r="AC929" s="23"/>
      <c r="AD929" s="23"/>
      <c r="AE929" s="7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71"/>
      <c r="AV929" s="10"/>
      <c r="AW929" s="23"/>
      <c r="BB929" s="66"/>
      <c r="BC929" s="66"/>
      <c r="BD929" s="66"/>
      <c r="BE929" s="66"/>
      <c r="BF929" s="66"/>
      <c r="BG929" s="66"/>
      <c r="BH929" s="66"/>
      <c r="BI929" s="66"/>
      <c r="BJ929" s="66"/>
      <c r="BK929" s="66"/>
      <c r="BL929" s="66"/>
      <c r="BM929" s="66"/>
      <c r="BN929" s="66"/>
      <c r="BO929" s="66"/>
      <c r="BP929" s="66"/>
      <c r="BQ929" s="66"/>
      <c r="BR929" s="66"/>
      <c r="BS929" s="66"/>
      <c r="BT929" s="66"/>
      <c r="BU929" s="66"/>
      <c r="BV929" s="66"/>
      <c r="BW929" s="66"/>
    </row>
    <row r="930" spans="1:75" ht="15.75" customHeight="1">
      <c r="A930" s="65"/>
      <c r="B930" s="66"/>
      <c r="C930" s="66"/>
      <c r="D930" s="66"/>
      <c r="E930" s="66"/>
      <c r="F930" s="65"/>
      <c r="G930" s="65"/>
      <c r="H930" s="66"/>
      <c r="I930" s="66"/>
      <c r="J930" s="66"/>
      <c r="K930" s="66"/>
      <c r="L930" s="66"/>
      <c r="M930" s="66"/>
      <c r="N930" s="66"/>
      <c r="O930" s="66"/>
      <c r="P930" s="66"/>
      <c r="Q930" s="23"/>
      <c r="AB930" s="23"/>
      <c r="AC930" s="23"/>
      <c r="AD930" s="23"/>
      <c r="AE930" s="7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71"/>
      <c r="AV930" s="10"/>
      <c r="AW930" s="23"/>
      <c r="BB930" s="66"/>
      <c r="BC930" s="66"/>
      <c r="BD930" s="66"/>
      <c r="BE930" s="66"/>
      <c r="BF930" s="66"/>
      <c r="BG930" s="66"/>
      <c r="BH930" s="66"/>
      <c r="BI930" s="66"/>
      <c r="BJ930" s="66"/>
      <c r="BK930" s="66"/>
      <c r="BL930" s="66"/>
      <c r="BM930" s="66"/>
      <c r="BN930" s="66"/>
      <c r="BO930" s="66"/>
      <c r="BP930" s="66"/>
      <c r="BQ930" s="66"/>
      <c r="BR930" s="66"/>
      <c r="BS930" s="66"/>
      <c r="BT930" s="66"/>
      <c r="BU930" s="66"/>
      <c r="BV930" s="66"/>
      <c r="BW930" s="66"/>
    </row>
    <row r="931" spans="1:75" ht="15.75" customHeight="1">
      <c r="A931" s="65"/>
      <c r="B931" s="66"/>
      <c r="C931" s="66"/>
      <c r="D931" s="66"/>
      <c r="E931" s="66"/>
      <c r="F931" s="65"/>
      <c r="G931" s="65"/>
      <c r="H931" s="66"/>
      <c r="I931" s="66"/>
      <c r="J931" s="66"/>
      <c r="K931" s="66"/>
      <c r="L931" s="66"/>
      <c r="M931" s="66"/>
      <c r="N931" s="66"/>
      <c r="O931" s="66"/>
      <c r="P931" s="66"/>
      <c r="Q931" s="23"/>
      <c r="AB931" s="23"/>
      <c r="AC931" s="23"/>
      <c r="AD931" s="23"/>
      <c r="AE931" s="7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71"/>
      <c r="AV931" s="10"/>
      <c r="AW931" s="23"/>
      <c r="BB931" s="66"/>
      <c r="BC931" s="66"/>
      <c r="BD931" s="66"/>
      <c r="BE931" s="66"/>
      <c r="BF931" s="66"/>
      <c r="BG931" s="66"/>
      <c r="BH931" s="66"/>
      <c r="BI931" s="66"/>
      <c r="BJ931" s="66"/>
      <c r="BK931" s="66"/>
      <c r="BL931" s="66"/>
      <c r="BM931" s="66"/>
      <c r="BN931" s="66"/>
      <c r="BO931" s="66"/>
      <c r="BP931" s="66"/>
      <c r="BQ931" s="66"/>
      <c r="BR931" s="66"/>
      <c r="BS931" s="66"/>
      <c r="BT931" s="66"/>
      <c r="BU931" s="66"/>
      <c r="BV931" s="66"/>
      <c r="BW931" s="66"/>
    </row>
    <row r="932" spans="1:75" ht="15.75" customHeight="1">
      <c r="A932" s="65"/>
      <c r="B932" s="66"/>
      <c r="C932" s="66"/>
      <c r="D932" s="66"/>
      <c r="E932" s="66"/>
      <c r="F932" s="65"/>
      <c r="G932" s="65"/>
      <c r="H932" s="66"/>
      <c r="I932" s="66"/>
      <c r="J932" s="66"/>
      <c r="K932" s="66"/>
      <c r="L932" s="66"/>
      <c r="M932" s="66"/>
      <c r="N932" s="66"/>
      <c r="O932" s="66"/>
      <c r="P932" s="66"/>
      <c r="Q932" s="23"/>
      <c r="AB932" s="23"/>
      <c r="AC932" s="23"/>
      <c r="AD932" s="23"/>
      <c r="AE932" s="7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71"/>
      <c r="AV932" s="10"/>
      <c r="AW932" s="23"/>
      <c r="BB932" s="66"/>
      <c r="BC932" s="66"/>
      <c r="BD932" s="66"/>
      <c r="BE932" s="66"/>
      <c r="BF932" s="66"/>
      <c r="BG932" s="66"/>
      <c r="BH932" s="66"/>
      <c r="BI932" s="66"/>
      <c r="BJ932" s="66"/>
      <c r="BK932" s="66"/>
      <c r="BL932" s="66"/>
      <c r="BM932" s="66"/>
      <c r="BN932" s="66"/>
      <c r="BO932" s="66"/>
      <c r="BP932" s="66"/>
      <c r="BQ932" s="66"/>
      <c r="BR932" s="66"/>
      <c r="BS932" s="66"/>
      <c r="BT932" s="66"/>
      <c r="BU932" s="66"/>
      <c r="BV932" s="66"/>
      <c r="BW932" s="66"/>
    </row>
    <row r="933" spans="1:75" ht="15.75" customHeight="1">
      <c r="A933" s="65"/>
      <c r="B933" s="66"/>
      <c r="C933" s="66"/>
      <c r="D933" s="66"/>
      <c r="E933" s="66"/>
      <c r="F933" s="65"/>
      <c r="G933" s="65"/>
      <c r="H933" s="66"/>
      <c r="I933" s="66"/>
      <c r="J933" s="66"/>
      <c r="K933" s="66"/>
      <c r="L933" s="66"/>
      <c r="M933" s="66"/>
      <c r="N933" s="66"/>
      <c r="O933" s="66"/>
      <c r="P933" s="66"/>
      <c r="Q933" s="23"/>
      <c r="AB933" s="23"/>
      <c r="AC933" s="23"/>
      <c r="AD933" s="23"/>
      <c r="AE933" s="7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71"/>
      <c r="AV933" s="10"/>
      <c r="AW933" s="23"/>
      <c r="BB933" s="66"/>
      <c r="BC933" s="66"/>
      <c r="BD933" s="66"/>
      <c r="BE933" s="66"/>
      <c r="BF933" s="66"/>
      <c r="BG933" s="66"/>
      <c r="BH933" s="66"/>
      <c r="BI933" s="66"/>
      <c r="BJ933" s="66"/>
      <c r="BK933" s="66"/>
      <c r="BL933" s="66"/>
      <c r="BM933" s="66"/>
      <c r="BN933" s="66"/>
      <c r="BO933" s="66"/>
      <c r="BP933" s="66"/>
      <c r="BQ933" s="66"/>
      <c r="BR933" s="66"/>
      <c r="BS933" s="66"/>
      <c r="BT933" s="66"/>
      <c r="BU933" s="66"/>
      <c r="BV933" s="66"/>
      <c r="BW933" s="66"/>
    </row>
    <row r="934" spans="1:75" ht="15.75" customHeight="1">
      <c r="A934" s="65"/>
      <c r="B934" s="66"/>
      <c r="C934" s="66"/>
      <c r="D934" s="66"/>
      <c r="E934" s="66"/>
      <c r="F934" s="65"/>
      <c r="G934" s="65"/>
      <c r="H934" s="66"/>
      <c r="I934" s="66"/>
      <c r="J934" s="66"/>
      <c r="K934" s="66"/>
      <c r="L934" s="66"/>
      <c r="M934" s="66"/>
      <c r="N934" s="66"/>
      <c r="O934" s="66"/>
      <c r="P934" s="66"/>
      <c r="Q934" s="23"/>
      <c r="AB934" s="23"/>
      <c r="AC934" s="23"/>
      <c r="AD934" s="23"/>
      <c r="AE934" s="7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71"/>
      <c r="AV934" s="10"/>
      <c r="AW934" s="23"/>
      <c r="BB934" s="66"/>
      <c r="BC934" s="66"/>
      <c r="BD934" s="66"/>
      <c r="BE934" s="66"/>
      <c r="BF934" s="66"/>
      <c r="BG934" s="66"/>
      <c r="BH934" s="66"/>
      <c r="BI934" s="66"/>
      <c r="BJ934" s="66"/>
      <c r="BK934" s="66"/>
      <c r="BL934" s="66"/>
      <c r="BM934" s="66"/>
      <c r="BN934" s="66"/>
      <c r="BO934" s="66"/>
      <c r="BP934" s="66"/>
      <c r="BQ934" s="66"/>
      <c r="BR934" s="66"/>
      <c r="BS934" s="66"/>
      <c r="BT934" s="66"/>
      <c r="BU934" s="66"/>
      <c r="BV934" s="66"/>
      <c r="BW934" s="66"/>
    </row>
    <row r="935" spans="1:75" ht="15.75" customHeight="1">
      <c r="A935" s="65"/>
      <c r="B935" s="66"/>
      <c r="C935" s="66"/>
      <c r="D935" s="66"/>
      <c r="E935" s="66"/>
      <c r="F935" s="65"/>
      <c r="G935" s="65"/>
      <c r="H935" s="66"/>
      <c r="I935" s="66"/>
      <c r="J935" s="66"/>
      <c r="K935" s="66"/>
      <c r="L935" s="66"/>
      <c r="M935" s="66"/>
      <c r="N935" s="66"/>
      <c r="O935" s="66"/>
      <c r="P935" s="66"/>
      <c r="Q935" s="23"/>
      <c r="AB935" s="23"/>
      <c r="AC935" s="23"/>
      <c r="AD935" s="23"/>
      <c r="AE935" s="7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71"/>
      <c r="AV935" s="10"/>
      <c r="AW935" s="23"/>
      <c r="BB935" s="66"/>
      <c r="BC935" s="66"/>
      <c r="BD935" s="66"/>
      <c r="BE935" s="66"/>
      <c r="BF935" s="66"/>
      <c r="BG935" s="66"/>
      <c r="BH935" s="66"/>
      <c r="BI935" s="66"/>
      <c r="BJ935" s="66"/>
      <c r="BK935" s="66"/>
      <c r="BL935" s="66"/>
      <c r="BM935" s="66"/>
      <c r="BN935" s="66"/>
      <c r="BO935" s="66"/>
      <c r="BP935" s="66"/>
      <c r="BQ935" s="66"/>
      <c r="BR935" s="66"/>
      <c r="BS935" s="66"/>
      <c r="BT935" s="66"/>
      <c r="BU935" s="66"/>
      <c r="BV935" s="66"/>
      <c r="BW935" s="66"/>
    </row>
    <row r="936" spans="1:75" ht="15.75" customHeight="1">
      <c r="A936" s="65"/>
      <c r="B936" s="66"/>
      <c r="C936" s="66"/>
      <c r="D936" s="66"/>
      <c r="E936" s="66"/>
      <c r="F936" s="65"/>
      <c r="G936" s="65"/>
      <c r="H936" s="66"/>
      <c r="I936" s="66"/>
      <c r="J936" s="66"/>
      <c r="K936" s="66"/>
      <c r="L936" s="66"/>
      <c r="M936" s="66"/>
      <c r="N936" s="66"/>
      <c r="O936" s="66"/>
      <c r="P936" s="66"/>
      <c r="Q936" s="23"/>
      <c r="AB936" s="23"/>
      <c r="AC936" s="23"/>
      <c r="AD936" s="23"/>
      <c r="AE936" s="7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71"/>
      <c r="AV936" s="10"/>
      <c r="AW936" s="23"/>
      <c r="BB936" s="66"/>
      <c r="BC936" s="66"/>
      <c r="BD936" s="66"/>
      <c r="BE936" s="66"/>
      <c r="BF936" s="66"/>
      <c r="BG936" s="66"/>
      <c r="BH936" s="66"/>
      <c r="BI936" s="66"/>
      <c r="BJ936" s="66"/>
      <c r="BK936" s="66"/>
      <c r="BL936" s="66"/>
      <c r="BM936" s="66"/>
      <c r="BN936" s="66"/>
      <c r="BO936" s="66"/>
      <c r="BP936" s="66"/>
      <c r="BQ936" s="66"/>
      <c r="BR936" s="66"/>
      <c r="BS936" s="66"/>
      <c r="BT936" s="66"/>
      <c r="BU936" s="66"/>
      <c r="BV936" s="66"/>
      <c r="BW936" s="66"/>
    </row>
    <row r="937" spans="1:75" ht="15.75" customHeight="1">
      <c r="A937" s="65"/>
      <c r="B937" s="66"/>
      <c r="C937" s="66"/>
      <c r="D937" s="66"/>
      <c r="E937" s="66"/>
      <c r="F937" s="65"/>
      <c r="G937" s="65"/>
      <c r="H937" s="66"/>
      <c r="I937" s="66"/>
      <c r="J937" s="66"/>
      <c r="K937" s="66"/>
      <c r="L937" s="66"/>
      <c r="M937" s="66"/>
      <c r="N937" s="66"/>
      <c r="O937" s="66"/>
      <c r="P937" s="66"/>
      <c r="Q937" s="23"/>
      <c r="AB937" s="23"/>
      <c r="AC937" s="23"/>
      <c r="AD937" s="23"/>
      <c r="AE937" s="7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71"/>
      <c r="AV937" s="10"/>
      <c r="AW937" s="23"/>
      <c r="BB937" s="66"/>
      <c r="BC937" s="66"/>
      <c r="BD937" s="66"/>
      <c r="BE937" s="66"/>
      <c r="BF937" s="66"/>
      <c r="BG937" s="66"/>
      <c r="BH937" s="66"/>
      <c r="BI937" s="66"/>
      <c r="BJ937" s="66"/>
      <c r="BK937" s="66"/>
      <c r="BL937" s="66"/>
      <c r="BM937" s="66"/>
      <c r="BN937" s="66"/>
      <c r="BO937" s="66"/>
      <c r="BP937" s="66"/>
      <c r="BQ937" s="66"/>
      <c r="BR937" s="66"/>
      <c r="BS937" s="66"/>
      <c r="BT937" s="66"/>
      <c r="BU937" s="66"/>
      <c r="BV937" s="66"/>
      <c r="BW937" s="66"/>
    </row>
    <row r="938" spans="1:75" ht="15.75" customHeight="1">
      <c r="A938" s="65"/>
      <c r="B938" s="66"/>
      <c r="C938" s="66"/>
      <c r="D938" s="66"/>
      <c r="E938" s="66"/>
      <c r="F938" s="65"/>
      <c r="G938" s="65"/>
      <c r="H938" s="66"/>
      <c r="I938" s="66"/>
      <c r="J938" s="66"/>
      <c r="K938" s="66"/>
      <c r="L938" s="66"/>
      <c r="M938" s="66"/>
      <c r="N938" s="66"/>
      <c r="O938" s="66"/>
      <c r="P938" s="66"/>
      <c r="Q938" s="23"/>
      <c r="AB938" s="23"/>
      <c r="AC938" s="23"/>
      <c r="AD938" s="23"/>
      <c r="AE938" s="7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71"/>
      <c r="AV938" s="10"/>
      <c r="AW938" s="23"/>
      <c r="BB938" s="66"/>
      <c r="BC938" s="66"/>
      <c r="BD938" s="66"/>
      <c r="BE938" s="66"/>
      <c r="BF938" s="66"/>
      <c r="BG938" s="66"/>
      <c r="BH938" s="66"/>
      <c r="BI938" s="66"/>
      <c r="BJ938" s="66"/>
      <c r="BK938" s="66"/>
      <c r="BL938" s="66"/>
      <c r="BM938" s="66"/>
      <c r="BN938" s="66"/>
      <c r="BO938" s="66"/>
      <c r="BP938" s="66"/>
      <c r="BQ938" s="66"/>
      <c r="BR938" s="66"/>
      <c r="BS938" s="66"/>
      <c r="BT938" s="66"/>
      <c r="BU938" s="66"/>
      <c r="BV938" s="66"/>
      <c r="BW938" s="66"/>
    </row>
    <row r="939" spans="1:75" ht="15.75" customHeight="1">
      <c r="A939" s="65"/>
      <c r="B939" s="66"/>
      <c r="C939" s="66"/>
      <c r="D939" s="66"/>
      <c r="E939" s="66"/>
      <c r="F939" s="65"/>
      <c r="G939" s="65"/>
      <c r="H939" s="66"/>
      <c r="I939" s="66"/>
      <c r="J939" s="66"/>
      <c r="K939" s="66"/>
      <c r="L939" s="66"/>
      <c r="M939" s="66"/>
      <c r="N939" s="66"/>
      <c r="O939" s="66"/>
      <c r="P939" s="66"/>
      <c r="Q939" s="23"/>
      <c r="AB939" s="23"/>
      <c r="AC939" s="23"/>
      <c r="AD939" s="23"/>
      <c r="AE939" s="7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71"/>
      <c r="AV939" s="10"/>
      <c r="AW939" s="23"/>
      <c r="BB939" s="66"/>
      <c r="BC939" s="66"/>
      <c r="BD939" s="66"/>
      <c r="BE939" s="66"/>
      <c r="BF939" s="66"/>
      <c r="BG939" s="66"/>
      <c r="BH939" s="66"/>
      <c r="BI939" s="66"/>
      <c r="BJ939" s="66"/>
      <c r="BK939" s="66"/>
      <c r="BL939" s="66"/>
      <c r="BM939" s="66"/>
      <c r="BN939" s="66"/>
      <c r="BO939" s="66"/>
      <c r="BP939" s="66"/>
      <c r="BQ939" s="66"/>
      <c r="BR939" s="66"/>
      <c r="BS939" s="66"/>
      <c r="BT939" s="66"/>
      <c r="BU939" s="66"/>
      <c r="BV939" s="66"/>
      <c r="BW939" s="66"/>
    </row>
    <row r="940" spans="1:75" ht="15.75" customHeight="1">
      <c r="A940" s="65"/>
      <c r="B940" s="66"/>
      <c r="C940" s="66"/>
      <c r="D940" s="66"/>
      <c r="E940" s="66"/>
      <c r="F940" s="65"/>
      <c r="G940" s="65"/>
      <c r="H940" s="66"/>
      <c r="I940" s="66"/>
      <c r="J940" s="66"/>
      <c r="K940" s="66"/>
      <c r="L940" s="66"/>
      <c r="M940" s="66"/>
      <c r="N940" s="66"/>
      <c r="O940" s="66"/>
      <c r="P940" s="66"/>
      <c r="Q940" s="23"/>
      <c r="AB940" s="23"/>
      <c r="AC940" s="23"/>
      <c r="AD940" s="23"/>
      <c r="AE940" s="7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71"/>
      <c r="AV940" s="10"/>
      <c r="AW940" s="23"/>
      <c r="BB940" s="66"/>
      <c r="BC940" s="66"/>
      <c r="BD940" s="66"/>
      <c r="BE940" s="66"/>
      <c r="BF940" s="66"/>
      <c r="BG940" s="66"/>
      <c r="BH940" s="66"/>
      <c r="BI940" s="66"/>
      <c r="BJ940" s="66"/>
      <c r="BK940" s="66"/>
      <c r="BL940" s="66"/>
      <c r="BM940" s="66"/>
      <c r="BN940" s="66"/>
      <c r="BO940" s="66"/>
      <c r="BP940" s="66"/>
      <c r="BQ940" s="66"/>
      <c r="BR940" s="66"/>
      <c r="BS940" s="66"/>
      <c r="BT940" s="66"/>
      <c r="BU940" s="66"/>
      <c r="BV940" s="66"/>
      <c r="BW940" s="66"/>
    </row>
    <row r="941" spans="1:75" ht="15.75" customHeight="1">
      <c r="A941" s="65"/>
      <c r="B941" s="66"/>
      <c r="C941" s="66"/>
      <c r="D941" s="66"/>
      <c r="E941" s="66"/>
      <c r="F941" s="65"/>
      <c r="G941" s="65"/>
      <c r="H941" s="66"/>
      <c r="I941" s="66"/>
      <c r="J941" s="66"/>
      <c r="K941" s="66"/>
      <c r="L941" s="66"/>
      <c r="M941" s="66"/>
      <c r="N941" s="66"/>
      <c r="O941" s="66"/>
      <c r="P941" s="66"/>
      <c r="Q941" s="23"/>
      <c r="AB941" s="23"/>
      <c r="AC941" s="23"/>
      <c r="AD941" s="23"/>
      <c r="AE941" s="7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71"/>
      <c r="AV941" s="10"/>
      <c r="AW941" s="23"/>
      <c r="BB941" s="66"/>
      <c r="BC941" s="66"/>
      <c r="BD941" s="66"/>
      <c r="BE941" s="66"/>
      <c r="BF941" s="66"/>
      <c r="BG941" s="66"/>
      <c r="BH941" s="66"/>
      <c r="BI941" s="66"/>
      <c r="BJ941" s="66"/>
      <c r="BK941" s="66"/>
      <c r="BL941" s="66"/>
      <c r="BM941" s="66"/>
      <c r="BN941" s="66"/>
      <c r="BO941" s="66"/>
      <c r="BP941" s="66"/>
      <c r="BQ941" s="66"/>
      <c r="BR941" s="66"/>
      <c r="BS941" s="66"/>
      <c r="BT941" s="66"/>
      <c r="BU941" s="66"/>
      <c r="BV941" s="66"/>
      <c r="BW941" s="66"/>
    </row>
    <row r="942" spans="1:75" ht="15.75" customHeight="1">
      <c r="A942" s="65"/>
      <c r="B942" s="66"/>
      <c r="C942" s="66"/>
      <c r="D942" s="66"/>
      <c r="E942" s="66"/>
      <c r="F942" s="65"/>
      <c r="G942" s="65"/>
      <c r="H942" s="66"/>
      <c r="I942" s="66"/>
      <c r="J942" s="66"/>
      <c r="K942" s="66"/>
      <c r="L942" s="66"/>
      <c r="M942" s="66"/>
      <c r="N942" s="66"/>
      <c r="O942" s="66"/>
      <c r="P942" s="66"/>
      <c r="Q942" s="23"/>
      <c r="AB942" s="23"/>
      <c r="AC942" s="23"/>
      <c r="AD942" s="23"/>
      <c r="AE942" s="7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71"/>
      <c r="AV942" s="10"/>
      <c r="AW942" s="23"/>
      <c r="BB942" s="66"/>
      <c r="BC942" s="66"/>
      <c r="BD942" s="66"/>
      <c r="BE942" s="66"/>
      <c r="BF942" s="66"/>
      <c r="BG942" s="66"/>
      <c r="BH942" s="66"/>
      <c r="BI942" s="66"/>
      <c r="BJ942" s="66"/>
      <c r="BK942" s="66"/>
      <c r="BL942" s="66"/>
      <c r="BM942" s="66"/>
      <c r="BN942" s="66"/>
      <c r="BO942" s="66"/>
      <c r="BP942" s="66"/>
      <c r="BQ942" s="66"/>
      <c r="BR942" s="66"/>
      <c r="BS942" s="66"/>
      <c r="BT942" s="66"/>
      <c r="BU942" s="66"/>
      <c r="BV942" s="66"/>
      <c r="BW942" s="66"/>
    </row>
    <row r="943" spans="1:75" ht="15.75" customHeight="1">
      <c r="A943" s="65"/>
      <c r="B943" s="66"/>
      <c r="C943" s="66"/>
      <c r="D943" s="66"/>
      <c r="E943" s="66"/>
      <c r="F943" s="65"/>
      <c r="G943" s="65"/>
      <c r="H943" s="66"/>
      <c r="I943" s="66"/>
      <c r="J943" s="66"/>
      <c r="K943" s="66"/>
      <c r="L943" s="66"/>
      <c r="M943" s="66"/>
      <c r="N943" s="66"/>
      <c r="O943" s="66"/>
      <c r="P943" s="66"/>
      <c r="Q943" s="23"/>
      <c r="AB943" s="23"/>
      <c r="AC943" s="23"/>
      <c r="AD943" s="23"/>
      <c r="AE943" s="7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71"/>
      <c r="AV943" s="10"/>
      <c r="AW943" s="23"/>
      <c r="BB943" s="66"/>
      <c r="BC943" s="66"/>
      <c r="BD943" s="66"/>
      <c r="BE943" s="66"/>
      <c r="BF943" s="66"/>
      <c r="BG943" s="66"/>
      <c r="BH943" s="66"/>
      <c r="BI943" s="66"/>
      <c r="BJ943" s="66"/>
      <c r="BK943" s="66"/>
      <c r="BL943" s="66"/>
      <c r="BM943" s="66"/>
      <c r="BN943" s="66"/>
      <c r="BO943" s="66"/>
      <c r="BP943" s="66"/>
      <c r="BQ943" s="66"/>
      <c r="BR943" s="66"/>
      <c r="BS943" s="66"/>
      <c r="BT943" s="66"/>
      <c r="BU943" s="66"/>
      <c r="BV943" s="66"/>
      <c r="BW943" s="66"/>
    </row>
    <row r="944" spans="1:75" ht="15.75" customHeight="1">
      <c r="A944" s="65"/>
      <c r="B944" s="66"/>
      <c r="C944" s="66"/>
      <c r="D944" s="66"/>
      <c r="E944" s="66"/>
      <c r="F944" s="65"/>
      <c r="G944" s="65"/>
      <c r="H944" s="66"/>
      <c r="I944" s="66"/>
      <c r="J944" s="66"/>
      <c r="K944" s="66"/>
      <c r="L944" s="66"/>
      <c r="M944" s="66"/>
      <c r="N944" s="66"/>
      <c r="O944" s="66"/>
      <c r="P944" s="66"/>
      <c r="Q944" s="23"/>
      <c r="AB944" s="23"/>
      <c r="AC944" s="23"/>
      <c r="AD944" s="23"/>
      <c r="AE944" s="7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71"/>
      <c r="AV944" s="10"/>
      <c r="AW944" s="23"/>
      <c r="BB944" s="66"/>
      <c r="BC944" s="66"/>
      <c r="BD944" s="66"/>
      <c r="BE944" s="66"/>
      <c r="BF944" s="66"/>
      <c r="BG944" s="66"/>
      <c r="BH944" s="66"/>
      <c r="BI944" s="66"/>
      <c r="BJ944" s="66"/>
      <c r="BK944" s="66"/>
      <c r="BL944" s="66"/>
      <c r="BM944" s="66"/>
      <c r="BN944" s="66"/>
      <c r="BO944" s="66"/>
      <c r="BP944" s="66"/>
      <c r="BQ944" s="66"/>
      <c r="BR944" s="66"/>
      <c r="BS944" s="66"/>
      <c r="BT944" s="66"/>
      <c r="BU944" s="66"/>
      <c r="BV944" s="66"/>
      <c r="BW944" s="66"/>
    </row>
    <row r="945" spans="1:75" ht="15.75" customHeight="1">
      <c r="A945" s="65"/>
      <c r="B945" s="66"/>
      <c r="C945" s="66"/>
      <c r="D945" s="66"/>
      <c r="E945" s="66"/>
      <c r="F945" s="65"/>
      <c r="G945" s="65"/>
      <c r="H945" s="66"/>
      <c r="I945" s="66"/>
      <c r="J945" s="66"/>
      <c r="K945" s="66"/>
      <c r="L945" s="66"/>
      <c r="M945" s="66"/>
      <c r="N945" s="66"/>
      <c r="O945" s="66"/>
      <c r="P945" s="66"/>
      <c r="Q945" s="23"/>
      <c r="AB945" s="23"/>
      <c r="AC945" s="23"/>
      <c r="AD945" s="23"/>
      <c r="AE945" s="7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71"/>
      <c r="AV945" s="10"/>
      <c r="AW945" s="23"/>
      <c r="BB945" s="66"/>
      <c r="BC945" s="66"/>
      <c r="BD945" s="66"/>
      <c r="BE945" s="66"/>
      <c r="BF945" s="66"/>
      <c r="BG945" s="66"/>
      <c r="BH945" s="66"/>
      <c r="BI945" s="66"/>
      <c r="BJ945" s="66"/>
      <c r="BK945" s="66"/>
      <c r="BL945" s="66"/>
      <c r="BM945" s="66"/>
      <c r="BN945" s="66"/>
      <c r="BO945" s="66"/>
      <c r="BP945" s="66"/>
      <c r="BQ945" s="66"/>
      <c r="BR945" s="66"/>
      <c r="BS945" s="66"/>
      <c r="BT945" s="66"/>
      <c r="BU945" s="66"/>
      <c r="BV945" s="66"/>
      <c r="BW945" s="66"/>
    </row>
    <row r="946" spans="1:75" ht="15.75" customHeight="1">
      <c r="A946" s="65"/>
      <c r="B946" s="66"/>
      <c r="C946" s="66"/>
      <c r="D946" s="66"/>
      <c r="E946" s="66"/>
      <c r="F946" s="65"/>
      <c r="G946" s="65"/>
      <c r="H946" s="66"/>
      <c r="I946" s="66"/>
      <c r="J946" s="66"/>
      <c r="K946" s="66"/>
      <c r="L946" s="66"/>
      <c r="M946" s="66"/>
      <c r="N946" s="66"/>
      <c r="O946" s="66"/>
      <c r="P946" s="66"/>
      <c r="Q946" s="23"/>
      <c r="AB946" s="23"/>
      <c r="AC946" s="23"/>
      <c r="AD946" s="23"/>
      <c r="AE946" s="7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71"/>
      <c r="AV946" s="10"/>
      <c r="AW946" s="23"/>
      <c r="BB946" s="66"/>
      <c r="BC946" s="66"/>
      <c r="BD946" s="66"/>
      <c r="BE946" s="66"/>
      <c r="BF946" s="66"/>
      <c r="BG946" s="66"/>
      <c r="BH946" s="66"/>
      <c r="BI946" s="66"/>
      <c r="BJ946" s="66"/>
      <c r="BK946" s="66"/>
      <c r="BL946" s="66"/>
      <c r="BM946" s="66"/>
      <c r="BN946" s="66"/>
      <c r="BO946" s="66"/>
      <c r="BP946" s="66"/>
      <c r="BQ946" s="66"/>
      <c r="BR946" s="66"/>
      <c r="BS946" s="66"/>
      <c r="BT946" s="66"/>
      <c r="BU946" s="66"/>
      <c r="BV946" s="66"/>
      <c r="BW946" s="66"/>
    </row>
    <row r="947" spans="1:75" ht="15.75" customHeight="1">
      <c r="A947" s="65"/>
      <c r="B947" s="66"/>
      <c r="C947" s="66"/>
      <c r="D947" s="66"/>
      <c r="E947" s="66"/>
      <c r="F947" s="65"/>
      <c r="G947" s="65"/>
      <c r="H947" s="66"/>
      <c r="I947" s="66"/>
      <c r="J947" s="66"/>
      <c r="K947" s="66"/>
      <c r="L947" s="66"/>
      <c r="M947" s="66"/>
      <c r="N947" s="66"/>
      <c r="O947" s="66"/>
      <c r="P947" s="66"/>
      <c r="Q947" s="23"/>
      <c r="AB947" s="23"/>
      <c r="AC947" s="23"/>
      <c r="AD947" s="23"/>
      <c r="AE947" s="7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71"/>
      <c r="AV947" s="10"/>
      <c r="AW947" s="23"/>
      <c r="BB947" s="66"/>
      <c r="BC947" s="66"/>
      <c r="BD947" s="66"/>
      <c r="BE947" s="66"/>
      <c r="BF947" s="66"/>
      <c r="BG947" s="66"/>
      <c r="BH947" s="66"/>
      <c r="BI947" s="66"/>
      <c r="BJ947" s="66"/>
      <c r="BK947" s="66"/>
      <c r="BL947" s="66"/>
      <c r="BM947" s="66"/>
      <c r="BN947" s="66"/>
      <c r="BO947" s="66"/>
      <c r="BP947" s="66"/>
      <c r="BQ947" s="66"/>
      <c r="BR947" s="66"/>
      <c r="BS947" s="66"/>
      <c r="BT947" s="66"/>
      <c r="BU947" s="66"/>
      <c r="BV947" s="66"/>
      <c r="BW947" s="66"/>
    </row>
    <row r="948" spans="1:75" ht="15.75" customHeight="1">
      <c r="A948" s="65"/>
      <c r="B948" s="66"/>
      <c r="C948" s="66"/>
      <c r="D948" s="66"/>
      <c r="E948" s="66"/>
      <c r="F948" s="65"/>
      <c r="G948" s="65"/>
      <c r="H948" s="66"/>
      <c r="I948" s="66"/>
      <c r="J948" s="66"/>
      <c r="K948" s="66"/>
      <c r="L948" s="66"/>
      <c r="M948" s="66"/>
      <c r="N948" s="66"/>
      <c r="O948" s="66"/>
      <c r="P948" s="66"/>
      <c r="Q948" s="23"/>
      <c r="AB948" s="23"/>
      <c r="AC948" s="23"/>
      <c r="AD948" s="23"/>
      <c r="AE948" s="7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71"/>
      <c r="AV948" s="10"/>
      <c r="AW948" s="23"/>
      <c r="BB948" s="66"/>
      <c r="BC948" s="66"/>
      <c r="BD948" s="66"/>
      <c r="BE948" s="66"/>
      <c r="BF948" s="66"/>
      <c r="BG948" s="66"/>
      <c r="BH948" s="66"/>
      <c r="BI948" s="66"/>
      <c r="BJ948" s="66"/>
      <c r="BK948" s="66"/>
      <c r="BL948" s="66"/>
      <c r="BM948" s="66"/>
      <c r="BN948" s="66"/>
      <c r="BO948" s="66"/>
      <c r="BP948" s="66"/>
      <c r="BQ948" s="66"/>
      <c r="BR948" s="66"/>
      <c r="BS948" s="66"/>
      <c r="BT948" s="66"/>
      <c r="BU948" s="66"/>
      <c r="BV948" s="66"/>
      <c r="BW948" s="66"/>
    </row>
    <row r="949" spans="1:75" ht="15.75" customHeight="1">
      <c r="A949" s="65"/>
      <c r="B949" s="66"/>
      <c r="C949" s="66"/>
      <c r="D949" s="66"/>
      <c r="E949" s="66"/>
      <c r="F949" s="65"/>
      <c r="G949" s="65"/>
      <c r="H949" s="66"/>
      <c r="I949" s="66"/>
      <c r="J949" s="66"/>
      <c r="K949" s="66"/>
      <c r="L949" s="66"/>
      <c r="M949" s="66"/>
      <c r="N949" s="66"/>
      <c r="O949" s="66"/>
      <c r="P949" s="66"/>
      <c r="Q949" s="23"/>
      <c r="AB949" s="23"/>
      <c r="AC949" s="23"/>
      <c r="AD949" s="23"/>
      <c r="AE949" s="7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71"/>
      <c r="AV949" s="10"/>
      <c r="AW949" s="23"/>
      <c r="BB949" s="66"/>
      <c r="BC949" s="66"/>
      <c r="BD949" s="66"/>
      <c r="BE949" s="66"/>
      <c r="BF949" s="66"/>
      <c r="BG949" s="66"/>
      <c r="BH949" s="66"/>
      <c r="BI949" s="66"/>
      <c r="BJ949" s="66"/>
      <c r="BK949" s="66"/>
      <c r="BL949" s="66"/>
      <c r="BM949" s="66"/>
      <c r="BN949" s="66"/>
      <c r="BO949" s="66"/>
      <c r="BP949" s="66"/>
      <c r="BQ949" s="66"/>
      <c r="BR949" s="66"/>
      <c r="BS949" s="66"/>
      <c r="BT949" s="66"/>
      <c r="BU949" s="66"/>
      <c r="BV949" s="66"/>
      <c r="BW949" s="66"/>
    </row>
    <row r="950" spans="1:75" ht="15.75" customHeight="1">
      <c r="A950" s="65"/>
      <c r="B950" s="66"/>
      <c r="C950" s="66"/>
      <c r="D950" s="66"/>
      <c r="E950" s="66"/>
      <c r="F950" s="65"/>
      <c r="G950" s="65"/>
      <c r="H950" s="66"/>
      <c r="I950" s="66"/>
      <c r="J950" s="66"/>
      <c r="K950" s="66"/>
      <c r="L950" s="66"/>
      <c r="M950" s="66"/>
      <c r="N950" s="66"/>
      <c r="O950" s="66"/>
      <c r="P950" s="66"/>
      <c r="Q950" s="23"/>
      <c r="AB950" s="23"/>
      <c r="AC950" s="23"/>
      <c r="AD950" s="23"/>
      <c r="AE950" s="7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71"/>
      <c r="AV950" s="10"/>
      <c r="AW950" s="23"/>
      <c r="BB950" s="66"/>
      <c r="BC950" s="66"/>
      <c r="BD950" s="66"/>
      <c r="BE950" s="66"/>
      <c r="BF950" s="66"/>
      <c r="BG950" s="66"/>
      <c r="BH950" s="66"/>
      <c r="BI950" s="66"/>
      <c r="BJ950" s="66"/>
      <c r="BK950" s="66"/>
      <c r="BL950" s="66"/>
      <c r="BM950" s="66"/>
      <c r="BN950" s="66"/>
      <c r="BO950" s="66"/>
      <c r="BP950" s="66"/>
      <c r="BQ950" s="66"/>
      <c r="BR950" s="66"/>
      <c r="BS950" s="66"/>
      <c r="BT950" s="66"/>
      <c r="BU950" s="66"/>
      <c r="BV950" s="66"/>
      <c r="BW950" s="66"/>
    </row>
    <row r="951" spans="1:75" ht="15.75" customHeight="1">
      <c r="A951" s="65"/>
      <c r="B951" s="66"/>
      <c r="C951" s="66"/>
      <c r="D951" s="66"/>
      <c r="E951" s="66"/>
      <c r="F951" s="65"/>
      <c r="G951" s="65"/>
      <c r="H951" s="66"/>
      <c r="I951" s="66"/>
      <c r="J951" s="66"/>
      <c r="K951" s="66"/>
      <c r="L951" s="66"/>
      <c r="M951" s="66"/>
      <c r="N951" s="66"/>
      <c r="O951" s="66"/>
      <c r="P951" s="66"/>
      <c r="Q951" s="23"/>
      <c r="AB951" s="23"/>
      <c r="AC951" s="23"/>
      <c r="AD951" s="23"/>
      <c r="AE951" s="7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71"/>
      <c r="AV951" s="10"/>
      <c r="AW951" s="23"/>
      <c r="BB951" s="66"/>
      <c r="BC951" s="66"/>
      <c r="BD951" s="66"/>
      <c r="BE951" s="66"/>
      <c r="BF951" s="66"/>
      <c r="BG951" s="66"/>
      <c r="BH951" s="66"/>
      <c r="BI951" s="66"/>
      <c r="BJ951" s="66"/>
      <c r="BK951" s="66"/>
      <c r="BL951" s="66"/>
      <c r="BM951" s="66"/>
      <c r="BN951" s="66"/>
      <c r="BO951" s="66"/>
      <c r="BP951" s="66"/>
      <c r="BQ951" s="66"/>
      <c r="BR951" s="66"/>
      <c r="BS951" s="66"/>
      <c r="BT951" s="66"/>
      <c r="BU951" s="66"/>
      <c r="BV951" s="66"/>
      <c r="BW951" s="66"/>
    </row>
    <row r="952" spans="1:75" ht="15.75" customHeight="1">
      <c r="A952" s="65"/>
      <c r="B952" s="66"/>
      <c r="C952" s="66"/>
      <c r="D952" s="66"/>
      <c r="E952" s="66"/>
      <c r="F952" s="65"/>
      <c r="G952" s="65"/>
      <c r="H952" s="66"/>
      <c r="I952" s="66"/>
      <c r="J952" s="66"/>
      <c r="K952" s="66"/>
      <c r="L952" s="66"/>
      <c r="M952" s="66"/>
      <c r="N952" s="66"/>
      <c r="O952" s="66"/>
      <c r="P952" s="66"/>
      <c r="Q952" s="23"/>
      <c r="AB952" s="23"/>
      <c r="AC952" s="23"/>
      <c r="AD952" s="23"/>
      <c r="AE952" s="7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71"/>
      <c r="AV952" s="10"/>
      <c r="AW952" s="23"/>
      <c r="BB952" s="66"/>
      <c r="BC952" s="66"/>
      <c r="BD952" s="66"/>
      <c r="BE952" s="66"/>
      <c r="BF952" s="66"/>
      <c r="BG952" s="66"/>
      <c r="BH952" s="66"/>
      <c r="BI952" s="66"/>
      <c r="BJ952" s="66"/>
      <c r="BK952" s="66"/>
      <c r="BL952" s="66"/>
      <c r="BM952" s="66"/>
      <c r="BN952" s="66"/>
      <c r="BO952" s="66"/>
      <c r="BP952" s="66"/>
      <c r="BQ952" s="66"/>
      <c r="BR952" s="66"/>
      <c r="BS952" s="66"/>
      <c r="BT952" s="66"/>
      <c r="BU952" s="66"/>
      <c r="BV952" s="66"/>
      <c r="BW952" s="66"/>
    </row>
    <row r="953" spans="1:75" ht="15.75" customHeight="1">
      <c r="A953" s="65"/>
      <c r="B953" s="66"/>
      <c r="C953" s="66"/>
      <c r="D953" s="66"/>
      <c r="E953" s="66"/>
      <c r="F953" s="65"/>
      <c r="G953" s="65"/>
      <c r="H953" s="66"/>
      <c r="I953" s="66"/>
      <c r="J953" s="66"/>
      <c r="K953" s="66"/>
      <c r="L953" s="66"/>
      <c r="M953" s="66"/>
      <c r="N953" s="66"/>
      <c r="O953" s="66"/>
      <c r="P953" s="66"/>
      <c r="Q953" s="23"/>
      <c r="AB953" s="23"/>
      <c r="AC953" s="23"/>
      <c r="AD953" s="23"/>
      <c r="AE953" s="7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71"/>
      <c r="AV953" s="10"/>
      <c r="AW953" s="23"/>
      <c r="BB953" s="66"/>
      <c r="BC953" s="66"/>
      <c r="BD953" s="66"/>
      <c r="BE953" s="66"/>
      <c r="BF953" s="66"/>
      <c r="BG953" s="66"/>
      <c r="BH953" s="66"/>
      <c r="BI953" s="66"/>
      <c r="BJ953" s="66"/>
      <c r="BK953" s="66"/>
      <c r="BL953" s="66"/>
      <c r="BM953" s="66"/>
      <c r="BN953" s="66"/>
      <c r="BO953" s="66"/>
      <c r="BP953" s="66"/>
      <c r="BQ953" s="66"/>
      <c r="BR953" s="66"/>
      <c r="BS953" s="66"/>
      <c r="BT953" s="66"/>
      <c r="BU953" s="66"/>
      <c r="BV953" s="66"/>
      <c r="BW953" s="66"/>
    </row>
    <row r="954" spans="1:75" ht="15.75" customHeight="1">
      <c r="A954" s="65"/>
      <c r="B954" s="66"/>
      <c r="C954" s="66"/>
      <c r="D954" s="66"/>
      <c r="E954" s="66"/>
      <c r="F954" s="65"/>
      <c r="G954" s="65"/>
      <c r="H954" s="66"/>
      <c r="I954" s="66"/>
      <c r="J954" s="66"/>
      <c r="K954" s="66"/>
      <c r="L954" s="66"/>
      <c r="M954" s="66"/>
      <c r="N954" s="66"/>
      <c r="O954" s="66"/>
      <c r="P954" s="66"/>
      <c r="Q954" s="23"/>
      <c r="AB954" s="23"/>
      <c r="AC954" s="23"/>
      <c r="AD954" s="23"/>
      <c r="AE954" s="7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71"/>
      <c r="AV954" s="10"/>
      <c r="AW954" s="23"/>
      <c r="BB954" s="66"/>
      <c r="BC954" s="66"/>
      <c r="BD954" s="66"/>
      <c r="BE954" s="66"/>
      <c r="BF954" s="66"/>
      <c r="BG954" s="66"/>
      <c r="BH954" s="66"/>
      <c r="BI954" s="66"/>
      <c r="BJ954" s="66"/>
      <c r="BK954" s="66"/>
      <c r="BL954" s="66"/>
      <c r="BM954" s="66"/>
      <c r="BN954" s="66"/>
      <c r="BO954" s="66"/>
      <c r="BP954" s="66"/>
      <c r="BQ954" s="66"/>
      <c r="BR954" s="66"/>
      <c r="BS954" s="66"/>
      <c r="BT954" s="66"/>
      <c r="BU954" s="66"/>
      <c r="BV954" s="66"/>
      <c r="BW954" s="66"/>
    </row>
    <row r="955" spans="1:75" ht="15.75" customHeight="1">
      <c r="A955" s="65"/>
      <c r="B955" s="66"/>
      <c r="C955" s="66"/>
      <c r="D955" s="66"/>
      <c r="E955" s="66"/>
      <c r="F955" s="65"/>
      <c r="G955" s="65"/>
      <c r="H955" s="66"/>
      <c r="I955" s="66"/>
      <c r="J955" s="66"/>
      <c r="K955" s="66"/>
      <c r="L955" s="66"/>
      <c r="M955" s="66"/>
      <c r="N955" s="66"/>
      <c r="O955" s="66"/>
      <c r="P955" s="66"/>
      <c r="Q955" s="23"/>
      <c r="AB955" s="23"/>
      <c r="AC955" s="23"/>
      <c r="AD955" s="23"/>
      <c r="AE955" s="7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71"/>
      <c r="AV955" s="10"/>
      <c r="AW955" s="23"/>
      <c r="BB955" s="66"/>
      <c r="BC955" s="66"/>
      <c r="BD955" s="66"/>
      <c r="BE955" s="66"/>
      <c r="BF955" s="66"/>
      <c r="BG955" s="66"/>
      <c r="BH955" s="66"/>
      <c r="BI955" s="66"/>
      <c r="BJ955" s="66"/>
      <c r="BK955" s="66"/>
      <c r="BL955" s="66"/>
      <c r="BM955" s="66"/>
      <c r="BN955" s="66"/>
      <c r="BO955" s="66"/>
      <c r="BP955" s="66"/>
      <c r="BQ955" s="66"/>
      <c r="BR955" s="66"/>
      <c r="BS955" s="66"/>
      <c r="BT955" s="66"/>
      <c r="BU955" s="66"/>
      <c r="BV955" s="66"/>
      <c r="BW955" s="66"/>
    </row>
    <row r="956" spans="1:75" ht="15.75" customHeight="1">
      <c r="A956" s="65"/>
      <c r="B956" s="66"/>
      <c r="C956" s="66"/>
      <c r="D956" s="66"/>
      <c r="E956" s="66"/>
      <c r="F956" s="65"/>
      <c r="G956" s="65"/>
      <c r="H956" s="66"/>
      <c r="I956" s="66"/>
      <c r="J956" s="66"/>
      <c r="K956" s="66"/>
      <c r="L956" s="66"/>
      <c r="M956" s="66"/>
      <c r="N956" s="66"/>
      <c r="O956" s="66"/>
      <c r="P956" s="66"/>
      <c r="Q956" s="23"/>
      <c r="AB956" s="23"/>
      <c r="AC956" s="23"/>
      <c r="AD956" s="23"/>
      <c r="AE956" s="7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71"/>
      <c r="AV956" s="10"/>
      <c r="AW956" s="23"/>
      <c r="BB956" s="66"/>
      <c r="BC956" s="66"/>
      <c r="BD956" s="66"/>
      <c r="BE956" s="66"/>
      <c r="BF956" s="66"/>
      <c r="BG956" s="66"/>
      <c r="BH956" s="66"/>
      <c r="BI956" s="66"/>
      <c r="BJ956" s="66"/>
      <c r="BK956" s="66"/>
      <c r="BL956" s="66"/>
      <c r="BM956" s="66"/>
      <c r="BN956" s="66"/>
      <c r="BO956" s="66"/>
      <c r="BP956" s="66"/>
      <c r="BQ956" s="66"/>
      <c r="BR956" s="66"/>
      <c r="BS956" s="66"/>
      <c r="BT956" s="66"/>
      <c r="BU956" s="66"/>
      <c r="BV956" s="66"/>
      <c r="BW956" s="66"/>
    </row>
    <row r="957" spans="1:75" ht="15.75" customHeight="1">
      <c r="A957" s="65"/>
      <c r="B957" s="66"/>
      <c r="C957" s="66"/>
      <c r="D957" s="66"/>
      <c r="E957" s="66"/>
      <c r="F957" s="65"/>
      <c r="G957" s="65"/>
      <c r="H957" s="66"/>
      <c r="I957" s="66"/>
      <c r="J957" s="66"/>
      <c r="K957" s="66"/>
      <c r="L957" s="66"/>
      <c r="M957" s="66"/>
      <c r="N957" s="66"/>
      <c r="O957" s="66"/>
      <c r="P957" s="66"/>
      <c r="Q957" s="23"/>
      <c r="AB957" s="23"/>
      <c r="AC957" s="23"/>
      <c r="AD957" s="23"/>
      <c r="AE957" s="7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71"/>
      <c r="AV957" s="10"/>
      <c r="AW957" s="23"/>
      <c r="BB957" s="66"/>
      <c r="BC957" s="66"/>
      <c r="BD957" s="66"/>
      <c r="BE957" s="66"/>
      <c r="BF957" s="66"/>
      <c r="BG957" s="66"/>
      <c r="BH957" s="66"/>
      <c r="BI957" s="66"/>
      <c r="BJ957" s="66"/>
      <c r="BK957" s="66"/>
      <c r="BL957" s="66"/>
      <c r="BM957" s="66"/>
      <c r="BN957" s="66"/>
      <c r="BO957" s="66"/>
      <c r="BP957" s="66"/>
      <c r="BQ957" s="66"/>
      <c r="BR957" s="66"/>
      <c r="BS957" s="66"/>
      <c r="BT957" s="66"/>
      <c r="BU957" s="66"/>
      <c r="BV957" s="66"/>
      <c r="BW957" s="66"/>
    </row>
    <row r="958" spans="1:75" ht="15.75" customHeight="1">
      <c r="A958" s="65"/>
      <c r="B958" s="66"/>
      <c r="C958" s="66"/>
      <c r="D958" s="66"/>
      <c r="E958" s="66"/>
      <c r="F958" s="65"/>
      <c r="G958" s="65"/>
      <c r="H958" s="66"/>
      <c r="I958" s="66"/>
      <c r="J958" s="66"/>
      <c r="K958" s="66"/>
      <c r="L958" s="66"/>
      <c r="M958" s="66"/>
      <c r="N958" s="66"/>
      <c r="O958" s="66"/>
      <c r="P958" s="66"/>
      <c r="Q958" s="23"/>
      <c r="AB958" s="23"/>
      <c r="AC958" s="23"/>
      <c r="AD958" s="23"/>
      <c r="AE958" s="7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71"/>
      <c r="AV958" s="10"/>
      <c r="AW958" s="23"/>
      <c r="BB958" s="66"/>
      <c r="BC958" s="66"/>
      <c r="BD958" s="66"/>
      <c r="BE958" s="66"/>
      <c r="BF958" s="66"/>
      <c r="BG958" s="66"/>
      <c r="BH958" s="66"/>
      <c r="BI958" s="66"/>
      <c r="BJ958" s="66"/>
      <c r="BK958" s="66"/>
      <c r="BL958" s="66"/>
      <c r="BM958" s="66"/>
      <c r="BN958" s="66"/>
      <c r="BO958" s="66"/>
      <c r="BP958" s="66"/>
      <c r="BQ958" s="66"/>
      <c r="BR958" s="66"/>
      <c r="BS958" s="66"/>
      <c r="BT958" s="66"/>
      <c r="BU958" s="66"/>
      <c r="BV958" s="66"/>
      <c r="BW958" s="66"/>
    </row>
    <row r="959" spans="1:75" ht="15.75" customHeight="1">
      <c r="A959" s="65"/>
      <c r="B959" s="66"/>
      <c r="C959" s="66"/>
      <c r="D959" s="66"/>
      <c r="E959" s="66"/>
      <c r="F959" s="65"/>
      <c r="G959" s="65"/>
      <c r="H959" s="66"/>
      <c r="I959" s="66"/>
      <c r="J959" s="66"/>
      <c r="K959" s="66"/>
      <c r="L959" s="66"/>
      <c r="M959" s="66"/>
      <c r="N959" s="66"/>
      <c r="O959" s="66"/>
      <c r="P959" s="66"/>
      <c r="Q959" s="23"/>
      <c r="AB959" s="23"/>
      <c r="AC959" s="23"/>
      <c r="AD959" s="23"/>
      <c r="AE959" s="7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71"/>
      <c r="AV959" s="10"/>
      <c r="AW959" s="23"/>
      <c r="BB959" s="66"/>
      <c r="BC959" s="66"/>
      <c r="BD959" s="66"/>
      <c r="BE959" s="66"/>
      <c r="BF959" s="66"/>
      <c r="BG959" s="66"/>
      <c r="BH959" s="66"/>
      <c r="BI959" s="66"/>
      <c r="BJ959" s="66"/>
      <c r="BK959" s="66"/>
      <c r="BL959" s="66"/>
      <c r="BM959" s="66"/>
      <c r="BN959" s="66"/>
      <c r="BO959" s="66"/>
      <c r="BP959" s="66"/>
      <c r="BQ959" s="66"/>
      <c r="BR959" s="66"/>
      <c r="BS959" s="66"/>
      <c r="BT959" s="66"/>
      <c r="BU959" s="66"/>
      <c r="BV959" s="66"/>
      <c r="BW959" s="66"/>
    </row>
    <row r="960" spans="1:75" ht="15.75" customHeight="1">
      <c r="A960" s="65"/>
      <c r="B960" s="66"/>
      <c r="C960" s="66"/>
      <c r="D960" s="66"/>
      <c r="E960" s="66"/>
      <c r="F960" s="65"/>
      <c r="G960" s="65"/>
      <c r="H960" s="66"/>
      <c r="I960" s="66"/>
      <c r="J960" s="66"/>
      <c r="K960" s="66"/>
      <c r="L960" s="66"/>
      <c r="M960" s="66"/>
      <c r="N960" s="66"/>
      <c r="O960" s="66"/>
      <c r="P960" s="66"/>
      <c r="Q960" s="23"/>
      <c r="AB960" s="23"/>
      <c r="AC960" s="23"/>
      <c r="AD960" s="23"/>
      <c r="AE960" s="7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71"/>
      <c r="AV960" s="10"/>
      <c r="AW960" s="23"/>
      <c r="BB960" s="66"/>
      <c r="BC960" s="66"/>
      <c r="BD960" s="66"/>
      <c r="BE960" s="66"/>
      <c r="BF960" s="66"/>
      <c r="BG960" s="66"/>
      <c r="BH960" s="66"/>
      <c r="BI960" s="66"/>
      <c r="BJ960" s="66"/>
      <c r="BK960" s="66"/>
      <c r="BL960" s="66"/>
      <c r="BM960" s="66"/>
      <c r="BN960" s="66"/>
      <c r="BO960" s="66"/>
      <c r="BP960" s="66"/>
      <c r="BQ960" s="66"/>
      <c r="BR960" s="66"/>
      <c r="BS960" s="66"/>
      <c r="BT960" s="66"/>
      <c r="BU960" s="66"/>
      <c r="BV960" s="66"/>
      <c r="BW960" s="66"/>
    </row>
    <row r="961" spans="1:75" ht="15.75" customHeight="1">
      <c r="A961" s="65"/>
      <c r="B961" s="66"/>
      <c r="C961" s="66"/>
      <c r="D961" s="66"/>
      <c r="E961" s="66"/>
      <c r="F961" s="65"/>
      <c r="G961" s="65"/>
      <c r="H961" s="66"/>
      <c r="I961" s="66"/>
      <c r="J961" s="66"/>
      <c r="K961" s="66"/>
      <c r="L961" s="66"/>
      <c r="M961" s="66"/>
      <c r="N961" s="66"/>
      <c r="O961" s="66"/>
      <c r="P961" s="66"/>
      <c r="Q961" s="23"/>
      <c r="AB961" s="23"/>
      <c r="AC961" s="23"/>
      <c r="AD961" s="23"/>
      <c r="AE961" s="7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71"/>
      <c r="AV961" s="10"/>
      <c r="AW961" s="23"/>
      <c r="BB961" s="66"/>
      <c r="BC961" s="66"/>
      <c r="BD961" s="66"/>
      <c r="BE961" s="66"/>
      <c r="BF961" s="66"/>
      <c r="BG961" s="66"/>
      <c r="BH961" s="66"/>
      <c r="BI961" s="66"/>
      <c r="BJ961" s="66"/>
      <c r="BK961" s="66"/>
      <c r="BL961" s="66"/>
      <c r="BM961" s="66"/>
      <c r="BN961" s="66"/>
      <c r="BO961" s="66"/>
      <c r="BP961" s="66"/>
      <c r="BQ961" s="66"/>
      <c r="BR961" s="66"/>
      <c r="BS961" s="66"/>
      <c r="BT961" s="66"/>
      <c r="BU961" s="66"/>
      <c r="BV961" s="66"/>
      <c r="BW961" s="66"/>
    </row>
    <row r="962" spans="1:75" ht="15.75" customHeight="1">
      <c r="A962" s="65"/>
      <c r="B962" s="66"/>
      <c r="C962" s="66"/>
      <c r="D962" s="66"/>
      <c r="E962" s="66"/>
      <c r="F962" s="65"/>
      <c r="G962" s="65"/>
      <c r="H962" s="66"/>
      <c r="I962" s="66"/>
      <c r="J962" s="66"/>
      <c r="K962" s="66"/>
      <c r="L962" s="66"/>
      <c r="M962" s="66"/>
      <c r="N962" s="66"/>
      <c r="O962" s="66"/>
      <c r="P962" s="66"/>
      <c r="Q962" s="23"/>
      <c r="AB962" s="23"/>
      <c r="AC962" s="23"/>
      <c r="AD962" s="23"/>
      <c r="AE962" s="7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71"/>
      <c r="AV962" s="10"/>
      <c r="AW962" s="23"/>
      <c r="BB962" s="66"/>
      <c r="BC962" s="66"/>
      <c r="BD962" s="66"/>
      <c r="BE962" s="66"/>
      <c r="BF962" s="66"/>
      <c r="BG962" s="66"/>
      <c r="BH962" s="66"/>
      <c r="BI962" s="66"/>
      <c r="BJ962" s="66"/>
      <c r="BK962" s="66"/>
      <c r="BL962" s="66"/>
      <c r="BM962" s="66"/>
      <c r="BN962" s="66"/>
      <c r="BO962" s="66"/>
      <c r="BP962" s="66"/>
      <c r="BQ962" s="66"/>
      <c r="BR962" s="66"/>
      <c r="BS962" s="66"/>
      <c r="BT962" s="66"/>
      <c r="BU962" s="66"/>
      <c r="BV962" s="66"/>
      <c r="BW962" s="66"/>
    </row>
    <row r="963" spans="1:75" ht="15.75" customHeight="1">
      <c r="A963" s="65"/>
      <c r="B963" s="66"/>
      <c r="C963" s="66"/>
      <c r="D963" s="66"/>
      <c r="E963" s="66"/>
      <c r="F963" s="65"/>
      <c r="G963" s="65"/>
      <c r="H963" s="66"/>
      <c r="I963" s="66"/>
      <c r="J963" s="66"/>
      <c r="K963" s="66"/>
      <c r="L963" s="66"/>
      <c r="M963" s="66"/>
      <c r="N963" s="66"/>
      <c r="O963" s="66"/>
      <c r="P963" s="66"/>
      <c r="Q963" s="23"/>
      <c r="AB963" s="23"/>
      <c r="AC963" s="23"/>
      <c r="AD963" s="23"/>
      <c r="AE963" s="7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71"/>
      <c r="AV963" s="10"/>
      <c r="AW963" s="23"/>
      <c r="BB963" s="66"/>
      <c r="BC963" s="66"/>
      <c r="BD963" s="66"/>
      <c r="BE963" s="66"/>
      <c r="BF963" s="66"/>
      <c r="BG963" s="66"/>
      <c r="BH963" s="66"/>
      <c r="BI963" s="66"/>
      <c r="BJ963" s="66"/>
      <c r="BK963" s="66"/>
      <c r="BL963" s="66"/>
      <c r="BM963" s="66"/>
      <c r="BN963" s="66"/>
      <c r="BO963" s="66"/>
      <c r="BP963" s="66"/>
      <c r="BQ963" s="66"/>
      <c r="BR963" s="66"/>
      <c r="BS963" s="66"/>
      <c r="BT963" s="66"/>
      <c r="BU963" s="66"/>
      <c r="BV963" s="66"/>
      <c r="BW963" s="66"/>
    </row>
    <row r="964" spans="1:75" ht="15.75" customHeight="1">
      <c r="A964" s="65"/>
      <c r="B964" s="66"/>
      <c r="C964" s="66"/>
      <c r="D964" s="66"/>
      <c r="E964" s="66"/>
      <c r="F964" s="65"/>
      <c r="G964" s="65"/>
      <c r="H964" s="66"/>
      <c r="I964" s="66"/>
      <c r="J964" s="66"/>
      <c r="K964" s="66"/>
      <c r="L964" s="66"/>
      <c r="M964" s="66"/>
      <c r="N964" s="66"/>
      <c r="O964" s="66"/>
      <c r="P964" s="66"/>
      <c r="Q964" s="23"/>
      <c r="AB964" s="23"/>
      <c r="AC964" s="23"/>
      <c r="AD964" s="23"/>
      <c r="AE964" s="7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71"/>
      <c r="AV964" s="10"/>
      <c r="AW964" s="23"/>
      <c r="BB964" s="66"/>
      <c r="BC964" s="66"/>
      <c r="BD964" s="66"/>
      <c r="BE964" s="66"/>
      <c r="BF964" s="66"/>
      <c r="BG964" s="66"/>
      <c r="BH964" s="66"/>
      <c r="BI964" s="66"/>
      <c r="BJ964" s="66"/>
      <c r="BK964" s="66"/>
      <c r="BL964" s="66"/>
      <c r="BM964" s="66"/>
      <c r="BN964" s="66"/>
      <c r="BO964" s="66"/>
      <c r="BP964" s="66"/>
      <c r="BQ964" s="66"/>
      <c r="BR964" s="66"/>
      <c r="BS964" s="66"/>
      <c r="BT964" s="66"/>
      <c r="BU964" s="66"/>
      <c r="BV964" s="66"/>
      <c r="BW964" s="66"/>
    </row>
    <row r="965" spans="1:75" ht="15.75" customHeight="1">
      <c r="A965" s="65"/>
      <c r="B965" s="66"/>
      <c r="C965" s="66"/>
      <c r="D965" s="66"/>
      <c r="E965" s="66"/>
      <c r="F965" s="65"/>
      <c r="G965" s="65"/>
      <c r="H965" s="66"/>
      <c r="I965" s="66"/>
      <c r="J965" s="66"/>
      <c r="K965" s="66"/>
      <c r="L965" s="66"/>
      <c r="M965" s="66"/>
      <c r="N965" s="66"/>
      <c r="O965" s="66"/>
      <c r="P965" s="66"/>
      <c r="Q965" s="23"/>
      <c r="AB965" s="23"/>
      <c r="AC965" s="23"/>
      <c r="AD965" s="23"/>
      <c r="AE965" s="7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71"/>
      <c r="AV965" s="10"/>
      <c r="AW965" s="23"/>
      <c r="BB965" s="66"/>
      <c r="BC965" s="66"/>
      <c r="BD965" s="66"/>
      <c r="BE965" s="66"/>
      <c r="BF965" s="66"/>
      <c r="BG965" s="66"/>
      <c r="BH965" s="66"/>
      <c r="BI965" s="66"/>
      <c r="BJ965" s="66"/>
      <c r="BK965" s="66"/>
      <c r="BL965" s="66"/>
      <c r="BM965" s="66"/>
      <c r="BN965" s="66"/>
      <c r="BO965" s="66"/>
      <c r="BP965" s="66"/>
      <c r="BQ965" s="66"/>
      <c r="BR965" s="66"/>
      <c r="BS965" s="66"/>
      <c r="BT965" s="66"/>
      <c r="BU965" s="66"/>
      <c r="BV965" s="66"/>
      <c r="BW965" s="66"/>
    </row>
    <row r="966" spans="1:75" ht="15.75" customHeight="1">
      <c r="A966" s="65"/>
      <c r="B966" s="66"/>
      <c r="C966" s="66"/>
      <c r="D966" s="66"/>
      <c r="E966" s="66"/>
      <c r="F966" s="65"/>
      <c r="G966" s="65"/>
      <c r="H966" s="66"/>
      <c r="I966" s="66"/>
      <c r="J966" s="66"/>
      <c r="K966" s="66"/>
      <c r="L966" s="66"/>
      <c r="M966" s="66"/>
      <c r="N966" s="66"/>
      <c r="O966" s="66"/>
      <c r="P966" s="66"/>
      <c r="Q966" s="23"/>
      <c r="AB966" s="23"/>
      <c r="AC966" s="23"/>
      <c r="AD966" s="23"/>
      <c r="AE966" s="7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71"/>
      <c r="AV966" s="10"/>
      <c r="AW966" s="23"/>
      <c r="BB966" s="66"/>
      <c r="BC966" s="66"/>
      <c r="BD966" s="66"/>
      <c r="BE966" s="66"/>
      <c r="BF966" s="66"/>
      <c r="BG966" s="66"/>
      <c r="BH966" s="66"/>
      <c r="BI966" s="66"/>
      <c r="BJ966" s="66"/>
      <c r="BK966" s="66"/>
      <c r="BL966" s="66"/>
      <c r="BM966" s="66"/>
      <c r="BN966" s="66"/>
      <c r="BO966" s="66"/>
      <c r="BP966" s="66"/>
      <c r="BQ966" s="66"/>
      <c r="BR966" s="66"/>
      <c r="BS966" s="66"/>
      <c r="BT966" s="66"/>
      <c r="BU966" s="66"/>
      <c r="BV966" s="66"/>
      <c r="BW966" s="66"/>
    </row>
    <row r="967" spans="1:75" ht="15.75" customHeight="1">
      <c r="A967" s="65"/>
      <c r="B967" s="66"/>
      <c r="C967" s="66"/>
      <c r="D967" s="66"/>
      <c r="E967" s="66"/>
      <c r="F967" s="65"/>
      <c r="G967" s="65"/>
      <c r="H967" s="66"/>
      <c r="I967" s="66"/>
      <c r="J967" s="66"/>
      <c r="K967" s="66"/>
      <c r="L967" s="66"/>
      <c r="M967" s="66"/>
      <c r="N967" s="66"/>
      <c r="O967" s="66"/>
      <c r="P967" s="66"/>
      <c r="Q967" s="23"/>
      <c r="AB967" s="23"/>
      <c r="AC967" s="23"/>
      <c r="AD967" s="23"/>
      <c r="AE967" s="7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71"/>
      <c r="AV967" s="10"/>
      <c r="AW967" s="23"/>
      <c r="BB967" s="66"/>
      <c r="BC967" s="66"/>
      <c r="BD967" s="66"/>
      <c r="BE967" s="66"/>
      <c r="BF967" s="66"/>
      <c r="BG967" s="66"/>
      <c r="BH967" s="66"/>
      <c r="BI967" s="66"/>
      <c r="BJ967" s="66"/>
      <c r="BK967" s="66"/>
      <c r="BL967" s="66"/>
      <c r="BM967" s="66"/>
      <c r="BN967" s="66"/>
      <c r="BO967" s="66"/>
      <c r="BP967" s="66"/>
      <c r="BQ967" s="66"/>
      <c r="BR967" s="66"/>
      <c r="BS967" s="66"/>
      <c r="BT967" s="66"/>
      <c r="BU967" s="66"/>
      <c r="BV967" s="66"/>
      <c r="BW967" s="66"/>
    </row>
    <row r="968" spans="1:75" ht="15.75" customHeight="1">
      <c r="A968" s="65"/>
      <c r="B968" s="66"/>
      <c r="C968" s="66"/>
      <c r="D968" s="66"/>
      <c r="E968" s="66"/>
      <c r="F968" s="65"/>
      <c r="G968" s="65"/>
      <c r="H968" s="66"/>
      <c r="I968" s="66"/>
      <c r="J968" s="66"/>
      <c r="K968" s="66"/>
      <c r="L968" s="66"/>
      <c r="M968" s="66"/>
      <c r="N968" s="66"/>
      <c r="O968" s="66"/>
      <c r="P968" s="66"/>
      <c r="Q968" s="23"/>
      <c r="AB968" s="23"/>
      <c r="AC968" s="23"/>
      <c r="AD968" s="23"/>
      <c r="AE968" s="7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71"/>
      <c r="AV968" s="10"/>
      <c r="AW968" s="23"/>
      <c r="BB968" s="66"/>
      <c r="BC968" s="66"/>
      <c r="BD968" s="66"/>
      <c r="BE968" s="66"/>
      <c r="BF968" s="66"/>
      <c r="BG968" s="66"/>
      <c r="BH968" s="66"/>
      <c r="BI968" s="66"/>
      <c r="BJ968" s="66"/>
      <c r="BK968" s="66"/>
      <c r="BL968" s="66"/>
      <c r="BM968" s="66"/>
      <c r="BN968" s="66"/>
      <c r="BO968" s="66"/>
      <c r="BP968" s="66"/>
      <c r="BQ968" s="66"/>
      <c r="BR968" s="66"/>
      <c r="BS968" s="66"/>
      <c r="BT968" s="66"/>
      <c r="BU968" s="66"/>
      <c r="BV968" s="66"/>
      <c r="BW968" s="66"/>
    </row>
    <row r="969" spans="1:75" ht="15.75" customHeight="1">
      <c r="A969" s="65"/>
      <c r="B969" s="66"/>
      <c r="C969" s="66"/>
      <c r="D969" s="66"/>
      <c r="E969" s="66"/>
      <c r="F969" s="65"/>
      <c r="G969" s="65"/>
      <c r="H969" s="66"/>
      <c r="I969" s="66"/>
      <c r="J969" s="66"/>
      <c r="K969" s="66"/>
      <c r="L969" s="66"/>
      <c r="M969" s="66"/>
      <c r="N969" s="66"/>
      <c r="O969" s="66"/>
      <c r="P969" s="66"/>
      <c r="Q969" s="23"/>
      <c r="AB969" s="23"/>
      <c r="AC969" s="23"/>
      <c r="AD969" s="23"/>
      <c r="AE969" s="7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71"/>
      <c r="AV969" s="10"/>
      <c r="AW969" s="23"/>
      <c r="BB969" s="66"/>
      <c r="BC969" s="66"/>
      <c r="BD969" s="66"/>
      <c r="BE969" s="66"/>
      <c r="BF969" s="66"/>
      <c r="BG969" s="66"/>
      <c r="BH969" s="66"/>
      <c r="BI969" s="66"/>
      <c r="BJ969" s="66"/>
      <c r="BK969" s="66"/>
      <c r="BL969" s="66"/>
      <c r="BM969" s="66"/>
      <c r="BN969" s="66"/>
      <c r="BO969" s="66"/>
      <c r="BP969" s="66"/>
      <c r="BQ969" s="66"/>
      <c r="BR969" s="66"/>
      <c r="BS969" s="66"/>
      <c r="BT969" s="66"/>
      <c r="BU969" s="66"/>
      <c r="BV969" s="66"/>
      <c r="BW969" s="66"/>
    </row>
    <row r="970" spans="1:75" ht="15.75" customHeight="1">
      <c r="A970" s="65"/>
      <c r="B970" s="66"/>
      <c r="C970" s="66"/>
      <c r="D970" s="66"/>
      <c r="E970" s="66"/>
      <c r="F970" s="65"/>
      <c r="G970" s="65"/>
      <c r="H970" s="66"/>
      <c r="I970" s="66"/>
      <c r="J970" s="66"/>
      <c r="K970" s="66"/>
      <c r="L970" s="66"/>
      <c r="M970" s="66"/>
      <c r="N970" s="66"/>
      <c r="O970" s="66"/>
      <c r="P970" s="66"/>
      <c r="Q970" s="23"/>
      <c r="AB970" s="23"/>
      <c r="AC970" s="23"/>
      <c r="AD970" s="23"/>
      <c r="AE970" s="7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71"/>
      <c r="AV970" s="10"/>
      <c r="AW970" s="23"/>
      <c r="BB970" s="66"/>
      <c r="BC970" s="66"/>
      <c r="BD970" s="66"/>
      <c r="BE970" s="66"/>
      <c r="BF970" s="66"/>
      <c r="BG970" s="66"/>
      <c r="BH970" s="66"/>
      <c r="BI970" s="66"/>
      <c r="BJ970" s="66"/>
      <c r="BK970" s="66"/>
      <c r="BL970" s="66"/>
      <c r="BM970" s="66"/>
      <c r="BN970" s="66"/>
      <c r="BO970" s="66"/>
      <c r="BP970" s="66"/>
      <c r="BQ970" s="66"/>
      <c r="BR970" s="66"/>
      <c r="BS970" s="66"/>
      <c r="BT970" s="66"/>
      <c r="BU970" s="66"/>
      <c r="BV970" s="66"/>
      <c r="BW970" s="66"/>
    </row>
    <row r="971" spans="1:75" ht="15.75" customHeight="1">
      <c r="A971" s="65"/>
      <c r="B971" s="66"/>
      <c r="C971" s="66"/>
      <c r="D971" s="66"/>
      <c r="E971" s="66"/>
      <c r="F971" s="65"/>
      <c r="G971" s="65"/>
      <c r="H971" s="66"/>
      <c r="I971" s="66"/>
      <c r="J971" s="66"/>
      <c r="K971" s="66"/>
      <c r="L971" s="66"/>
      <c r="M971" s="66"/>
      <c r="N971" s="66"/>
      <c r="O971" s="66"/>
      <c r="P971" s="66"/>
      <c r="Q971" s="23"/>
      <c r="AB971" s="23"/>
      <c r="AC971" s="23"/>
      <c r="AD971" s="23"/>
      <c r="AE971" s="7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71"/>
      <c r="AV971" s="10"/>
      <c r="AW971" s="23"/>
      <c r="BB971" s="66"/>
      <c r="BC971" s="66"/>
      <c r="BD971" s="66"/>
      <c r="BE971" s="66"/>
      <c r="BF971" s="66"/>
      <c r="BG971" s="66"/>
      <c r="BH971" s="66"/>
      <c r="BI971" s="66"/>
      <c r="BJ971" s="66"/>
      <c r="BK971" s="66"/>
      <c r="BL971" s="66"/>
      <c r="BM971" s="66"/>
      <c r="BN971" s="66"/>
      <c r="BO971" s="66"/>
      <c r="BP971" s="66"/>
      <c r="BQ971" s="66"/>
      <c r="BR971" s="66"/>
      <c r="BS971" s="66"/>
      <c r="BT971" s="66"/>
      <c r="BU971" s="66"/>
      <c r="BV971" s="66"/>
      <c r="BW971" s="66"/>
    </row>
    <row r="972" spans="1:75" ht="15.75" customHeight="1">
      <c r="A972" s="65"/>
      <c r="B972" s="66"/>
      <c r="C972" s="66"/>
      <c r="D972" s="66"/>
      <c r="E972" s="66"/>
      <c r="F972" s="65"/>
      <c r="G972" s="65"/>
      <c r="H972" s="66"/>
      <c r="I972" s="66"/>
      <c r="J972" s="66"/>
      <c r="K972" s="66"/>
      <c r="L972" s="66"/>
      <c r="M972" s="66"/>
      <c r="N972" s="66"/>
      <c r="O972" s="66"/>
      <c r="P972" s="66"/>
      <c r="Q972" s="23"/>
      <c r="AB972" s="23"/>
      <c r="AC972" s="23"/>
      <c r="AD972" s="23"/>
      <c r="AE972" s="7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71"/>
      <c r="AV972" s="10"/>
      <c r="AW972" s="23"/>
      <c r="BB972" s="66"/>
      <c r="BC972" s="66"/>
      <c r="BD972" s="66"/>
      <c r="BE972" s="66"/>
      <c r="BF972" s="66"/>
      <c r="BG972" s="66"/>
      <c r="BH972" s="66"/>
      <c r="BI972" s="66"/>
      <c r="BJ972" s="66"/>
      <c r="BK972" s="66"/>
      <c r="BL972" s="66"/>
      <c r="BM972" s="66"/>
      <c r="BN972" s="66"/>
      <c r="BO972" s="66"/>
      <c r="BP972" s="66"/>
      <c r="BQ972" s="66"/>
      <c r="BR972" s="66"/>
      <c r="BS972" s="66"/>
      <c r="BT972" s="66"/>
      <c r="BU972" s="66"/>
      <c r="BV972" s="66"/>
      <c r="BW972" s="66"/>
    </row>
    <row r="973" spans="1:75" ht="15.75" customHeight="1">
      <c r="A973" s="65"/>
      <c r="B973" s="66"/>
      <c r="C973" s="66"/>
      <c r="D973" s="66"/>
      <c r="E973" s="66"/>
      <c r="F973" s="65"/>
      <c r="G973" s="65"/>
      <c r="H973" s="66"/>
      <c r="I973" s="66"/>
      <c r="J973" s="66"/>
      <c r="K973" s="66"/>
      <c r="L973" s="66"/>
      <c r="M973" s="66"/>
      <c r="N973" s="66"/>
      <c r="O973" s="66"/>
      <c r="P973" s="66"/>
      <c r="Q973" s="23"/>
      <c r="AB973" s="23"/>
      <c r="AC973" s="23"/>
      <c r="AD973" s="23"/>
      <c r="AE973" s="7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71"/>
      <c r="AV973" s="10"/>
      <c r="AW973" s="23"/>
      <c r="BB973" s="66"/>
      <c r="BC973" s="66"/>
      <c r="BD973" s="66"/>
      <c r="BE973" s="66"/>
      <c r="BF973" s="66"/>
      <c r="BG973" s="66"/>
      <c r="BH973" s="66"/>
      <c r="BI973" s="66"/>
      <c r="BJ973" s="66"/>
      <c r="BK973" s="66"/>
      <c r="BL973" s="66"/>
      <c r="BM973" s="66"/>
      <c r="BN973" s="66"/>
      <c r="BO973" s="66"/>
      <c r="BP973" s="66"/>
      <c r="BQ973" s="66"/>
      <c r="BR973" s="66"/>
      <c r="BS973" s="66"/>
      <c r="BT973" s="66"/>
      <c r="BU973" s="66"/>
      <c r="BV973" s="66"/>
      <c r="BW973" s="66"/>
    </row>
    <row r="974" spans="1:75" ht="15.75" customHeight="1">
      <c r="A974" s="65"/>
      <c r="B974" s="66"/>
      <c r="C974" s="66"/>
      <c r="D974" s="66"/>
      <c r="E974" s="66"/>
      <c r="F974" s="65"/>
      <c r="G974" s="65"/>
      <c r="H974" s="66"/>
      <c r="I974" s="66"/>
      <c r="J974" s="66"/>
      <c r="K974" s="66"/>
      <c r="L974" s="66"/>
      <c r="M974" s="66"/>
      <c r="N974" s="66"/>
      <c r="O974" s="66"/>
      <c r="P974" s="66"/>
      <c r="Q974" s="23"/>
      <c r="AB974" s="23"/>
      <c r="AC974" s="23"/>
      <c r="AD974" s="23"/>
      <c r="AE974" s="7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71"/>
      <c r="AV974" s="10"/>
      <c r="AW974" s="23"/>
      <c r="BB974" s="66"/>
      <c r="BC974" s="66"/>
      <c r="BD974" s="66"/>
      <c r="BE974" s="66"/>
      <c r="BF974" s="66"/>
      <c r="BG974" s="66"/>
      <c r="BH974" s="66"/>
      <c r="BI974" s="66"/>
      <c r="BJ974" s="66"/>
      <c r="BK974" s="66"/>
      <c r="BL974" s="66"/>
      <c r="BM974" s="66"/>
      <c r="BN974" s="66"/>
      <c r="BO974" s="66"/>
      <c r="BP974" s="66"/>
      <c r="BQ974" s="66"/>
      <c r="BR974" s="66"/>
      <c r="BS974" s="66"/>
      <c r="BT974" s="66"/>
      <c r="BU974" s="66"/>
      <c r="BV974" s="66"/>
      <c r="BW974" s="66"/>
    </row>
    <row r="975" spans="1:75" ht="15.75" customHeight="1">
      <c r="A975" s="65"/>
      <c r="B975" s="66"/>
      <c r="C975" s="66"/>
      <c r="D975" s="66"/>
      <c r="E975" s="66"/>
      <c r="F975" s="65"/>
      <c r="G975" s="65"/>
      <c r="H975" s="66"/>
      <c r="I975" s="66"/>
      <c r="J975" s="66"/>
      <c r="K975" s="66"/>
      <c r="L975" s="66"/>
      <c r="M975" s="66"/>
      <c r="N975" s="66"/>
      <c r="O975" s="66"/>
      <c r="P975" s="66"/>
      <c r="Q975" s="23"/>
      <c r="AB975" s="23"/>
      <c r="AC975" s="23"/>
      <c r="AD975" s="23"/>
      <c r="AE975" s="7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71"/>
      <c r="AV975" s="10"/>
      <c r="AW975" s="23"/>
      <c r="BB975" s="66"/>
      <c r="BC975" s="66"/>
      <c r="BD975" s="66"/>
      <c r="BE975" s="66"/>
      <c r="BF975" s="66"/>
      <c r="BG975" s="66"/>
      <c r="BH975" s="66"/>
      <c r="BI975" s="66"/>
      <c r="BJ975" s="66"/>
      <c r="BK975" s="66"/>
      <c r="BL975" s="66"/>
      <c r="BM975" s="66"/>
      <c r="BN975" s="66"/>
      <c r="BO975" s="66"/>
      <c r="BP975" s="66"/>
      <c r="BQ975" s="66"/>
      <c r="BR975" s="66"/>
      <c r="BS975" s="66"/>
      <c r="BT975" s="66"/>
      <c r="BU975" s="66"/>
      <c r="BV975" s="66"/>
      <c r="BW975" s="66"/>
    </row>
    <row r="976" spans="1:75" ht="15.75" customHeight="1">
      <c r="A976" s="65"/>
      <c r="B976" s="66"/>
      <c r="C976" s="66"/>
      <c r="D976" s="66"/>
      <c r="E976" s="66"/>
      <c r="F976" s="65"/>
      <c r="G976" s="65"/>
      <c r="H976" s="66"/>
      <c r="I976" s="66"/>
      <c r="J976" s="66"/>
      <c r="K976" s="66"/>
      <c r="L976" s="66"/>
      <c r="M976" s="66"/>
      <c r="N976" s="66"/>
      <c r="O976" s="66"/>
      <c r="P976" s="66"/>
      <c r="Q976" s="23"/>
      <c r="AB976" s="23"/>
      <c r="AC976" s="23"/>
      <c r="AD976" s="23"/>
      <c r="AE976" s="7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71"/>
      <c r="AV976" s="10"/>
      <c r="AW976" s="23"/>
      <c r="BB976" s="66"/>
      <c r="BC976" s="66"/>
      <c r="BD976" s="66"/>
      <c r="BE976" s="66"/>
      <c r="BF976" s="66"/>
      <c r="BG976" s="66"/>
      <c r="BH976" s="66"/>
      <c r="BI976" s="66"/>
      <c r="BJ976" s="66"/>
      <c r="BK976" s="66"/>
      <c r="BL976" s="66"/>
      <c r="BM976" s="66"/>
      <c r="BN976" s="66"/>
      <c r="BO976" s="66"/>
      <c r="BP976" s="66"/>
      <c r="BQ976" s="66"/>
      <c r="BR976" s="66"/>
      <c r="BS976" s="66"/>
      <c r="BT976" s="66"/>
      <c r="BU976" s="66"/>
      <c r="BV976" s="66"/>
      <c r="BW976" s="66"/>
    </row>
    <row r="977" spans="1:75" ht="15.75" customHeight="1">
      <c r="A977" s="65"/>
      <c r="B977" s="66"/>
      <c r="C977" s="66"/>
      <c r="D977" s="66"/>
      <c r="E977" s="66"/>
      <c r="F977" s="65"/>
      <c r="G977" s="65"/>
      <c r="H977" s="66"/>
      <c r="I977" s="66"/>
      <c r="J977" s="66"/>
      <c r="K977" s="66"/>
      <c r="L977" s="66"/>
      <c r="M977" s="66"/>
      <c r="N977" s="66"/>
      <c r="O977" s="66"/>
      <c r="P977" s="66"/>
      <c r="Q977" s="23"/>
      <c r="AB977" s="23"/>
      <c r="AC977" s="23"/>
      <c r="AD977" s="23"/>
      <c r="AE977" s="7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71"/>
      <c r="AV977" s="10"/>
      <c r="AW977" s="23"/>
      <c r="BB977" s="66"/>
      <c r="BC977" s="66"/>
      <c r="BD977" s="66"/>
      <c r="BE977" s="66"/>
      <c r="BF977" s="66"/>
      <c r="BG977" s="66"/>
      <c r="BH977" s="66"/>
      <c r="BI977" s="66"/>
      <c r="BJ977" s="66"/>
      <c r="BK977" s="66"/>
      <c r="BL977" s="66"/>
      <c r="BM977" s="66"/>
      <c r="BN977" s="66"/>
      <c r="BO977" s="66"/>
      <c r="BP977" s="66"/>
      <c r="BQ977" s="66"/>
      <c r="BR977" s="66"/>
      <c r="BS977" s="66"/>
      <c r="BT977" s="66"/>
      <c r="BU977" s="66"/>
      <c r="BV977" s="66"/>
      <c r="BW977" s="66"/>
    </row>
    <row r="978" spans="1:75" ht="15.75" customHeight="1">
      <c r="A978" s="65"/>
      <c r="B978" s="66"/>
      <c r="C978" s="66"/>
      <c r="D978" s="66"/>
      <c r="E978" s="66"/>
      <c r="F978" s="65"/>
      <c r="G978" s="65"/>
      <c r="H978" s="66"/>
      <c r="I978" s="66"/>
      <c r="J978" s="66"/>
      <c r="K978" s="66"/>
      <c r="L978" s="66"/>
      <c r="M978" s="66"/>
      <c r="N978" s="66"/>
      <c r="O978" s="66"/>
      <c r="P978" s="66"/>
      <c r="Q978" s="23"/>
      <c r="AB978" s="23"/>
      <c r="AC978" s="23"/>
      <c r="AD978" s="23"/>
      <c r="AE978" s="7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71"/>
      <c r="AV978" s="10"/>
      <c r="AW978" s="23"/>
      <c r="BB978" s="66"/>
      <c r="BC978" s="66"/>
      <c r="BD978" s="66"/>
      <c r="BE978" s="66"/>
      <c r="BF978" s="66"/>
      <c r="BG978" s="66"/>
      <c r="BH978" s="66"/>
      <c r="BI978" s="66"/>
      <c r="BJ978" s="66"/>
      <c r="BK978" s="66"/>
      <c r="BL978" s="66"/>
      <c r="BM978" s="66"/>
      <c r="BN978" s="66"/>
      <c r="BO978" s="66"/>
      <c r="BP978" s="66"/>
      <c r="BQ978" s="66"/>
      <c r="BR978" s="66"/>
      <c r="BS978" s="66"/>
      <c r="BT978" s="66"/>
      <c r="BU978" s="66"/>
      <c r="BV978" s="66"/>
      <c r="BW978" s="66"/>
    </row>
    <row r="979" spans="1:75" ht="15.75" customHeight="1">
      <c r="A979" s="65"/>
      <c r="B979" s="66"/>
      <c r="C979" s="66"/>
      <c r="D979" s="66"/>
      <c r="E979" s="66"/>
      <c r="F979" s="65"/>
      <c r="G979" s="65"/>
      <c r="H979" s="66"/>
      <c r="I979" s="66"/>
      <c r="J979" s="66"/>
      <c r="K979" s="66"/>
      <c r="L979" s="66"/>
      <c r="M979" s="66"/>
      <c r="N979" s="66"/>
      <c r="O979" s="66"/>
      <c r="P979" s="66"/>
      <c r="Q979" s="23"/>
      <c r="AB979" s="23"/>
      <c r="AC979" s="23"/>
      <c r="AD979" s="23"/>
      <c r="AE979" s="7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71"/>
      <c r="AV979" s="10"/>
      <c r="AW979" s="23"/>
      <c r="BB979" s="66"/>
      <c r="BC979" s="66"/>
      <c r="BD979" s="66"/>
      <c r="BE979" s="66"/>
      <c r="BF979" s="66"/>
      <c r="BG979" s="66"/>
      <c r="BH979" s="66"/>
      <c r="BI979" s="66"/>
      <c r="BJ979" s="66"/>
      <c r="BK979" s="66"/>
      <c r="BL979" s="66"/>
      <c r="BM979" s="66"/>
      <c r="BN979" s="66"/>
      <c r="BO979" s="66"/>
      <c r="BP979" s="66"/>
      <c r="BQ979" s="66"/>
      <c r="BR979" s="66"/>
      <c r="BS979" s="66"/>
      <c r="BT979" s="66"/>
      <c r="BU979" s="66"/>
      <c r="BV979" s="66"/>
      <c r="BW979" s="66"/>
    </row>
    <row r="980" spans="1:75" ht="15.75" customHeight="1">
      <c r="A980" s="65"/>
      <c r="B980" s="66"/>
      <c r="C980" s="66"/>
      <c r="D980" s="66"/>
      <c r="E980" s="66"/>
      <c r="F980" s="65"/>
      <c r="G980" s="65"/>
      <c r="H980" s="66"/>
      <c r="I980" s="66"/>
      <c r="J980" s="66"/>
      <c r="K980" s="66"/>
      <c r="L980" s="66"/>
      <c r="M980" s="66"/>
      <c r="N980" s="66"/>
      <c r="O980" s="66"/>
      <c r="P980" s="66"/>
      <c r="Q980" s="23"/>
      <c r="AB980" s="23"/>
      <c r="AC980" s="23"/>
      <c r="AD980" s="23"/>
      <c r="AE980" s="7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71"/>
      <c r="AV980" s="10"/>
      <c r="AW980" s="23"/>
      <c r="BB980" s="66"/>
      <c r="BC980" s="66"/>
      <c r="BD980" s="66"/>
      <c r="BE980" s="66"/>
      <c r="BF980" s="66"/>
      <c r="BG980" s="66"/>
      <c r="BH980" s="66"/>
      <c r="BI980" s="66"/>
      <c r="BJ980" s="66"/>
      <c r="BK980" s="66"/>
      <c r="BL980" s="66"/>
      <c r="BM980" s="66"/>
      <c r="BN980" s="66"/>
      <c r="BO980" s="66"/>
      <c r="BP980" s="66"/>
      <c r="BQ980" s="66"/>
      <c r="BR980" s="66"/>
      <c r="BS980" s="66"/>
      <c r="BT980" s="66"/>
      <c r="BU980" s="66"/>
      <c r="BV980" s="66"/>
      <c r="BW980" s="66"/>
    </row>
    <row r="981" spans="1:75" ht="15.75" customHeight="1">
      <c r="A981" s="65"/>
      <c r="B981" s="66"/>
      <c r="C981" s="66"/>
      <c r="D981" s="66"/>
      <c r="E981" s="66"/>
      <c r="F981" s="65"/>
      <c r="G981" s="65"/>
      <c r="H981" s="66"/>
      <c r="I981" s="66"/>
      <c r="J981" s="66"/>
      <c r="K981" s="66"/>
      <c r="L981" s="66"/>
      <c r="M981" s="66"/>
      <c r="N981" s="66"/>
      <c r="O981" s="66"/>
      <c r="P981" s="66"/>
      <c r="Q981" s="23"/>
      <c r="AB981" s="23"/>
      <c r="AC981" s="23"/>
      <c r="AD981" s="23"/>
      <c r="AE981" s="7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71"/>
      <c r="AV981" s="10"/>
      <c r="AW981" s="23"/>
      <c r="BB981" s="66"/>
      <c r="BC981" s="66"/>
      <c r="BD981" s="66"/>
      <c r="BE981" s="66"/>
      <c r="BF981" s="66"/>
      <c r="BG981" s="66"/>
      <c r="BH981" s="66"/>
      <c r="BI981" s="66"/>
      <c r="BJ981" s="66"/>
      <c r="BK981" s="66"/>
      <c r="BL981" s="66"/>
      <c r="BM981" s="66"/>
      <c r="BN981" s="66"/>
      <c r="BO981" s="66"/>
      <c r="BP981" s="66"/>
      <c r="BQ981" s="66"/>
      <c r="BR981" s="66"/>
      <c r="BS981" s="66"/>
      <c r="BT981" s="66"/>
      <c r="BU981" s="66"/>
      <c r="BV981" s="66"/>
      <c r="BW981" s="66"/>
    </row>
    <row r="982" spans="1:75" ht="15.75" customHeight="1">
      <c r="A982" s="65"/>
      <c r="B982" s="66"/>
      <c r="C982" s="66"/>
      <c r="D982" s="66"/>
      <c r="E982" s="66"/>
      <c r="F982" s="65"/>
      <c r="G982" s="65"/>
      <c r="H982" s="66"/>
      <c r="I982" s="66"/>
      <c r="J982" s="66"/>
      <c r="K982" s="66"/>
      <c r="L982" s="66"/>
      <c r="M982" s="66"/>
      <c r="N982" s="66"/>
      <c r="O982" s="66"/>
      <c r="P982" s="66"/>
      <c r="Q982" s="23"/>
      <c r="AB982" s="23"/>
      <c r="AC982" s="23"/>
      <c r="AD982" s="23"/>
      <c r="AE982" s="7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71"/>
      <c r="AV982" s="10"/>
      <c r="AW982" s="23"/>
      <c r="BB982" s="66"/>
      <c r="BC982" s="66"/>
      <c r="BD982" s="66"/>
      <c r="BE982" s="66"/>
      <c r="BF982" s="66"/>
      <c r="BG982" s="66"/>
      <c r="BH982" s="66"/>
      <c r="BI982" s="66"/>
      <c r="BJ982" s="66"/>
      <c r="BK982" s="66"/>
      <c r="BL982" s="66"/>
      <c r="BM982" s="66"/>
      <c r="BN982" s="66"/>
      <c r="BO982" s="66"/>
      <c r="BP982" s="66"/>
      <c r="BQ982" s="66"/>
      <c r="BR982" s="66"/>
      <c r="BS982" s="66"/>
      <c r="BT982" s="66"/>
      <c r="BU982" s="66"/>
      <c r="BV982" s="66"/>
      <c r="BW982" s="66"/>
    </row>
    <row r="983" spans="1:75" ht="15.75" customHeight="1">
      <c r="A983" s="65"/>
      <c r="B983" s="66"/>
      <c r="C983" s="66"/>
      <c r="D983" s="66"/>
      <c r="E983" s="66"/>
      <c r="F983" s="65"/>
      <c r="G983" s="65"/>
      <c r="H983" s="66"/>
      <c r="I983" s="66"/>
      <c r="J983" s="66"/>
      <c r="K983" s="66"/>
      <c r="L983" s="66"/>
      <c r="M983" s="66"/>
      <c r="N983" s="66"/>
      <c r="O983" s="66"/>
      <c r="P983" s="66"/>
      <c r="Q983" s="23"/>
      <c r="AB983" s="23"/>
      <c r="AC983" s="23"/>
      <c r="AD983" s="23"/>
      <c r="AE983" s="7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71"/>
      <c r="AV983" s="10"/>
      <c r="AW983" s="23"/>
      <c r="BB983" s="66"/>
      <c r="BC983" s="66"/>
      <c r="BD983" s="66"/>
      <c r="BE983" s="66"/>
      <c r="BF983" s="66"/>
      <c r="BG983" s="66"/>
      <c r="BH983" s="66"/>
      <c r="BI983" s="66"/>
      <c r="BJ983" s="66"/>
      <c r="BK983" s="66"/>
      <c r="BL983" s="66"/>
      <c r="BM983" s="66"/>
      <c r="BN983" s="66"/>
      <c r="BO983" s="66"/>
      <c r="BP983" s="66"/>
      <c r="BQ983" s="66"/>
      <c r="BR983" s="66"/>
      <c r="BS983" s="66"/>
      <c r="BT983" s="66"/>
      <c r="BU983" s="66"/>
      <c r="BV983" s="66"/>
      <c r="BW983" s="66"/>
    </row>
    <row r="984" spans="1:75" ht="15.75" customHeight="1">
      <c r="A984" s="65"/>
      <c r="B984" s="66"/>
      <c r="C984" s="66"/>
      <c r="D984" s="66"/>
      <c r="E984" s="66"/>
      <c r="F984" s="65"/>
      <c r="G984" s="65"/>
      <c r="H984" s="66"/>
      <c r="I984" s="66"/>
      <c r="J984" s="66"/>
      <c r="K984" s="66"/>
      <c r="L984" s="66"/>
      <c r="M984" s="66"/>
      <c r="N984" s="66"/>
      <c r="O984" s="66"/>
      <c r="P984" s="66"/>
      <c r="Q984" s="23"/>
      <c r="AB984" s="23"/>
      <c r="AC984" s="23"/>
      <c r="AD984" s="23"/>
      <c r="AE984" s="7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71"/>
      <c r="AV984" s="10"/>
      <c r="AW984" s="23"/>
      <c r="BB984" s="66"/>
      <c r="BC984" s="66"/>
      <c r="BD984" s="66"/>
      <c r="BE984" s="66"/>
      <c r="BF984" s="66"/>
      <c r="BG984" s="66"/>
      <c r="BH984" s="66"/>
      <c r="BI984" s="66"/>
      <c r="BJ984" s="66"/>
      <c r="BK984" s="66"/>
      <c r="BL984" s="66"/>
      <c r="BM984" s="66"/>
      <c r="BN984" s="66"/>
      <c r="BO984" s="66"/>
      <c r="BP984" s="66"/>
      <c r="BQ984" s="66"/>
      <c r="BR984" s="66"/>
      <c r="BS984" s="66"/>
      <c r="BT984" s="66"/>
      <c r="BU984" s="66"/>
      <c r="BV984" s="66"/>
      <c r="BW984" s="66"/>
    </row>
    <row r="985" spans="1:75" ht="15.75" customHeight="1">
      <c r="A985" s="65"/>
      <c r="B985" s="66"/>
      <c r="C985" s="66"/>
      <c r="D985" s="66"/>
      <c r="E985" s="66"/>
      <c r="F985" s="65"/>
      <c r="G985" s="65"/>
      <c r="H985" s="66"/>
      <c r="I985" s="66"/>
      <c r="J985" s="66"/>
      <c r="K985" s="66"/>
      <c r="L985" s="66"/>
      <c r="M985" s="66"/>
      <c r="N985" s="66"/>
      <c r="O985" s="66"/>
      <c r="P985" s="66"/>
      <c r="Q985" s="23"/>
      <c r="AB985" s="23"/>
      <c r="AC985" s="23"/>
      <c r="AD985" s="23"/>
      <c r="AE985" s="7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71"/>
      <c r="AV985" s="10"/>
      <c r="AW985" s="23"/>
      <c r="BB985" s="66"/>
      <c r="BC985" s="66"/>
      <c r="BD985" s="66"/>
      <c r="BE985" s="66"/>
      <c r="BF985" s="66"/>
      <c r="BG985" s="66"/>
      <c r="BH985" s="66"/>
      <c r="BI985" s="66"/>
      <c r="BJ985" s="66"/>
      <c r="BK985" s="66"/>
      <c r="BL985" s="66"/>
      <c r="BM985" s="66"/>
      <c r="BN985" s="66"/>
      <c r="BO985" s="66"/>
      <c r="BP985" s="66"/>
      <c r="BQ985" s="66"/>
      <c r="BR985" s="66"/>
      <c r="BS985" s="66"/>
      <c r="BT985" s="66"/>
      <c r="BU985" s="66"/>
      <c r="BV985" s="66"/>
      <c r="BW985" s="66"/>
    </row>
    <row r="986" spans="1:75" ht="15.75" customHeight="1">
      <c r="A986" s="65"/>
      <c r="B986" s="66"/>
      <c r="C986" s="66"/>
      <c r="D986" s="66"/>
      <c r="E986" s="66"/>
      <c r="F986" s="65"/>
      <c r="G986" s="65"/>
      <c r="H986" s="66"/>
      <c r="I986" s="66"/>
      <c r="J986" s="66"/>
      <c r="K986" s="66"/>
      <c r="L986" s="66"/>
      <c r="M986" s="66"/>
      <c r="N986" s="66"/>
      <c r="O986" s="66"/>
      <c r="P986" s="66"/>
      <c r="Q986" s="23"/>
      <c r="AB986" s="23"/>
      <c r="AC986" s="23"/>
      <c r="AD986" s="23"/>
      <c r="AE986" s="7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71"/>
      <c r="AV986" s="10"/>
      <c r="AW986" s="23"/>
      <c r="BB986" s="66"/>
      <c r="BC986" s="66"/>
      <c r="BD986" s="66"/>
      <c r="BE986" s="66"/>
      <c r="BF986" s="66"/>
      <c r="BG986" s="66"/>
      <c r="BH986" s="66"/>
      <c r="BI986" s="66"/>
      <c r="BJ986" s="66"/>
      <c r="BK986" s="66"/>
      <c r="BL986" s="66"/>
      <c r="BM986" s="66"/>
      <c r="BN986" s="66"/>
      <c r="BO986" s="66"/>
      <c r="BP986" s="66"/>
      <c r="BQ986" s="66"/>
      <c r="BR986" s="66"/>
      <c r="BS986" s="66"/>
      <c r="BT986" s="66"/>
      <c r="BU986" s="66"/>
      <c r="BV986" s="66"/>
      <c r="BW986" s="66"/>
    </row>
    <row r="987" spans="1:75" ht="15.75" customHeight="1">
      <c r="A987" s="65"/>
      <c r="B987" s="66"/>
      <c r="C987" s="66"/>
      <c r="D987" s="66"/>
      <c r="E987" s="66"/>
      <c r="F987" s="65"/>
      <c r="G987" s="65"/>
      <c r="H987" s="66"/>
      <c r="I987" s="66"/>
      <c r="J987" s="66"/>
      <c r="K987" s="66"/>
      <c r="L987" s="66"/>
      <c r="M987" s="66"/>
      <c r="N987" s="66"/>
      <c r="O987" s="66"/>
      <c r="P987" s="66"/>
      <c r="Q987" s="23"/>
      <c r="AB987" s="23"/>
      <c r="AC987" s="23"/>
      <c r="AD987" s="23"/>
      <c r="AE987" s="7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71"/>
      <c r="AV987" s="10"/>
      <c r="AW987" s="23"/>
      <c r="BB987" s="66"/>
      <c r="BC987" s="66"/>
      <c r="BD987" s="66"/>
      <c r="BE987" s="66"/>
      <c r="BF987" s="66"/>
      <c r="BG987" s="66"/>
      <c r="BH987" s="66"/>
      <c r="BI987" s="66"/>
      <c r="BJ987" s="66"/>
      <c r="BK987" s="66"/>
      <c r="BL987" s="66"/>
      <c r="BM987" s="66"/>
      <c r="BN987" s="66"/>
      <c r="BO987" s="66"/>
      <c r="BP987" s="66"/>
      <c r="BQ987" s="66"/>
      <c r="BR987" s="66"/>
      <c r="BS987" s="66"/>
      <c r="BT987" s="66"/>
      <c r="BU987" s="66"/>
      <c r="BV987" s="66"/>
      <c r="BW987" s="66"/>
    </row>
    <row r="988" spans="1:75" ht="15.75" customHeight="1">
      <c r="A988" s="65"/>
      <c r="B988" s="66"/>
      <c r="C988" s="66"/>
      <c r="D988" s="66"/>
      <c r="E988" s="66"/>
      <c r="F988" s="65"/>
      <c r="G988" s="65"/>
      <c r="H988" s="66"/>
      <c r="I988" s="66"/>
      <c r="J988" s="66"/>
      <c r="K988" s="66"/>
      <c r="L988" s="66"/>
      <c r="M988" s="66"/>
      <c r="N988" s="66"/>
      <c r="O988" s="66"/>
      <c r="P988" s="66"/>
      <c r="Q988" s="23"/>
      <c r="AB988" s="23"/>
      <c r="AC988" s="23"/>
      <c r="AD988" s="23"/>
      <c r="AE988" s="7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71"/>
      <c r="AV988" s="10"/>
      <c r="AW988" s="23"/>
      <c r="BB988" s="66"/>
      <c r="BC988" s="66"/>
      <c r="BD988" s="66"/>
      <c r="BE988" s="66"/>
      <c r="BF988" s="66"/>
      <c r="BG988" s="66"/>
      <c r="BH988" s="66"/>
      <c r="BI988" s="66"/>
      <c r="BJ988" s="66"/>
      <c r="BK988" s="66"/>
      <c r="BL988" s="66"/>
      <c r="BM988" s="66"/>
      <c r="BN988" s="66"/>
      <c r="BO988" s="66"/>
      <c r="BP988" s="66"/>
      <c r="BQ988" s="66"/>
      <c r="BR988" s="66"/>
      <c r="BS988" s="66"/>
      <c r="BT988" s="66"/>
      <c r="BU988" s="66"/>
      <c r="BV988" s="66"/>
      <c r="BW988" s="66"/>
    </row>
    <row r="989" spans="1:75" ht="15.75" customHeight="1">
      <c r="A989" s="65"/>
      <c r="B989" s="66"/>
      <c r="C989" s="66"/>
      <c r="D989" s="66"/>
      <c r="E989" s="66"/>
      <c r="F989" s="65"/>
      <c r="G989" s="65"/>
      <c r="H989" s="66"/>
      <c r="I989" s="66"/>
      <c r="J989" s="66"/>
      <c r="K989" s="66"/>
      <c r="L989" s="66"/>
      <c r="M989" s="66"/>
      <c r="N989" s="66"/>
      <c r="O989" s="66"/>
      <c r="P989" s="66"/>
      <c r="Q989" s="23"/>
      <c r="AB989" s="23"/>
      <c r="AC989" s="23"/>
      <c r="AD989" s="23"/>
      <c r="AE989" s="7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71"/>
      <c r="AV989" s="10"/>
      <c r="AW989" s="23"/>
      <c r="BB989" s="66"/>
      <c r="BC989" s="66"/>
      <c r="BD989" s="66"/>
      <c r="BE989" s="66"/>
      <c r="BF989" s="66"/>
      <c r="BG989" s="66"/>
      <c r="BH989" s="66"/>
      <c r="BI989" s="66"/>
      <c r="BJ989" s="66"/>
      <c r="BK989" s="66"/>
      <c r="BL989" s="66"/>
      <c r="BM989" s="66"/>
      <c r="BN989" s="66"/>
      <c r="BO989" s="66"/>
      <c r="BP989" s="66"/>
      <c r="BQ989" s="66"/>
      <c r="BR989" s="66"/>
      <c r="BS989" s="66"/>
      <c r="BT989" s="66"/>
      <c r="BU989" s="66"/>
      <c r="BV989" s="66"/>
      <c r="BW989" s="66"/>
    </row>
    <row r="990" spans="1:75" ht="15.75" customHeight="1">
      <c r="A990" s="65"/>
      <c r="B990" s="66"/>
      <c r="C990" s="66"/>
      <c r="D990" s="66"/>
      <c r="E990" s="66"/>
      <c r="F990" s="65"/>
      <c r="G990" s="65"/>
      <c r="H990" s="66"/>
      <c r="I990" s="66"/>
      <c r="J990" s="66"/>
      <c r="K990" s="66"/>
      <c r="L990" s="66"/>
      <c r="M990" s="66"/>
      <c r="N990" s="66"/>
      <c r="O990" s="66"/>
      <c r="P990" s="66"/>
      <c r="Q990" s="23"/>
      <c r="AB990" s="23"/>
      <c r="AC990" s="23"/>
      <c r="AD990" s="23"/>
      <c r="AE990" s="7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71"/>
      <c r="AV990" s="10"/>
      <c r="AW990" s="23"/>
      <c r="BB990" s="66"/>
      <c r="BC990" s="66"/>
      <c r="BD990" s="66"/>
      <c r="BE990" s="66"/>
      <c r="BF990" s="66"/>
      <c r="BG990" s="66"/>
      <c r="BH990" s="66"/>
      <c r="BI990" s="66"/>
      <c r="BJ990" s="66"/>
      <c r="BK990" s="66"/>
      <c r="BL990" s="66"/>
      <c r="BM990" s="66"/>
      <c r="BN990" s="66"/>
      <c r="BO990" s="66"/>
      <c r="BP990" s="66"/>
      <c r="BQ990" s="66"/>
      <c r="BR990" s="66"/>
      <c r="BS990" s="66"/>
      <c r="BT990" s="66"/>
      <c r="BU990" s="66"/>
      <c r="BV990" s="66"/>
      <c r="BW990" s="66"/>
    </row>
    <row r="991" spans="1:75" ht="15.75" customHeight="1">
      <c r="A991" s="65"/>
      <c r="B991" s="66"/>
      <c r="C991" s="66"/>
      <c r="D991" s="66"/>
      <c r="E991" s="66"/>
      <c r="F991" s="65"/>
      <c r="G991" s="65"/>
      <c r="H991" s="66"/>
      <c r="I991" s="66"/>
      <c r="J991" s="66"/>
      <c r="K991" s="66"/>
      <c r="L991" s="66"/>
      <c r="M991" s="66"/>
      <c r="N991" s="66"/>
      <c r="O991" s="66"/>
      <c r="P991" s="66"/>
      <c r="Q991" s="23"/>
      <c r="AB991" s="23"/>
      <c r="AC991" s="23"/>
      <c r="AD991" s="23"/>
      <c r="AE991" s="7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71"/>
      <c r="AV991" s="10"/>
      <c r="AW991" s="23"/>
      <c r="BB991" s="66"/>
      <c r="BC991" s="66"/>
      <c r="BD991" s="66"/>
      <c r="BE991" s="66"/>
      <c r="BF991" s="66"/>
      <c r="BG991" s="66"/>
      <c r="BH991" s="66"/>
      <c r="BI991" s="66"/>
      <c r="BJ991" s="66"/>
      <c r="BK991" s="66"/>
      <c r="BL991" s="66"/>
      <c r="BM991" s="66"/>
      <c r="BN991" s="66"/>
      <c r="BO991" s="66"/>
      <c r="BP991" s="66"/>
      <c r="BQ991" s="66"/>
      <c r="BR991" s="66"/>
      <c r="BS991" s="66"/>
      <c r="BT991" s="66"/>
      <c r="BU991" s="66"/>
      <c r="BV991" s="66"/>
      <c r="BW991" s="66"/>
    </row>
    <row r="992" spans="1:75" ht="15.75" customHeight="1">
      <c r="A992" s="65"/>
      <c r="B992" s="66"/>
      <c r="C992" s="66"/>
      <c r="D992" s="66"/>
      <c r="E992" s="66"/>
      <c r="F992" s="65"/>
      <c r="G992" s="65"/>
      <c r="H992" s="66"/>
      <c r="I992" s="66"/>
      <c r="J992" s="66"/>
      <c r="K992" s="66"/>
      <c r="L992" s="66"/>
      <c r="M992" s="66"/>
      <c r="N992" s="66"/>
      <c r="O992" s="66"/>
      <c r="P992" s="66"/>
      <c r="Q992" s="23"/>
      <c r="AB992" s="23"/>
      <c r="AC992" s="23"/>
      <c r="AD992" s="23"/>
      <c r="AE992" s="7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71"/>
      <c r="AV992" s="10"/>
      <c r="AW992" s="23"/>
      <c r="BB992" s="66"/>
      <c r="BC992" s="66"/>
      <c r="BD992" s="66"/>
      <c r="BE992" s="66"/>
      <c r="BF992" s="66"/>
      <c r="BG992" s="66"/>
      <c r="BH992" s="66"/>
      <c r="BI992" s="66"/>
      <c r="BJ992" s="66"/>
      <c r="BK992" s="66"/>
      <c r="BL992" s="66"/>
      <c r="BM992" s="66"/>
      <c r="BN992" s="66"/>
      <c r="BO992" s="66"/>
      <c r="BP992" s="66"/>
      <c r="BQ992" s="66"/>
      <c r="BR992" s="66"/>
      <c r="BS992" s="66"/>
      <c r="BT992" s="66"/>
      <c r="BU992" s="66"/>
      <c r="BV992" s="66"/>
      <c r="BW992" s="66"/>
    </row>
    <row r="993" spans="1:75" ht="15.75" customHeight="1">
      <c r="A993" s="65"/>
      <c r="B993" s="66"/>
      <c r="C993" s="66"/>
      <c r="D993" s="66"/>
      <c r="E993" s="66"/>
      <c r="F993" s="65"/>
      <c r="G993" s="65"/>
      <c r="H993" s="66"/>
      <c r="I993" s="66"/>
      <c r="J993" s="66"/>
      <c r="K993" s="66"/>
      <c r="L993" s="66"/>
      <c r="M993" s="66"/>
      <c r="N993" s="66"/>
      <c r="O993" s="66"/>
      <c r="P993" s="66"/>
      <c r="Q993" s="23"/>
      <c r="AB993" s="23"/>
      <c r="AC993" s="23"/>
      <c r="AD993" s="23"/>
      <c r="AE993" s="7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71"/>
      <c r="AV993" s="10"/>
      <c r="AW993" s="23"/>
      <c r="BB993" s="66"/>
      <c r="BC993" s="66"/>
      <c r="BD993" s="66"/>
      <c r="BE993" s="66"/>
      <c r="BF993" s="66"/>
      <c r="BG993" s="66"/>
      <c r="BH993" s="66"/>
      <c r="BI993" s="66"/>
      <c r="BJ993" s="66"/>
      <c r="BK993" s="66"/>
      <c r="BL993" s="66"/>
      <c r="BM993" s="66"/>
      <c r="BN993" s="66"/>
      <c r="BO993" s="66"/>
      <c r="BP993" s="66"/>
      <c r="BQ993" s="66"/>
      <c r="BR993" s="66"/>
      <c r="BS993" s="66"/>
      <c r="BT993" s="66"/>
      <c r="BU993" s="66"/>
      <c r="BV993" s="66"/>
      <c r="BW993" s="66"/>
    </row>
    <row r="994" spans="1:75" ht="15.75" customHeight="1">
      <c r="A994" s="65"/>
      <c r="B994" s="66"/>
      <c r="C994" s="66"/>
      <c r="D994" s="66"/>
      <c r="E994" s="66"/>
      <c r="F994" s="65"/>
      <c r="G994" s="65"/>
      <c r="H994" s="66"/>
      <c r="I994" s="66"/>
      <c r="J994" s="66"/>
      <c r="K994" s="66"/>
      <c r="L994" s="66"/>
      <c r="M994" s="66"/>
      <c r="N994" s="66"/>
      <c r="O994" s="66"/>
      <c r="P994" s="66"/>
      <c r="Q994" s="23"/>
      <c r="AB994" s="23"/>
      <c r="AC994" s="23"/>
      <c r="AD994" s="23"/>
      <c r="AE994" s="7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71"/>
      <c r="AV994" s="10"/>
      <c r="AW994" s="23"/>
      <c r="BB994" s="66"/>
      <c r="BC994" s="66"/>
      <c r="BD994" s="66"/>
      <c r="BE994" s="66"/>
      <c r="BF994" s="66"/>
      <c r="BG994" s="66"/>
      <c r="BH994" s="66"/>
      <c r="BI994" s="66"/>
      <c r="BJ994" s="66"/>
      <c r="BK994" s="66"/>
      <c r="BL994" s="66"/>
      <c r="BM994" s="66"/>
      <c r="BN994" s="66"/>
      <c r="BO994" s="66"/>
      <c r="BP994" s="66"/>
      <c r="BQ994" s="66"/>
      <c r="BR994" s="66"/>
      <c r="BS994" s="66"/>
      <c r="BT994" s="66"/>
      <c r="BU994" s="66"/>
      <c r="BV994" s="66"/>
      <c r="BW994" s="66"/>
    </row>
    <row r="995" spans="1:75" ht="15.75" customHeight="1">
      <c r="A995" s="65"/>
      <c r="B995" s="66"/>
      <c r="C995" s="66"/>
      <c r="D995" s="66"/>
      <c r="E995" s="66"/>
      <c r="F995" s="65"/>
      <c r="G995" s="65"/>
      <c r="H995" s="66"/>
      <c r="I995" s="66"/>
      <c r="J995" s="66"/>
      <c r="K995" s="66"/>
      <c r="L995" s="66"/>
      <c r="M995" s="66"/>
      <c r="N995" s="66"/>
      <c r="O995" s="66"/>
      <c r="P995" s="66"/>
      <c r="Q995" s="23"/>
      <c r="AB995" s="23"/>
      <c r="AC995" s="23"/>
      <c r="AD995" s="23"/>
      <c r="AE995" s="7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71"/>
      <c r="AV995" s="10"/>
      <c r="AW995" s="23"/>
      <c r="BB995" s="66"/>
      <c r="BC995" s="66"/>
      <c r="BD995" s="66"/>
      <c r="BE995" s="66"/>
      <c r="BF995" s="66"/>
      <c r="BG995" s="66"/>
      <c r="BH995" s="66"/>
      <c r="BI995" s="66"/>
      <c r="BJ995" s="66"/>
      <c r="BK995" s="66"/>
      <c r="BL995" s="66"/>
      <c r="BM995" s="66"/>
      <c r="BN995" s="66"/>
      <c r="BO995" s="66"/>
      <c r="BP995" s="66"/>
      <c r="BQ995" s="66"/>
      <c r="BR995" s="66"/>
      <c r="BS995" s="66"/>
      <c r="BT995" s="66"/>
      <c r="BU995" s="66"/>
      <c r="BV995" s="66"/>
      <c r="BW995" s="66"/>
    </row>
    <row r="996" spans="1:75" ht="15.75" customHeight="1">
      <c r="A996" s="65"/>
      <c r="B996" s="66"/>
      <c r="C996" s="66"/>
      <c r="D996" s="66"/>
      <c r="E996" s="66"/>
      <c r="F996" s="65"/>
      <c r="G996" s="65"/>
      <c r="H996" s="66"/>
      <c r="I996" s="66"/>
      <c r="J996" s="66"/>
      <c r="K996" s="66"/>
      <c r="L996" s="66"/>
      <c r="M996" s="66"/>
      <c r="N996" s="66"/>
      <c r="O996" s="66"/>
      <c r="P996" s="66"/>
      <c r="Q996" s="23"/>
      <c r="AB996" s="23"/>
      <c r="AC996" s="23"/>
      <c r="AD996" s="23"/>
      <c r="AE996" s="7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71"/>
      <c r="AV996" s="10"/>
      <c r="AW996" s="23"/>
      <c r="BB996" s="66"/>
      <c r="BC996" s="66"/>
      <c r="BD996" s="66"/>
      <c r="BE996" s="66"/>
      <c r="BF996" s="66"/>
      <c r="BG996" s="66"/>
      <c r="BH996" s="66"/>
      <c r="BI996" s="66"/>
      <c r="BJ996" s="66"/>
      <c r="BK996" s="66"/>
      <c r="BL996" s="66"/>
      <c r="BM996" s="66"/>
      <c r="BN996" s="66"/>
      <c r="BO996" s="66"/>
      <c r="BP996" s="66"/>
      <c r="BQ996" s="66"/>
      <c r="BR996" s="66"/>
      <c r="BS996" s="66"/>
      <c r="BT996" s="66"/>
      <c r="BU996" s="66"/>
      <c r="BV996" s="66"/>
      <c r="BW996" s="66"/>
    </row>
    <row r="997" spans="1:75" ht="15.75" customHeight="1">
      <c r="A997" s="65"/>
      <c r="B997" s="66"/>
      <c r="C997" s="66"/>
      <c r="D997" s="66"/>
      <c r="E997" s="66"/>
      <c r="F997" s="65"/>
      <c r="G997" s="65"/>
      <c r="H997" s="66"/>
      <c r="I997" s="66"/>
      <c r="J997" s="66"/>
      <c r="K997" s="66"/>
      <c r="L997" s="66"/>
      <c r="M997" s="66"/>
      <c r="N997" s="66"/>
      <c r="O997" s="66"/>
      <c r="P997" s="66"/>
      <c r="Q997" s="23"/>
      <c r="AB997" s="23"/>
      <c r="AC997" s="23"/>
      <c r="AD997" s="23"/>
      <c r="AE997" s="7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71"/>
      <c r="AV997" s="10"/>
      <c r="AW997" s="23"/>
      <c r="BB997" s="66"/>
      <c r="BC997" s="66"/>
      <c r="BD997" s="66"/>
      <c r="BE997" s="66"/>
      <c r="BF997" s="66"/>
      <c r="BG997" s="66"/>
      <c r="BH997" s="66"/>
      <c r="BI997" s="66"/>
      <c r="BJ997" s="66"/>
      <c r="BK997" s="66"/>
      <c r="BL997" s="66"/>
      <c r="BM997" s="66"/>
      <c r="BN997" s="66"/>
      <c r="BO997" s="66"/>
      <c r="BP997" s="66"/>
      <c r="BQ997" s="66"/>
      <c r="BR997" s="66"/>
      <c r="BS997" s="66"/>
      <c r="BT997" s="66"/>
      <c r="BU997" s="66"/>
      <c r="BV997" s="66"/>
      <c r="BW997" s="66"/>
    </row>
    <row r="998" spans="1:75" ht="15.75" customHeight="1">
      <c r="A998" s="65"/>
      <c r="B998" s="66"/>
      <c r="C998" s="66"/>
      <c r="D998" s="66"/>
      <c r="E998" s="66"/>
      <c r="F998" s="65"/>
      <c r="G998" s="65"/>
      <c r="H998" s="66"/>
      <c r="I998" s="66"/>
      <c r="J998" s="66"/>
      <c r="K998" s="66"/>
      <c r="L998" s="66"/>
      <c r="M998" s="66"/>
      <c r="N998" s="66"/>
      <c r="O998" s="66"/>
      <c r="P998" s="66"/>
      <c r="Q998" s="23"/>
      <c r="AB998" s="23"/>
      <c r="AC998" s="23"/>
      <c r="AD998" s="23"/>
      <c r="AE998" s="7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71"/>
      <c r="AV998" s="10"/>
      <c r="AW998" s="23"/>
      <c r="BB998" s="66"/>
      <c r="BC998" s="66"/>
      <c r="BD998" s="66"/>
      <c r="BE998" s="66"/>
      <c r="BF998" s="66"/>
      <c r="BG998" s="66"/>
      <c r="BH998" s="66"/>
      <c r="BI998" s="66"/>
      <c r="BJ998" s="66"/>
      <c r="BK998" s="66"/>
      <c r="BL998" s="66"/>
      <c r="BM998" s="66"/>
      <c r="BN998" s="66"/>
      <c r="BO998" s="66"/>
      <c r="BP998" s="66"/>
      <c r="BQ998" s="66"/>
      <c r="BR998" s="66"/>
      <c r="BS998" s="66"/>
      <c r="BT998" s="66"/>
      <c r="BU998" s="66"/>
      <c r="BV998" s="66"/>
      <c r="BW998" s="66"/>
    </row>
    <row r="999" spans="1:75" ht="15.75" customHeight="1">
      <c r="A999" s="65"/>
      <c r="B999" s="66"/>
      <c r="C999" s="66"/>
      <c r="D999" s="66"/>
      <c r="E999" s="66"/>
      <c r="F999" s="65"/>
      <c r="G999" s="65"/>
      <c r="H999" s="66"/>
      <c r="I999" s="66"/>
      <c r="J999" s="66"/>
      <c r="K999" s="66"/>
      <c r="L999" s="66"/>
      <c r="M999" s="66"/>
      <c r="N999" s="66"/>
      <c r="O999" s="66"/>
      <c r="P999" s="66"/>
      <c r="Q999" s="23"/>
      <c r="AB999" s="23"/>
      <c r="AC999" s="23"/>
      <c r="AD999" s="23"/>
      <c r="AE999" s="7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71"/>
      <c r="AV999" s="10"/>
      <c r="AW999" s="23"/>
      <c r="BB999" s="66"/>
      <c r="BC999" s="66"/>
      <c r="BD999" s="66"/>
      <c r="BE999" s="66"/>
      <c r="BF999" s="66"/>
      <c r="BG999" s="66"/>
      <c r="BH999" s="66"/>
      <c r="BI999" s="66"/>
      <c r="BJ999" s="66"/>
      <c r="BK999" s="66"/>
      <c r="BL999" s="66"/>
      <c r="BM999" s="66"/>
      <c r="BN999" s="66"/>
      <c r="BO999" s="66"/>
      <c r="BP999" s="66"/>
      <c r="BQ999" s="66"/>
      <c r="BR999" s="66"/>
      <c r="BS999" s="66"/>
      <c r="BT999" s="66"/>
      <c r="BU999" s="66"/>
      <c r="BV999" s="66"/>
      <c r="BW999" s="66"/>
    </row>
    <row r="1000" spans="1:75" ht="15.75" customHeight="1">
      <c r="A1000" s="65"/>
      <c r="B1000" s="66"/>
      <c r="C1000" s="66"/>
      <c r="D1000" s="66"/>
      <c r="E1000" s="66"/>
      <c r="F1000" s="65"/>
      <c r="G1000" s="65"/>
      <c r="H1000" s="66"/>
      <c r="I1000" s="66"/>
      <c r="J1000" s="66"/>
      <c r="K1000" s="66"/>
      <c r="L1000" s="66"/>
      <c r="M1000" s="66"/>
      <c r="N1000" s="66"/>
      <c r="O1000" s="66"/>
      <c r="P1000" s="66"/>
      <c r="Q1000" s="23"/>
      <c r="AB1000" s="23"/>
      <c r="AC1000" s="23"/>
      <c r="AD1000" s="23"/>
      <c r="AE1000" s="7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71"/>
      <c r="AV1000" s="10"/>
      <c r="AW1000" s="23"/>
      <c r="BB1000" s="66"/>
      <c r="BC1000" s="66"/>
      <c r="BD1000" s="66"/>
      <c r="BE1000" s="66"/>
      <c r="BF1000" s="66"/>
      <c r="BG1000" s="66"/>
      <c r="BH1000" s="66"/>
      <c r="BI1000" s="66"/>
      <c r="BJ1000" s="66"/>
      <c r="BK1000" s="66"/>
      <c r="BL1000" s="66"/>
      <c r="BM1000" s="66"/>
      <c r="BN1000" s="66"/>
      <c r="BO1000" s="66"/>
      <c r="BP1000" s="66"/>
      <c r="BQ1000" s="66"/>
      <c r="BR1000" s="66"/>
      <c r="BS1000" s="66"/>
      <c r="BT1000" s="66"/>
      <c r="BU1000" s="66"/>
      <c r="BV1000" s="66"/>
      <c r="BW1000" s="66"/>
    </row>
    <row r="1001" spans="1:75" ht="15.75" customHeight="1">
      <c r="A1001" s="65"/>
      <c r="B1001" s="66"/>
      <c r="C1001" s="66"/>
      <c r="D1001" s="66"/>
      <c r="E1001" s="66"/>
      <c r="F1001" s="65"/>
      <c r="G1001" s="65"/>
      <c r="H1001" s="66"/>
      <c r="I1001" s="66"/>
      <c r="J1001" s="66"/>
      <c r="K1001" s="66"/>
      <c r="L1001" s="66"/>
      <c r="M1001" s="66"/>
      <c r="N1001" s="66"/>
      <c r="O1001" s="66"/>
      <c r="P1001" s="66"/>
      <c r="Q1001" s="23"/>
      <c r="AB1001" s="23"/>
      <c r="AC1001" s="23"/>
      <c r="AD1001" s="23"/>
      <c r="AE1001" s="70"/>
      <c r="AF1001" s="10"/>
      <c r="AG1001" s="10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71"/>
      <c r="AV1001" s="10"/>
      <c r="AW1001" s="23"/>
      <c r="BB1001" s="66"/>
      <c r="BC1001" s="66"/>
      <c r="BD1001" s="66"/>
      <c r="BE1001" s="66"/>
      <c r="BF1001" s="66"/>
      <c r="BG1001" s="66"/>
      <c r="BH1001" s="66"/>
      <c r="BI1001" s="66"/>
      <c r="BJ1001" s="66"/>
      <c r="BK1001" s="66"/>
      <c r="BL1001" s="66"/>
      <c r="BM1001" s="66"/>
      <c r="BN1001" s="66"/>
      <c r="BO1001" s="66"/>
      <c r="BP1001" s="66"/>
      <c r="BQ1001" s="66"/>
      <c r="BR1001" s="66"/>
      <c r="BS1001" s="66"/>
      <c r="BT1001" s="66"/>
      <c r="BU1001" s="66"/>
      <c r="BV1001" s="66"/>
      <c r="BW1001" s="66"/>
    </row>
  </sheetData>
  <mergeCells count="4">
    <mergeCell ref="H1:Q1"/>
    <mergeCell ref="R1:AE1"/>
    <mergeCell ref="AF1:AU1"/>
    <mergeCell ref="AV1:BC1"/>
  </mergeCells>
  <conditionalFormatting sqref="F3:F22">
    <cfRule type="cellIs" dxfId="1" priority="2" operator="equal">
      <formula>2</formula>
    </cfRule>
  </conditionalFormatting>
  <conditionalFormatting sqref="R3:AA21">
    <cfRule type="cellIs" dxfId="0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zoomScaleNormal="100" workbookViewId="0"/>
  </sheetViews>
  <sheetFormatPr defaultColWidth="12.5703125" defaultRowHeight="12.75"/>
  <cols>
    <col min="1" max="1" width="20.7109375" style="1" customWidth="1"/>
  </cols>
  <sheetData>
    <row r="1" spans="1:6" ht="15.75" customHeight="1">
      <c r="A1" s="23" t="str">
        <f ca="1">IFERROR(__xludf.dummyfunction("importrange(""https://docs.google.com/spreadsheets/d/1uZ3jEkbalguGw0Nl1RAMl47wXINBXDFijDX5sjroUyc"",""'Summary'!A:F"")"),"ФИО")</f>
        <v>ФИО</v>
      </c>
      <c r="B1" s="23" t="str">
        <f ca="1">IFERROR(__xludf.dummyfunction("""COMPUTED_VALUE"""),"Группа")</f>
        <v>Группа</v>
      </c>
      <c r="C1" s="23" t="str">
        <f ca="1">IFERROR(__xludf.dummyfunction("""COMPUTED_VALUE"""),"Оценка 1")</f>
        <v>Оценка 1</v>
      </c>
      <c r="D1" s="23" t="str">
        <f ca="1">IFERROR(__xludf.dummyfunction("""COMPUTED_VALUE"""),"Оценка 2")</f>
        <v>Оценка 2</v>
      </c>
      <c r="E1" s="23" t="str">
        <f ca="1">IFERROR(__xludf.dummyfunction("""COMPUTED_VALUE"""),"Оценка 3")</f>
        <v>Оценка 3</v>
      </c>
      <c r="F1" s="23" t="str">
        <f ca="1">IFERROR(__xludf.dummyfunction("""COMPUTED_VALUE"""),"Оценка 4")</f>
        <v>Оценка 4</v>
      </c>
    </row>
    <row r="2" spans="1:6" ht="15.75" customHeight="1">
      <c r="A2" s="23" t="s">
        <v>34</v>
      </c>
      <c r="B2" s="23">
        <f ca="1">IFERROR(__xludf.dummyfunction("""COMPUTED_VALUE"""),1303)</f>
        <v>1303</v>
      </c>
      <c r="C2" s="23">
        <f ca="1">IFERROR(__xludf.dummyfunction("""COMPUTED_VALUE"""),6)</f>
        <v>6</v>
      </c>
      <c r="D2" s="23"/>
      <c r="E2" s="23"/>
      <c r="F2" s="23"/>
    </row>
    <row r="3" spans="1:6" ht="15.75" customHeight="1">
      <c r="A3" s="23" t="s">
        <v>41</v>
      </c>
      <c r="B3" s="23">
        <f ca="1">IFERROR(__xludf.dummyfunction("""COMPUTED_VALUE"""),1303)</f>
        <v>1303</v>
      </c>
      <c r="C3" s="23">
        <f ca="1">IFERROR(__xludf.dummyfunction("""COMPUTED_VALUE"""),6)</f>
        <v>6</v>
      </c>
      <c r="D3" s="23"/>
      <c r="E3" s="23"/>
      <c r="F3" s="23"/>
    </row>
    <row r="4" spans="1:6" ht="15.75" customHeight="1">
      <c r="A4" s="23" t="s">
        <v>49</v>
      </c>
      <c r="B4" s="23">
        <f ca="1">IFERROR(__xludf.dummyfunction("""COMPUTED_VALUE"""),1303)</f>
        <v>1303</v>
      </c>
      <c r="C4" s="23">
        <f ca="1">IFERROR(__xludf.dummyfunction("""COMPUTED_VALUE"""),6)</f>
        <v>6</v>
      </c>
      <c r="D4" s="23"/>
      <c r="E4" s="23"/>
      <c r="F4" s="23"/>
    </row>
    <row r="5" spans="1:6" ht="15.75" customHeight="1">
      <c r="A5" s="23" t="s">
        <v>55</v>
      </c>
      <c r="B5" s="23">
        <f ca="1">IFERROR(__xludf.dummyfunction("""COMPUTED_VALUE"""),1303)</f>
        <v>1303</v>
      </c>
      <c r="C5" s="23">
        <f ca="1">IFERROR(__xludf.dummyfunction("""COMPUTED_VALUE"""),5)</f>
        <v>5</v>
      </c>
      <c r="D5" s="23"/>
      <c r="E5" s="23"/>
      <c r="F5" s="23"/>
    </row>
    <row r="6" spans="1:6" ht="15.75" customHeight="1">
      <c r="A6" s="23" t="s">
        <v>60</v>
      </c>
      <c r="B6" s="23">
        <f ca="1">IFERROR(__xludf.dummyfunction("""COMPUTED_VALUE"""),1303)</f>
        <v>1303</v>
      </c>
      <c r="C6" s="23">
        <f ca="1">IFERROR(__xludf.dummyfunction("""COMPUTED_VALUE"""),5)</f>
        <v>5</v>
      </c>
      <c r="D6" s="23"/>
      <c r="E6" s="23"/>
      <c r="F6" s="23"/>
    </row>
    <row r="7" spans="1:6" ht="15.75" customHeight="1">
      <c r="A7" s="23" t="s">
        <v>65</v>
      </c>
      <c r="B7" s="23">
        <f ca="1">IFERROR(__xludf.dummyfunction("""COMPUTED_VALUE"""),1303)</f>
        <v>1303</v>
      </c>
      <c r="C7" s="23">
        <f ca="1">IFERROR(__xludf.dummyfunction("""COMPUTED_VALUE"""),6)</f>
        <v>6</v>
      </c>
      <c r="D7" s="23"/>
      <c r="E7" s="23"/>
      <c r="F7" s="23"/>
    </row>
    <row r="8" spans="1:6" ht="15.75" customHeight="1">
      <c r="A8" s="23" t="s">
        <v>72</v>
      </c>
      <c r="B8" s="23">
        <f ca="1">IFERROR(__xludf.dummyfunction("""COMPUTED_VALUE"""),1303)</f>
        <v>1303</v>
      </c>
      <c r="C8" s="23">
        <f ca="1">IFERROR(__xludf.dummyfunction("""COMPUTED_VALUE"""),6)</f>
        <v>6</v>
      </c>
      <c r="D8" s="23"/>
      <c r="E8" s="23"/>
      <c r="F8" s="23"/>
    </row>
    <row r="9" spans="1:6" ht="15.75" customHeight="1">
      <c r="A9" s="23" t="s">
        <v>78</v>
      </c>
      <c r="B9" s="23">
        <f ca="1">IFERROR(__xludf.dummyfunction("""COMPUTED_VALUE"""),1303)</f>
        <v>1303</v>
      </c>
      <c r="C9" s="23">
        <f ca="1">IFERROR(__xludf.dummyfunction("""COMPUTED_VALUE"""),5)</f>
        <v>5</v>
      </c>
      <c r="D9" s="23"/>
      <c r="E9" s="23"/>
      <c r="F9" s="23"/>
    </row>
    <row r="10" spans="1:6" ht="15.75" customHeight="1">
      <c r="A10" s="23" t="s">
        <v>83</v>
      </c>
      <c r="B10" s="23">
        <f ca="1">IFERROR(__xludf.dummyfunction("""COMPUTED_VALUE"""),1303)</f>
        <v>1303</v>
      </c>
      <c r="C10" s="23">
        <f ca="1">IFERROR(__xludf.dummyfunction("""COMPUTED_VALUE"""),5)</f>
        <v>5</v>
      </c>
      <c r="D10" s="23"/>
      <c r="E10" s="23"/>
      <c r="F10" s="23"/>
    </row>
    <row r="11" spans="1:6" ht="15.75" customHeight="1">
      <c r="A11" s="23" t="s">
        <v>88</v>
      </c>
      <c r="B11" s="23">
        <f ca="1">IFERROR(__xludf.dummyfunction("""COMPUTED_VALUE"""),1303)</f>
        <v>1303</v>
      </c>
      <c r="C11" s="23">
        <f ca="1">IFERROR(__xludf.dummyfunction("""COMPUTED_VALUE"""),4)</f>
        <v>4</v>
      </c>
      <c r="D11" s="23"/>
      <c r="E11" s="23"/>
      <c r="F11" s="23"/>
    </row>
    <row r="12" spans="1:6" ht="15.75" customHeight="1">
      <c r="A12" s="23" t="s">
        <v>93</v>
      </c>
      <c r="B12" s="23">
        <f ca="1">IFERROR(__xludf.dummyfunction("""COMPUTED_VALUE"""),1303)</f>
        <v>1303</v>
      </c>
      <c r="C12" s="23">
        <f ca="1">IFERROR(__xludf.dummyfunction("""COMPUTED_VALUE"""),6)</f>
        <v>6</v>
      </c>
      <c r="D12" s="23"/>
      <c r="E12" s="23"/>
      <c r="F12" s="23"/>
    </row>
    <row r="13" spans="1:6" ht="15.75" customHeight="1">
      <c r="A13" s="23" t="s">
        <v>98</v>
      </c>
      <c r="B13" s="23">
        <f ca="1">IFERROR(__xludf.dummyfunction("""COMPUTED_VALUE"""),1303)</f>
        <v>1303</v>
      </c>
      <c r="C13" s="23">
        <f ca="1">IFERROR(__xludf.dummyfunction("""COMPUTED_VALUE"""),5)</f>
        <v>5</v>
      </c>
      <c r="D13" s="23"/>
      <c r="E13" s="23"/>
      <c r="F13" s="23"/>
    </row>
    <row r="14" spans="1:6" ht="15.75" customHeight="1">
      <c r="A14" s="23" t="s">
        <v>104</v>
      </c>
      <c r="B14" s="23">
        <f ca="1">IFERROR(__xludf.dummyfunction("""COMPUTED_VALUE"""),1303)</f>
        <v>1303</v>
      </c>
      <c r="C14" s="23">
        <f ca="1">IFERROR(__xludf.dummyfunction("""COMPUTED_VALUE"""),6)</f>
        <v>6</v>
      </c>
      <c r="D14" s="23"/>
      <c r="E14" s="23"/>
      <c r="F14" s="23"/>
    </row>
    <row r="15" spans="1:6" ht="15.75" customHeight="1">
      <c r="A15" s="23" t="s">
        <v>109</v>
      </c>
      <c r="B15" s="23">
        <f ca="1">IFERROR(__xludf.dummyfunction("""COMPUTED_VALUE"""),1303)</f>
        <v>1303</v>
      </c>
      <c r="C15" s="23">
        <f ca="1">IFERROR(__xludf.dummyfunction("""COMPUTED_VALUE"""),6)</f>
        <v>6</v>
      </c>
      <c r="D15" s="23"/>
      <c r="E15" s="23"/>
      <c r="F15" s="23"/>
    </row>
    <row r="16" spans="1:6" ht="15.75" customHeight="1">
      <c r="A16" s="23" t="s">
        <v>114</v>
      </c>
      <c r="B16" s="23">
        <f ca="1">IFERROR(__xludf.dummyfunction("""COMPUTED_VALUE"""),1303)</f>
        <v>1303</v>
      </c>
      <c r="C16" s="23">
        <f ca="1">IFERROR(__xludf.dummyfunction("""COMPUTED_VALUE"""),2)</f>
        <v>2</v>
      </c>
      <c r="D16" s="23"/>
      <c r="E16" s="23"/>
      <c r="F16" s="23"/>
    </row>
    <row r="17" spans="1:6" ht="15.75" customHeight="1">
      <c r="A17" s="23" t="s">
        <v>119</v>
      </c>
      <c r="B17" s="23">
        <f ca="1">IFERROR(__xludf.dummyfunction("""COMPUTED_VALUE"""),1303)</f>
        <v>1303</v>
      </c>
      <c r="C17" s="23">
        <f ca="1">IFERROR(__xludf.dummyfunction("""COMPUTED_VALUE"""),5)</f>
        <v>5</v>
      </c>
      <c r="D17" s="23"/>
      <c r="E17" s="23"/>
      <c r="F17" s="23"/>
    </row>
    <row r="18" spans="1:6" ht="15.75" customHeight="1">
      <c r="A18" s="23" t="s">
        <v>125</v>
      </c>
      <c r="B18" s="23">
        <f ca="1">IFERROR(__xludf.dummyfunction("""COMPUTED_VALUE"""),1303)</f>
        <v>1303</v>
      </c>
      <c r="C18" s="23">
        <f ca="1">IFERROR(__xludf.dummyfunction("""COMPUTED_VALUE"""),6)</f>
        <v>6</v>
      </c>
      <c r="D18" s="23"/>
      <c r="E18" s="23"/>
      <c r="F18" s="23"/>
    </row>
    <row r="19" spans="1:6" ht="15.75" customHeight="1">
      <c r="A19" s="23" t="s">
        <v>132</v>
      </c>
      <c r="B19" s="23">
        <f ca="1">IFERROR(__xludf.dummyfunction("""COMPUTED_VALUE"""),1303)</f>
        <v>1303</v>
      </c>
      <c r="C19" s="23">
        <f ca="1">IFERROR(__xludf.dummyfunction("""COMPUTED_VALUE"""),6)</f>
        <v>6</v>
      </c>
      <c r="D19" s="23"/>
      <c r="E19" s="23"/>
      <c r="F19" s="23"/>
    </row>
    <row r="20" spans="1:6" ht="15.75" customHeight="1">
      <c r="A20" s="23" t="s">
        <v>137</v>
      </c>
      <c r="B20" s="23">
        <f ca="1">IFERROR(__xludf.dummyfunction("""COMPUTED_VALUE"""),1303)</f>
        <v>1303</v>
      </c>
      <c r="C20" s="23">
        <f ca="1">IFERROR(__xludf.dummyfunction("""COMPUTED_VALUE"""),5)</f>
        <v>5</v>
      </c>
      <c r="D20" s="23"/>
      <c r="E20" s="23"/>
      <c r="F20" s="23"/>
    </row>
    <row r="21" spans="1:6" ht="15.75" customHeight="1">
      <c r="A21" s="23" t="s">
        <v>142</v>
      </c>
      <c r="B21" s="23">
        <f ca="1">IFERROR(__xludf.dummyfunction("""COMPUTED_VALUE"""),1303)</f>
        <v>1303</v>
      </c>
      <c r="C21" s="23">
        <f ca="1">IFERROR(__xludf.dummyfunction("""COMPUTED_VALUE"""),6)</f>
        <v>6</v>
      </c>
      <c r="D21" s="23"/>
      <c r="E21" s="23"/>
      <c r="F21" s="23"/>
    </row>
    <row r="22" spans="1:6" ht="15.75" customHeight="1">
      <c r="A22" s="23" t="s">
        <v>149</v>
      </c>
      <c r="B22" s="23">
        <f ca="1">IFERROR(__xludf.dummyfunction("""COMPUTED_VALUE"""),1303)</f>
        <v>1303</v>
      </c>
      <c r="C22" s="23">
        <f ca="1">IFERROR(__xludf.dummyfunction("""COMPUTED_VALUE"""),6)</f>
        <v>6</v>
      </c>
      <c r="D22" s="23"/>
      <c r="E22" s="23"/>
      <c r="F22" s="23"/>
    </row>
    <row r="23" spans="1:6" ht="15.75" customHeight="1">
      <c r="A23" s="23" t="s">
        <v>154</v>
      </c>
      <c r="B23" s="23">
        <f ca="1">IFERROR(__xludf.dummyfunction("""COMPUTED_VALUE"""),1303)</f>
        <v>1303</v>
      </c>
      <c r="C23" s="23">
        <f ca="1">IFERROR(__xludf.dummyfunction("""COMPUTED_VALUE"""),6)</f>
        <v>6</v>
      </c>
      <c r="D23" s="23"/>
      <c r="E23" s="23"/>
      <c r="F23" s="23"/>
    </row>
    <row r="24" spans="1:6" ht="15.75" customHeight="1">
      <c r="A24" s="23" t="s">
        <v>160</v>
      </c>
      <c r="B24" s="23">
        <f ca="1">IFERROR(__xludf.dummyfunction("""COMPUTED_VALUE"""),1303)</f>
        <v>1303</v>
      </c>
      <c r="C24" s="23">
        <f ca="1">IFERROR(__xludf.dummyfunction("""COMPUTED_VALUE"""),6)</f>
        <v>6</v>
      </c>
      <c r="D24" s="23"/>
      <c r="E24" s="23"/>
      <c r="F24" s="23"/>
    </row>
    <row r="25" spans="1:6" ht="15.75" customHeight="1">
      <c r="A25" s="23" t="s">
        <v>165</v>
      </c>
      <c r="B25" s="23">
        <f ca="1">IFERROR(__xludf.dummyfunction("""COMPUTED_VALUE"""),1303)</f>
        <v>1303</v>
      </c>
      <c r="C25" s="23">
        <f ca="1">IFERROR(__xludf.dummyfunction("""COMPUTED_VALUE"""),6)</f>
        <v>6</v>
      </c>
      <c r="D25" s="23"/>
      <c r="E25" s="23"/>
      <c r="F25" s="23"/>
    </row>
    <row r="26" spans="1:6" ht="15.75" customHeight="1">
      <c r="A26" s="23" t="s">
        <v>170</v>
      </c>
      <c r="B26" s="23">
        <f ca="1">IFERROR(__xludf.dummyfunction("""COMPUTED_VALUE"""),1303)</f>
        <v>1303</v>
      </c>
      <c r="C26" s="23">
        <f ca="1">IFERROR(__xludf.dummyfunction("""COMPUTED_VALUE"""),6)</f>
        <v>6</v>
      </c>
      <c r="D26" s="23"/>
      <c r="E26" s="23"/>
      <c r="F26" s="23"/>
    </row>
    <row r="27" spans="1:6" ht="15.75" customHeight="1">
      <c r="A27" s="23" t="s">
        <v>175</v>
      </c>
      <c r="B27" s="23">
        <f ca="1">IFERROR(__xludf.dummyfunction("""COMPUTED_VALUE"""),1303)</f>
        <v>1303</v>
      </c>
      <c r="C27" s="23">
        <f ca="1">IFERROR(__xludf.dummyfunction("""COMPUTED_VALUE"""),3)</f>
        <v>3</v>
      </c>
      <c r="D27" s="23"/>
      <c r="E27" s="23"/>
      <c r="F27" s="23"/>
    </row>
    <row r="28" spans="1:6" ht="15.75" customHeight="1">
      <c r="A28" s="23" t="s">
        <v>180</v>
      </c>
      <c r="B28" s="23">
        <f ca="1">IFERROR(__xludf.dummyfunction("""COMPUTED_VALUE"""),1304)</f>
        <v>1304</v>
      </c>
      <c r="C28" s="23">
        <f ca="1">IFERROR(__xludf.dummyfunction("""COMPUTED_VALUE"""),6)</f>
        <v>6</v>
      </c>
      <c r="D28" s="23"/>
      <c r="E28" s="23"/>
      <c r="F28" s="23"/>
    </row>
    <row r="29" spans="1:6" ht="15.75" customHeight="1">
      <c r="A29" s="23" t="s">
        <v>186</v>
      </c>
      <c r="B29" s="23">
        <f ca="1">IFERROR(__xludf.dummyfunction("""COMPUTED_VALUE"""),1304)</f>
        <v>1304</v>
      </c>
      <c r="C29" s="23">
        <f ca="1">IFERROR(__xludf.dummyfunction("""COMPUTED_VALUE"""),6)</f>
        <v>6</v>
      </c>
      <c r="D29" s="23"/>
      <c r="E29" s="23"/>
      <c r="F29" s="23"/>
    </row>
    <row r="30" spans="1:6" ht="15.75" customHeight="1">
      <c r="A30" s="23" t="s">
        <v>191</v>
      </c>
      <c r="B30" s="23">
        <f ca="1">IFERROR(__xludf.dummyfunction("""COMPUTED_VALUE"""),1304)</f>
        <v>1304</v>
      </c>
      <c r="C30" s="23">
        <f ca="1">IFERROR(__xludf.dummyfunction("""COMPUTED_VALUE"""),6)</f>
        <v>6</v>
      </c>
      <c r="D30" s="23"/>
      <c r="E30" s="23"/>
      <c r="F30" s="23"/>
    </row>
    <row r="31" spans="1:6" ht="15.75" customHeight="1">
      <c r="A31" s="23" t="s">
        <v>196</v>
      </c>
      <c r="B31" s="23">
        <f ca="1">IFERROR(__xludf.dummyfunction("""COMPUTED_VALUE"""),1304)</f>
        <v>1304</v>
      </c>
      <c r="C31" s="23">
        <f ca="1">IFERROR(__xludf.dummyfunction("""COMPUTED_VALUE"""),6)</f>
        <v>6</v>
      </c>
      <c r="D31" s="23"/>
      <c r="E31" s="23"/>
      <c r="F31" s="23"/>
    </row>
    <row r="32" spans="1:6" ht="15.75" customHeight="1">
      <c r="A32" s="23" t="s">
        <v>201</v>
      </c>
      <c r="B32" s="23">
        <f ca="1">IFERROR(__xludf.dummyfunction("""COMPUTED_VALUE"""),1304)</f>
        <v>1304</v>
      </c>
      <c r="C32" s="23">
        <f ca="1">IFERROR(__xludf.dummyfunction("""COMPUTED_VALUE"""),6)</f>
        <v>6</v>
      </c>
      <c r="D32" s="23"/>
      <c r="E32" s="23"/>
      <c r="F32" s="23"/>
    </row>
    <row r="33" spans="1:6" ht="15.75" customHeight="1">
      <c r="A33" s="23" t="s">
        <v>206</v>
      </c>
      <c r="B33" s="23">
        <f ca="1">IFERROR(__xludf.dummyfunction("""COMPUTED_VALUE"""),1304)</f>
        <v>1304</v>
      </c>
      <c r="C33" s="23">
        <f ca="1">IFERROR(__xludf.dummyfunction("""COMPUTED_VALUE"""),6)</f>
        <v>6</v>
      </c>
      <c r="D33" s="23"/>
      <c r="E33" s="23"/>
      <c r="F33" s="23"/>
    </row>
    <row r="34" spans="1:6" ht="15.75" customHeight="1">
      <c r="A34" s="23" t="s">
        <v>212</v>
      </c>
      <c r="B34" s="23">
        <f ca="1">IFERROR(__xludf.dummyfunction("""COMPUTED_VALUE"""),1304)</f>
        <v>1304</v>
      </c>
      <c r="C34" s="23">
        <f ca="1">IFERROR(__xludf.dummyfunction("""COMPUTED_VALUE"""),6)</f>
        <v>6</v>
      </c>
      <c r="D34" s="23"/>
      <c r="E34" s="23"/>
      <c r="F34" s="23"/>
    </row>
    <row r="35" spans="1:6" ht="15.75" customHeight="1">
      <c r="A35" s="23" t="s">
        <v>217</v>
      </c>
      <c r="B35" s="23">
        <f ca="1">IFERROR(__xludf.dummyfunction("""COMPUTED_VALUE"""),1304)</f>
        <v>1304</v>
      </c>
      <c r="C35" s="23">
        <f ca="1">IFERROR(__xludf.dummyfunction("""COMPUTED_VALUE"""),6)</f>
        <v>6</v>
      </c>
      <c r="D35" s="23"/>
      <c r="E35" s="23"/>
      <c r="F35" s="23"/>
    </row>
    <row r="36" spans="1:6" ht="15.75" customHeight="1">
      <c r="A36" s="23" t="s">
        <v>222</v>
      </c>
      <c r="B36" s="23">
        <f ca="1">IFERROR(__xludf.dummyfunction("""COMPUTED_VALUE"""),1304)</f>
        <v>1304</v>
      </c>
      <c r="C36" s="23">
        <f ca="1">IFERROR(__xludf.dummyfunction("""COMPUTED_VALUE"""),6)</f>
        <v>6</v>
      </c>
      <c r="D36" s="23"/>
      <c r="E36" s="23"/>
      <c r="F36" s="23"/>
    </row>
    <row r="37" spans="1:6" ht="15.75" customHeight="1">
      <c r="A37" s="23" t="s">
        <v>227</v>
      </c>
      <c r="B37" s="23">
        <f ca="1">IFERROR(__xludf.dummyfunction("""COMPUTED_VALUE"""),1304)</f>
        <v>1304</v>
      </c>
      <c r="C37" s="23">
        <f ca="1">IFERROR(__xludf.dummyfunction("""COMPUTED_VALUE"""),6)</f>
        <v>6</v>
      </c>
      <c r="D37" s="23"/>
      <c r="E37" s="23"/>
      <c r="F37" s="23"/>
    </row>
    <row r="38" spans="1:6" ht="15.75" customHeight="1">
      <c r="A38" s="23" t="s">
        <v>233</v>
      </c>
      <c r="B38" s="23">
        <f ca="1">IFERROR(__xludf.dummyfunction("""COMPUTED_VALUE"""),1304)</f>
        <v>1304</v>
      </c>
      <c r="C38" s="23">
        <f ca="1">IFERROR(__xludf.dummyfunction("""COMPUTED_VALUE"""),4)</f>
        <v>4</v>
      </c>
      <c r="D38" s="23"/>
      <c r="E38" s="23"/>
      <c r="F38" s="23"/>
    </row>
    <row r="39" spans="1:6" ht="15.75" customHeight="1">
      <c r="A39" s="23" t="s">
        <v>238</v>
      </c>
      <c r="B39" s="23">
        <f ca="1">IFERROR(__xludf.dummyfunction("""COMPUTED_VALUE"""),1304)</f>
        <v>1304</v>
      </c>
      <c r="C39" s="23">
        <f ca="1">IFERROR(__xludf.dummyfunction("""COMPUTED_VALUE"""),5)</f>
        <v>5</v>
      </c>
      <c r="D39" s="23"/>
      <c r="E39" s="23"/>
      <c r="F39" s="23"/>
    </row>
    <row r="40" spans="1:6" ht="15.75" customHeight="1">
      <c r="A40" s="23" t="s">
        <v>243</v>
      </c>
      <c r="B40" s="23">
        <f ca="1">IFERROR(__xludf.dummyfunction("""COMPUTED_VALUE"""),1304)</f>
        <v>1304</v>
      </c>
      <c r="C40" s="23">
        <f ca="1">IFERROR(__xludf.dummyfunction("""COMPUTED_VALUE"""),4)</f>
        <v>4</v>
      </c>
      <c r="D40" s="23"/>
      <c r="E40" s="23"/>
      <c r="F40" s="23"/>
    </row>
    <row r="41" spans="1:6" ht="15.75" customHeight="1">
      <c r="A41" s="23" t="s">
        <v>248</v>
      </c>
      <c r="B41" s="23">
        <f ca="1">IFERROR(__xludf.dummyfunction("""COMPUTED_VALUE"""),1304)</f>
        <v>1304</v>
      </c>
      <c r="C41" s="23">
        <f ca="1">IFERROR(__xludf.dummyfunction("""COMPUTED_VALUE"""),6)</f>
        <v>6</v>
      </c>
      <c r="D41" s="23"/>
      <c r="E41" s="23"/>
      <c r="F41" s="23"/>
    </row>
    <row r="42" spans="1:6" ht="15.75" customHeight="1">
      <c r="A42" s="23" t="s">
        <v>253</v>
      </c>
      <c r="B42" s="23">
        <f ca="1">IFERROR(__xludf.dummyfunction("""COMPUTED_VALUE"""),1304)</f>
        <v>1304</v>
      </c>
      <c r="C42" s="23">
        <f ca="1">IFERROR(__xludf.dummyfunction("""COMPUTED_VALUE"""),6)</f>
        <v>6</v>
      </c>
      <c r="D42" s="23"/>
      <c r="E42" s="23"/>
      <c r="F42" s="23"/>
    </row>
    <row r="43" spans="1:6" ht="15.75" customHeight="1">
      <c r="A43" s="23" t="s">
        <v>258</v>
      </c>
      <c r="B43" s="23">
        <f ca="1">IFERROR(__xludf.dummyfunction("""COMPUTED_VALUE"""),1304)</f>
        <v>1304</v>
      </c>
      <c r="C43" s="23">
        <f ca="1">IFERROR(__xludf.dummyfunction("""COMPUTED_VALUE"""),6)</f>
        <v>6</v>
      </c>
      <c r="D43" s="23"/>
      <c r="E43" s="23"/>
      <c r="F43" s="23"/>
    </row>
    <row r="44" spans="1:6" ht="15.75" customHeight="1">
      <c r="A44" s="23" t="s">
        <v>263</v>
      </c>
      <c r="B44" s="23">
        <f ca="1">IFERROR(__xludf.dummyfunction("""COMPUTED_VALUE"""),1304)</f>
        <v>1304</v>
      </c>
      <c r="C44" s="23">
        <f ca="1">IFERROR(__xludf.dummyfunction("""COMPUTED_VALUE"""),6)</f>
        <v>6</v>
      </c>
      <c r="D44" s="23"/>
      <c r="E44" s="23"/>
      <c r="F44" s="23"/>
    </row>
    <row r="45" spans="1:6" ht="15.75" customHeight="1">
      <c r="A45" s="23" t="s">
        <v>268</v>
      </c>
      <c r="B45" s="23">
        <f ca="1">IFERROR(__xludf.dummyfunction("""COMPUTED_VALUE"""),1304)</f>
        <v>1304</v>
      </c>
      <c r="C45" s="23">
        <f ca="1">IFERROR(__xludf.dummyfunction("""COMPUTED_VALUE"""),6)</f>
        <v>6</v>
      </c>
      <c r="D45" s="23"/>
      <c r="E45" s="23"/>
      <c r="F45" s="23"/>
    </row>
    <row r="46" spans="1:6" ht="15.75" customHeight="1">
      <c r="A46" s="23" t="s">
        <v>273</v>
      </c>
      <c r="B46" s="23">
        <f ca="1">IFERROR(__xludf.dummyfunction("""COMPUTED_VALUE"""),1304)</f>
        <v>1304</v>
      </c>
      <c r="C46" s="23">
        <f ca="1">IFERROR(__xludf.dummyfunction("""COMPUTED_VALUE"""),6)</f>
        <v>6</v>
      </c>
      <c r="D46" s="23"/>
      <c r="E46" s="23"/>
      <c r="F46" s="23"/>
    </row>
    <row r="47" spans="1:6" ht="15.75" customHeight="1">
      <c r="A47" s="23" t="s">
        <v>277</v>
      </c>
      <c r="B47" s="23">
        <f ca="1">IFERROR(__xludf.dummyfunction("""COMPUTED_VALUE"""),1304)</f>
        <v>1304</v>
      </c>
      <c r="C47" s="23">
        <f ca="1">IFERROR(__xludf.dummyfunction("""COMPUTED_VALUE"""),6)</f>
        <v>6</v>
      </c>
      <c r="D47" s="23"/>
      <c r="E47" s="23"/>
      <c r="F47" s="23"/>
    </row>
    <row r="48" spans="1:6" ht="15.75" customHeight="1">
      <c r="A48" s="23" t="s">
        <v>283</v>
      </c>
      <c r="B48" s="23">
        <f ca="1">IFERROR(__xludf.dummyfunction("""COMPUTED_VALUE"""),1304)</f>
        <v>1304</v>
      </c>
      <c r="C48" s="23">
        <f ca="1">IFERROR(__xludf.dummyfunction("""COMPUTED_VALUE"""),5)</f>
        <v>5</v>
      </c>
      <c r="D48" s="23"/>
      <c r="E48" s="23"/>
      <c r="F48" s="23"/>
    </row>
    <row r="49" spans="1:6" ht="15.75" customHeight="1">
      <c r="A49" s="23" t="s">
        <v>288</v>
      </c>
      <c r="B49" s="23">
        <f ca="1">IFERROR(__xludf.dummyfunction("""COMPUTED_VALUE"""),1304)</f>
        <v>1304</v>
      </c>
      <c r="C49" s="23">
        <f ca="1">IFERROR(__xludf.dummyfunction("""COMPUTED_VALUE"""),6)</f>
        <v>6</v>
      </c>
      <c r="D49" s="23"/>
      <c r="E49" s="23"/>
      <c r="F49" s="23"/>
    </row>
    <row r="50" spans="1:6" ht="15.75" customHeight="1">
      <c r="A50" s="23" t="s">
        <v>293</v>
      </c>
      <c r="B50" s="23">
        <f ca="1">IFERROR(__xludf.dummyfunction("""COMPUTED_VALUE"""),1304)</f>
        <v>1304</v>
      </c>
      <c r="C50" s="23">
        <f ca="1">IFERROR(__xludf.dummyfunction("""COMPUTED_VALUE"""),6)</f>
        <v>6</v>
      </c>
      <c r="D50" s="23"/>
      <c r="E50" s="23"/>
      <c r="F50" s="23"/>
    </row>
    <row r="51" spans="1:6" ht="15.75" customHeight="1">
      <c r="A51" s="23" t="s">
        <v>300</v>
      </c>
      <c r="B51" s="23">
        <f ca="1">IFERROR(__xludf.dummyfunction("""COMPUTED_VALUE"""),1304)</f>
        <v>1304</v>
      </c>
      <c r="C51" s="23">
        <f ca="1">IFERROR(__xludf.dummyfunction("""COMPUTED_VALUE"""),6)</f>
        <v>6</v>
      </c>
      <c r="D51" s="23"/>
      <c r="E51" s="23"/>
      <c r="F51" s="23"/>
    </row>
    <row r="52" spans="1:6" ht="15.75" customHeight="1">
      <c r="A52" s="23" t="s">
        <v>305</v>
      </c>
      <c r="B52" s="23">
        <f ca="1">IFERROR(__xludf.dummyfunction("""COMPUTED_VALUE"""),1304)</f>
        <v>1304</v>
      </c>
      <c r="C52" s="23">
        <f ca="1">IFERROR(__xludf.dummyfunction("""COMPUTED_VALUE"""),6)</f>
        <v>6</v>
      </c>
      <c r="D52" s="23"/>
      <c r="E52" s="23"/>
      <c r="F52" s="23"/>
    </row>
    <row r="53" spans="1:6" ht="15.75" customHeight="1">
      <c r="A53" s="23" t="s">
        <v>310</v>
      </c>
      <c r="B53" s="23">
        <f ca="1">IFERROR(__xludf.dummyfunction("""COMPUTED_VALUE"""),1304)</f>
        <v>1304</v>
      </c>
      <c r="C53" s="23">
        <f ca="1">IFERROR(__xludf.dummyfunction("""COMPUTED_VALUE"""),6)</f>
        <v>6</v>
      </c>
      <c r="D53" s="23"/>
      <c r="E53" s="23"/>
      <c r="F53" s="23"/>
    </row>
    <row r="54" spans="1:6" ht="15.75" customHeight="1">
      <c r="A54" s="23" t="s">
        <v>315</v>
      </c>
      <c r="B54" s="23">
        <f ca="1">IFERROR(__xludf.dummyfunction("""COMPUTED_VALUE"""),1381)</f>
        <v>1381</v>
      </c>
      <c r="C54" s="23">
        <f ca="1">IFERROR(__xludf.dummyfunction("""COMPUTED_VALUE"""),6)</f>
        <v>6</v>
      </c>
      <c r="D54" s="23"/>
      <c r="E54" s="23"/>
      <c r="F54" s="23"/>
    </row>
    <row r="55" spans="1:6" ht="15.75" customHeight="1">
      <c r="A55" s="23" t="s">
        <v>320</v>
      </c>
      <c r="B55" s="23">
        <f ca="1">IFERROR(__xludf.dummyfunction("""COMPUTED_VALUE"""),1381)</f>
        <v>1381</v>
      </c>
      <c r="C55" s="23">
        <f ca="1">IFERROR(__xludf.dummyfunction("""COMPUTED_VALUE"""),6)</f>
        <v>6</v>
      </c>
      <c r="D55" s="23"/>
      <c r="E55" s="23"/>
      <c r="F55" s="23"/>
    </row>
    <row r="56" spans="1:6" ht="15.75" customHeight="1">
      <c r="A56" s="23" t="s">
        <v>326</v>
      </c>
      <c r="B56" s="23">
        <f ca="1">IFERROR(__xludf.dummyfunction("""COMPUTED_VALUE"""),1381)</f>
        <v>1381</v>
      </c>
      <c r="C56" s="23">
        <f ca="1">IFERROR(__xludf.dummyfunction("""COMPUTED_VALUE"""),6)</f>
        <v>6</v>
      </c>
      <c r="D56" s="23"/>
      <c r="E56" s="23"/>
      <c r="F56" s="23"/>
    </row>
    <row r="57" spans="1:6" ht="15.75" customHeight="1">
      <c r="A57" s="23" t="s">
        <v>332</v>
      </c>
      <c r="B57" s="23">
        <f ca="1">IFERROR(__xludf.dummyfunction("""COMPUTED_VALUE"""),1381)</f>
        <v>1381</v>
      </c>
      <c r="C57" s="23">
        <f ca="1">IFERROR(__xludf.dummyfunction("""COMPUTED_VALUE"""),6)</f>
        <v>6</v>
      </c>
      <c r="D57" s="23"/>
      <c r="E57" s="23"/>
      <c r="F57" s="23"/>
    </row>
    <row r="58" spans="1:6" ht="15.75" customHeight="1">
      <c r="A58" s="23" t="s">
        <v>337</v>
      </c>
      <c r="B58" s="23">
        <f ca="1">IFERROR(__xludf.dummyfunction("""COMPUTED_VALUE"""),1381)</f>
        <v>1381</v>
      </c>
      <c r="C58" s="23">
        <f ca="1">IFERROR(__xludf.dummyfunction("""COMPUTED_VALUE"""),6)</f>
        <v>6</v>
      </c>
      <c r="D58" s="23"/>
      <c r="E58" s="23"/>
      <c r="F58" s="23"/>
    </row>
    <row r="59" spans="1:6" ht="15.75" customHeight="1">
      <c r="A59" s="23" t="s">
        <v>342</v>
      </c>
      <c r="B59" s="23">
        <f ca="1">IFERROR(__xludf.dummyfunction("""COMPUTED_VALUE"""),1381)</f>
        <v>1381</v>
      </c>
      <c r="C59" s="23">
        <f ca="1">IFERROR(__xludf.dummyfunction("""COMPUTED_VALUE"""),6)</f>
        <v>6</v>
      </c>
      <c r="D59" s="23"/>
      <c r="E59" s="23"/>
      <c r="F59" s="23"/>
    </row>
    <row r="60" spans="1:6" ht="15.75" customHeight="1">
      <c r="A60" s="23" t="s">
        <v>347</v>
      </c>
      <c r="B60" s="23">
        <f ca="1">IFERROR(__xludf.dummyfunction("""COMPUTED_VALUE"""),1381)</f>
        <v>1381</v>
      </c>
      <c r="C60" s="23">
        <f ca="1">IFERROR(__xludf.dummyfunction("""COMPUTED_VALUE"""),6)</f>
        <v>6</v>
      </c>
      <c r="D60" s="23"/>
      <c r="E60" s="23"/>
      <c r="F60" s="23"/>
    </row>
    <row r="61" spans="1:6" ht="15.75" customHeight="1">
      <c r="A61" s="23" t="s">
        <v>352</v>
      </c>
      <c r="B61" s="23">
        <f ca="1">IFERROR(__xludf.dummyfunction("""COMPUTED_VALUE"""),1381)</f>
        <v>1381</v>
      </c>
      <c r="C61" s="23">
        <f ca="1">IFERROR(__xludf.dummyfunction("""COMPUTED_VALUE"""),6)</f>
        <v>6</v>
      </c>
      <c r="D61" s="23"/>
      <c r="E61" s="23"/>
      <c r="F61" s="23"/>
    </row>
    <row r="62" spans="1:6" ht="15.75" customHeight="1">
      <c r="A62" s="23" t="s">
        <v>358</v>
      </c>
      <c r="B62" s="23">
        <f ca="1">IFERROR(__xludf.dummyfunction("""COMPUTED_VALUE"""),1381)</f>
        <v>1381</v>
      </c>
      <c r="C62" s="23">
        <f ca="1">IFERROR(__xludf.dummyfunction("""COMPUTED_VALUE"""),6)</f>
        <v>6</v>
      </c>
      <c r="D62" s="23"/>
      <c r="E62" s="23"/>
      <c r="F62" s="23"/>
    </row>
    <row r="63" spans="1:6" ht="15.75" customHeight="1">
      <c r="A63" s="23" t="s">
        <v>363</v>
      </c>
      <c r="B63" s="23">
        <f ca="1">IFERROR(__xludf.dummyfunction("""COMPUTED_VALUE"""),1381)</f>
        <v>1381</v>
      </c>
      <c r="C63" s="23">
        <f ca="1">IFERROR(__xludf.dummyfunction("""COMPUTED_VALUE"""),6)</f>
        <v>6</v>
      </c>
      <c r="D63" s="23"/>
      <c r="E63" s="23"/>
      <c r="F63" s="23"/>
    </row>
    <row r="64" spans="1:6" ht="15.75" customHeight="1">
      <c r="A64" s="23" t="s">
        <v>368</v>
      </c>
      <c r="B64" s="23">
        <f ca="1">IFERROR(__xludf.dummyfunction("""COMPUTED_VALUE"""),1381)</f>
        <v>1381</v>
      </c>
      <c r="C64" s="23">
        <f ca="1">IFERROR(__xludf.dummyfunction("""COMPUTED_VALUE"""),6)</f>
        <v>6</v>
      </c>
      <c r="D64" s="23"/>
      <c r="E64" s="23"/>
      <c r="F64" s="23"/>
    </row>
    <row r="65" spans="1:6" ht="15.75" customHeight="1">
      <c r="A65" s="23" t="s">
        <v>373</v>
      </c>
      <c r="B65" s="23">
        <f ca="1">IFERROR(__xludf.dummyfunction("""COMPUTED_VALUE"""),1381)</f>
        <v>1381</v>
      </c>
      <c r="C65" s="23">
        <f ca="1">IFERROR(__xludf.dummyfunction("""COMPUTED_VALUE"""),5)</f>
        <v>5</v>
      </c>
      <c r="D65" s="23"/>
      <c r="E65" s="23"/>
      <c r="F65" s="23"/>
    </row>
    <row r="66" spans="1:6" ht="15.75" customHeight="1">
      <c r="A66" s="23" t="s">
        <v>378</v>
      </c>
      <c r="B66" s="23">
        <f ca="1">IFERROR(__xludf.dummyfunction("""COMPUTED_VALUE"""),1381)</f>
        <v>1381</v>
      </c>
      <c r="C66" s="23">
        <f ca="1">IFERROR(__xludf.dummyfunction("""COMPUTED_VALUE"""),6)</f>
        <v>6</v>
      </c>
      <c r="D66" s="23"/>
      <c r="E66" s="23"/>
      <c r="F66" s="23"/>
    </row>
    <row r="67" spans="1:6" ht="15.75" customHeight="1">
      <c r="A67" s="23" t="s">
        <v>383</v>
      </c>
      <c r="B67" s="23">
        <f ca="1">IFERROR(__xludf.dummyfunction("""COMPUTED_VALUE"""),1381)</f>
        <v>1381</v>
      </c>
      <c r="C67" s="23">
        <f ca="1">IFERROR(__xludf.dummyfunction("""COMPUTED_VALUE"""),4)</f>
        <v>4</v>
      </c>
      <c r="D67" s="23"/>
      <c r="E67" s="23"/>
      <c r="F67" s="23"/>
    </row>
    <row r="68" spans="1:6" ht="15.75" customHeight="1">
      <c r="A68" s="23" t="s">
        <v>388</v>
      </c>
      <c r="B68" s="23">
        <f ca="1">IFERROR(__xludf.dummyfunction("""COMPUTED_VALUE"""),1381)</f>
        <v>1381</v>
      </c>
      <c r="C68" s="23">
        <f ca="1">IFERROR(__xludf.dummyfunction("""COMPUTED_VALUE"""),6)</f>
        <v>6</v>
      </c>
      <c r="D68" s="23"/>
      <c r="E68" s="23"/>
      <c r="F68" s="23"/>
    </row>
    <row r="69" spans="1:6" ht="15.75" customHeight="1">
      <c r="A69" s="23" t="s">
        <v>393</v>
      </c>
      <c r="B69" s="23">
        <f ca="1">IFERROR(__xludf.dummyfunction("""COMPUTED_VALUE"""),1381)</f>
        <v>1381</v>
      </c>
      <c r="C69" s="23">
        <f ca="1">IFERROR(__xludf.dummyfunction("""COMPUTED_VALUE"""),4)</f>
        <v>4</v>
      </c>
      <c r="D69" s="23"/>
      <c r="E69" s="23"/>
      <c r="F69" s="23"/>
    </row>
    <row r="70" spans="1:6" ht="15.75" customHeight="1">
      <c r="A70" s="23" t="s">
        <v>398</v>
      </c>
      <c r="B70" s="23">
        <f ca="1">IFERROR(__xludf.dummyfunction("""COMPUTED_VALUE"""),1381)</f>
        <v>1381</v>
      </c>
      <c r="C70" s="23">
        <f ca="1">IFERROR(__xludf.dummyfunction("""COMPUTED_VALUE"""),6)</f>
        <v>6</v>
      </c>
      <c r="D70" s="23"/>
      <c r="E70" s="23"/>
      <c r="F70" s="23"/>
    </row>
    <row r="71" spans="1:6" ht="15.75" customHeight="1">
      <c r="A71" s="23" t="s">
        <v>403</v>
      </c>
      <c r="B71" s="23">
        <f ca="1">IFERROR(__xludf.dummyfunction("""COMPUTED_VALUE"""),1381)</f>
        <v>1381</v>
      </c>
      <c r="C71" s="23">
        <f ca="1">IFERROR(__xludf.dummyfunction("""COMPUTED_VALUE"""),6)</f>
        <v>6</v>
      </c>
      <c r="D71" s="23"/>
      <c r="E71" s="23"/>
      <c r="F71" s="23"/>
    </row>
    <row r="72" spans="1:6" ht="15.75" customHeight="1">
      <c r="A72" s="23" t="s">
        <v>408</v>
      </c>
      <c r="B72" s="23">
        <f ca="1">IFERROR(__xludf.dummyfunction("""COMPUTED_VALUE"""),1381)</f>
        <v>1381</v>
      </c>
      <c r="C72" s="23">
        <f ca="1">IFERROR(__xludf.dummyfunction("""COMPUTED_VALUE"""),6)</f>
        <v>6</v>
      </c>
      <c r="D72" s="23"/>
      <c r="E72" s="23"/>
      <c r="F72" s="23"/>
    </row>
    <row r="73" spans="1:6" ht="15.75" customHeight="1">
      <c r="A73" s="23" t="s">
        <v>413</v>
      </c>
      <c r="B73" s="23">
        <f ca="1">IFERROR(__xludf.dummyfunction("""COMPUTED_VALUE"""),1381)</f>
        <v>1381</v>
      </c>
      <c r="C73" s="23">
        <f ca="1">IFERROR(__xludf.dummyfunction("""COMPUTED_VALUE"""),0)</f>
        <v>0</v>
      </c>
      <c r="D73" s="23"/>
      <c r="E73" s="23"/>
      <c r="F73" s="23"/>
    </row>
    <row r="74" spans="1:6" ht="15.75" customHeight="1">
      <c r="A74" s="23" t="s">
        <v>418</v>
      </c>
      <c r="B74" s="23">
        <f ca="1">IFERROR(__xludf.dummyfunction("""COMPUTED_VALUE"""),1384)</f>
        <v>1384</v>
      </c>
      <c r="C74" s="23">
        <f ca="1">IFERROR(__xludf.dummyfunction("""COMPUTED_VALUE"""),0)</f>
        <v>0</v>
      </c>
      <c r="D74" s="23"/>
      <c r="E74" s="23"/>
      <c r="F74" s="23"/>
    </row>
    <row r="75" spans="1:6" ht="15.75" customHeight="1">
      <c r="A75" s="23" t="s">
        <v>423</v>
      </c>
      <c r="B75" s="23">
        <f ca="1">IFERROR(__xludf.dummyfunction("""COMPUTED_VALUE"""),1384)</f>
        <v>1384</v>
      </c>
      <c r="C75" s="23">
        <f ca="1">IFERROR(__xludf.dummyfunction("""COMPUTED_VALUE"""),0)</f>
        <v>0</v>
      </c>
      <c r="D75" s="23"/>
      <c r="E75" s="23"/>
      <c r="F75" s="23"/>
    </row>
    <row r="76" spans="1:6" ht="15.75" customHeight="1">
      <c r="A76" s="23" t="s">
        <v>428</v>
      </c>
      <c r="B76" s="23">
        <f ca="1">IFERROR(__xludf.dummyfunction("""COMPUTED_VALUE"""),1384)</f>
        <v>1384</v>
      </c>
      <c r="C76" s="23">
        <f ca="1">IFERROR(__xludf.dummyfunction("""COMPUTED_VALUE"""),6)</f>
        <v>6</v>
      </c>
      <c r="D76" s="23"/>
      <c r="E76" s="23"/>
      <c r="F76" s="23"/>
    </row>
    <row r="77" spans="1:6" ht="15.75" customHeight="1">
      <c r="A77" s="23" t="s">
        <v>432</v>
      </c>
      <c r="B77" s="23">
        <f ca="1">IFERROR(__xludf.dummyfunction("""COMPUTED_VALUE"""),1384)</f>
        <v>1384</v>
      </c>
      <c r="C77" s="23">
        <f ca="1">IFERROR(__xludf.dummyfunction("""COMPUTED_VALUE"""),6)</f>
        <v>6</v>
      </c>
      <c r="D77" s="23"/>
      <c r="E77" s="23"/>
      <c r="F77" s="23"/>
    </row>
    <row r="78" spans="1:6" ht="15.75" customHeight="1">
      <c r="A78" s="23" t="s">
        <v>436</v>
      </c>
      <c r="B78" s="23">
        <f ca="1">IFERROR(__xludf.dummyfunction("""COMPUTED_VALUE"""),1384)</f>
        <v>1384</v>
      </c>
      <c r="C78" s="23">
        <f ca="1">IFERROR(__xludf.dummyfunction("""COMPUTED_VALUE"""),6)</f>
        <v>6</v>
      </c>
      <c r="D78" s="23"/>
      <c r="E78" s="23"/>
      <c r="F78" s="23"/>
    </row>
    <row r="79" spans="1:6" ht="15.75" customHeight="1">
      <c r="A79" s="23" t="s">
        <v>442</v>
      </c>
      <c r="B79" s="23">
        <f ca="1">IFERROR(__xludf.dummyfunction("""COMPUTED_VALUE"""),1384)</f>
        <v>1384</v>
      </c>
      <c r="C79" s="23">
        <f ca="1">IFERROR(__xludf.dummyfunction("""COMPUTED_VALUE"""),6)</f>
        <v>6</v>
      </c>
      <c r="D79" s="23"/>
      <c r="E79" s="23"/>
      <c r="F79" s="23"/>
    </row>
    <row r="80" spans="1:6" ht="15.75" customHeight="1">
      <c r="A80" s="23" t="s">
        <v>447</v>
      </c>
      <c r="B80" s="23">
        <f ca="1">IFERROR(__xludf.dummyfunction("""COMPUTED_VALUE"""),1384)</f>
        <v>1384</v>
      </c>
      <c r="C80" s="23">
        <f ca="1">IFERROR(__xludf.dummyfunction("""COMPUTED_VALUE"""),6)</f>
        <v>6</v>
      </c>
      <c r="D80" s="23"/>
      <c r="E80" s="23"/>
      <c r="F80" s="23"/>
    </row>
    <row r="81" spans="1:6" ht="15.75" customHeight="1">
      <c r="A81" s="23" t="s">
        <v>452</v>
      </c>
      <c r="B81" s="23">
        <f ca="1">IFERROR(__xludf.dummyfunction("""COMPUTED_VALUE"""),1384)</f>
        <v>1384</v>
      </c>
      <c r="C81" s="23">
        <f ca="1">IFERROR(__xludf.dummyfunction("""COMPUTED_VALUE"""),6)</f>
        <v>6</v>
      </c>
      <c r="D81" s="23"/>
      <c r="E81" s="23"/>
      <c r="F81" s="23"/>
    </row>
    <row r="82" spans="1:6" ht="15.75" customHeight="1">
      <c r="A82" s="23" t="s">
        <v>457</v>
      </c>
      <c r="B82" s="23">
        <f ca="1">IFERROR(__xludf.dummyfunction("""COMPUTED_VALUE"""),1384)</f>
        <v>1384</v>
      </c>
      <c r="C82" s="23">
        <f ca="1">IFERROR(__xludf.dummyfunction("""COMPUTED_VALUE"""),6)</f>
        <v>6</v>
      </c>
      <c r="D82" s="23"/>
      <c r="E82" s="23"/>
      <c r="F82" s="23"/>
    </row>
    <row r="83" spans="1:6" ht="15.75" customHeight="1">
      <c r="A83" s="23" t="s">
        <v>463</v>
      </c>
      <c r="B83" s="23">
        <f ca="1">IFERROR(__xludf.dummyfunction("""COMPUTED_VALUE"""),1384)</f>
        <v>1384</v>
      </c>
      <c r="C83" s="23">
        <f ca="1">IFERROR(__xludf.dummyfunction("""COMPUTED_VALUE"""),6)</f>
        <v>6</v>
      </c>
      <c r="D83" s="23"/>
      <c r="E83" s="23"/>
      <c r="F83" s="23"/>
    </row>
    <row r="84" spans="1:6" ht="15.75" customHeight="1">
      <c r="A84" s="23" t="s">
        <v>468</v>
      </c>
      <c r="B84" s="23">
        <f ca="1">IFERROR(__xludf.dummyfunction("""COMPUTED_VALUE"""),1384)</f>
        <v>1384</v>
      </c>
      <c r="C84" s="23">
        <f ca="1">IFERROR(__xludf.dummyfunction("""COMPUTED_VALUE"""),6)</f>
        <v>6</v>
      </c>
      <c r="D84" s="23"/>
      <c r="E84" s="23"/>
      <c r="F84" s="23"/>
    </row>
    <row r="85" spans="1:6" ht="15.75" customHeight="1">
      <c r="A85" s="23" t="s">
        <v>473</v>
      </c>
      <c r="B85" s="23">
        <f ca="1">IFERROR(__xludf.dummyfunction("""COMPUTED_VALUE"""),1384)</f>
        <v>1384</v>
      </c>
      <c r="C85" s="23">
        <f ca="1">IFERROR(__xludf.dummyfunction("""COMPUTED_VALUE"""),6)</f>
        <v>6</v>
      </c>
      <c r="D85" s="23"/>
      <c r="E85" s="23"/>
      <c r="F85" s="23"/>
    </row>
    <row r="86" spans="1:6" ht="15.75" customHeight="1">
      <c r="A86" s="23" t="s">
        <v>479</v>
      </c>
      <c r="B86" s="23">
        <f ca="1">IFERROR(__xludf.dummyfunction("""COMPUTED_VALUE"""),1384)</f>
        <v>1384</v>
      </c>
      <c r="C86" s="23">
        <f ca="1">IFERROR(__xludf.dummyfunction("""COMPUTED_VALUE"""),6)</f>
        <v>6</v>
      </c>
      <c r="D86" s="23"/>
      <c r="E86" s="23"/>
      <c r="F86" s="23"/>
    </row>
    <row r="87" spans="1:6" ht="15.75" customHeight="1">
      <c r="A87" s="23" t="s">
        <v>484</v>
      </c>
      <c r="B87" s="23">
        <f ca="1">IFERROR(__xludf.dummyfunction("""COMPUTED_VALUE"""),1384)</f>
        <v>1384</v>
      </c>
      <c r="C87" s="23">
        <f ca="1">IFERROR(__xludf.dummyfunction("""COMPUTED_VALUE"""),6)</f>
        <v>6</v>
      </c>
      <c r="D87" s="23"/>
      <c r="E87" s="23"/>
      <c r="F87" s="23"/>
    </row>
    <row r="88" spans="1:6" ht="15.75" customHeight="1">
      <c r="A88" s="23" t="s">
        <v>490</v>
      </c>
      <c r="B88" s="23">
        <f ca="1">IFERROR(__xludf.dummyfunction("""COMPUTED_VALUE"""),1384)</f>
        <v>1384</v>
      </c>
      <c r="C88" s="23">
        <f ca="1">IFERROR(__xludf.dummyfunction("""COMPUTED_VALUE"""),6)</f>
        <v>6</v>
      </c>
      <c r="D88" s="23"/>
      <c r="E88" s="23"/>
      <c r="F88" s="23"/>
    </row>
    <row r="89" spans="1:6" ht="15.75" customHeight="1">
      <c r="A89" s="23" t="s">
        <v>494</v>
      </c>
      <c r="B89" s="23">
        <f ca="1">IFERROR(__xludf.dummyfunction("""COMPUTED_VALUE"""),1384)</f>
        <v>1384</v>
      </c>
      <c r="C89" s="23">
        <f ca="1">IFERROR(__xludf.dummyfunction("""COMPUTED_VALUE"""),6)</f>
        <v>6</v>
      </c>
      <c r="D89" s="23"/>
      <c r="E89" s="23"/>
      <c r="F89" s="23"/>
    </row>
    <row r="90" spans="1:6" ht="15.75" customHeight="1">
      <c r="A90" s="23" t="s">
        <v>499</v>
      </c>
      <c r="B90" s="23">
        <f ca="1">IFERROR(__xludf.dummyfunction("""COMPUTED_VALUE"""),1384)</f>
        <v>1384</v>
      </c>
      <c r="C90" s="23">
        <f ca="1">IFERROR(__xludf.dummyfunction("""COMPUTED_VALUE"""),6)</f>
        <v>6</v>
      </c>
      <c r="D90" s="23"/>
      <c r="E90" s="23"/>
      <c r="F90" s="23"/>
    </row>
    <row r="91" spans="1:6" ht="15.75" customHeight="1">
      <c r="A91" s="23" t="s">
        <v>505</v>
      </c>
      <c r="B91" s="23">
        <f ca="1">IFERROR(__xludf.dummyfunction("""COMPUTED_VALUE"""),1384)</f>
        <v>1384</v>
      </c>
      <c r="C91" s="23">
        <f ca="1">IFERROR(__xludf.dummyfunction("""COMPUTED_VALUE"""),6)</f>
        <v>6</v>
      </c>
      <c r="D91" s="23"/>
      <c r="E91" s="23"/>
      <c r="F91" s="23"/>
    </row>
    <row r="92" spans="1:6" ht="15.75" customHeight="1">
      <c r="A92" s="23" t="s">
        <v>510</v>
      </c>
      <c r="B92" s="23">
        <f ca="1">IFERROR(__xludf.dummyfunction("""COMPUTED_VALUE"""),1384)</f>
        <v>1384</v>
      </c>
      <c r="C92" s="23">
        <f ca="1">IFERROR(__xludf.dummyfunction("""COMPUTED_VALUE"""),6)</f>
        <v>6</v>
      </c>
      <c r="D92" s="23"/>
      <c r="E92" s="23"/>
      <c r="F92" s="23"/>
    </row>
    <row r="93" spans="1:6" ht="15.75" customHeight="1">
      <c r="A93" s="23" t="s">
        <v>515</v>
      </c>
      <c r="B93" s="23">
        <f ca="1">IFERROR(__xludf.dummyfunction("""COMPUTED_VALUE"""),1384)</f>
        <v>1384</v>
      </c>
      <c r="C93" s="23">
        <f ca="1">IFERROR(__xludf.dummyfunction("""COMPUTED_VALUE"""),6)</f>
        <v>6</v>
      </c>
      <c r="D93" s="23"/>
      <c r="E93" s="23"/>
      <c r="F93" s="23"/>
    </row>
    <row r="94" spans="1:6" ht="15.75" customHeight="1">
      <c r="A94" s="23" t="s">
        <v>520</v>
      </c>
      <c r="B94" s="23">
        <f ca="1">IFERROR(__xludf.dummyfunction("""COMPUTED_VALUE"""),1384)</f>
        <v>1384</v>
      </c>
      <c r="C94" s="23">
        <f ca="1">IFERROR(__xludf.dummyfunction("""COMPUTED_VALUE"""),6)</f>
        <v>6</v>
      </c>
      <c r="D94" s="23"/>
      <c r="E94" s="23"/>
      <c r="F94" s="23"/>
    </row>
    <row r="95" spans="1:6" ht="15.75" customHeight="1">
      <c r="A95" s="23" t="s">
        <v>524</v>
      </c>
      <c r="B95" s="23">
        <f ca="1">IFERROR(__xludf.dummyfunction("""COMPUTED_VALUE"""),1384)</f>
        <v>1384</v>
      </c>
      <c r="C95" s="23">
        <f ca="1">IFERROR(__xludf.dummyfunction("""COMPUTED_VALUE"""),6)</f>
        <v>6</v>
      </c>
      <c r="D95" s="23"/>
      <c r="E95" s="23"/>
      <c r="F95" s="23"/>
    </row>
    <row r="96" spans="1:6" ht="15.75" customHeight="1">
      <c r="A96" s="23" t="s">
        <v>529</v>
      </c>
      <c r="B96" s="23">
        <f ca="1">IFERROR(__xludf.dummyfunction("""COMPUTED_VALUE"""),1384)</f>
        <v>1384</v>
      </c>
      <c r="C96" s="23">
        <f ca="1">IFERROR(__xludf.dummyfunction("""COMPUTED_VALUE"""),0)</f>
        <v>0</v>
      </c>
      <c r="D96" s="23"/>
      <c r="E96" s="23"/>
      <c r="F96" s="23"/>
    </row>
    <row r="97" spans="1:6" ht="15.75" customHeight="1">
      <c r="A97" s="23" t="s">
        <v>533</v>
      </c>
      <c r="B97" s="23">
        <f ca="1">IFERROR(__xludf.dummyfunction("""COMPUTED_VALUE"""),9303)</f>
        <v>9303</v>
      </c>
      <c r="C97" s="23">
        <f ca="1">IFERROR(__xludf.dummyfunction("""COMPUTED_VALUE"""),0)</f>
        <v>0</v>
      </c>
      <c r="D97" s="23"/>
      <c r="E97" s="23"/>
      <c r="F97" s="23"/>
    </row>
    <row r="98" spans="1:6" ht="15.75" customHeight="1">
      <c r="A98" s="23" t="s">
        <v>540</v>
      </c>
      <c r="B98" s="23">
        <f ca="1">IFERROR(__xludf.dummyfunction("""COMPUTED_VALUE"""),9303)</f>
        <v>9303</v>
      </c>
      <c r="C98" s="23">
        <f ca="1">IFERROR(__xludf.dummyfunction("""COMPUTED_VALUE"""),6)</f>
        <v>6</v>
      </c>
      <c r="D98" s="23"/>
      <c r="E98" s="23"/>
      <c r="F98" s="23"/>
    </row>
    <row r="99" spans="1:6" ht="15.75" customHeight="1">
      <c r="A99" s="23" t="s">
        <v>546</v>
      </c>
      <c r="B99" s="23">
        <f ca="1">IFERROR(__xludf.dummyfunction("""COMPUTED_VALUE"""),9303)</f>
        <v>9303</v>
      </c>
      <c r="C99" s="23">
        <f ca="1">IFERROR(__xludf.dummyfunction("""COMPUTED_VALUE"""),6)</f>
        <v>6</v>
      </c>
      <c r="D99" s="23"/>
      <c r="E99" s="23"/>
      <c r="F99" s="23"/>
    </row>
    <row r="100" spans="1:6" ht="15.75" customHeight="1">
      <c r="A100" s="23" t="s">
        <v>553</v>
      </c>
      <c r="B100" s="23">
        <f ca="1">IFERROR(__xludf.dummyfunction("""COMPUTED_VALUE"""),9303)</f>
        <v>9303</v>
      </c>
      <c r="C100" s="23">
        <f ca="1">IFERROR(__xludf.dummyfunction("""COMPUTED_VALUE"""),0)</f>
        <v>0</v>
      </c>
      <c r="D100" s="23"/>
      <c r="E100" s="23"/>
      <c r="F100" s="23"/>
    </row>
    <row r="101" spans="1:6" ht="15.75" customHeight="1">
      <c r="A101" s="23" t="s">
        <v>558</v>
      </c>
      <c r="B101" s="23">
        <f ca="1">IFERROR(__xludf.dummyfunction("""COMPUTED_VALUE"""),9303)</f>
        <v>9303</v>
      </c>
      <c r="C101" s="23">
        <f ca="1">IFERROR(__xludf.dummyfunction("""COMPUTED_VALUE"""),0)</f>
        <v>0</v>
      </c>
      <c r="D101" s="23"/>
      <c r="E101" s="23"/>
      <c r="F101" s="23"/>
    </row>
    <row r="102" spans="1:6" ht="15.75" customHeight="1">
      <c r="A102" s="23" t="s">
        <v>566</v>
      </c>
      <c r="B102" s="23">
        <f ca="1">IFERROR(__xludf.dummyfunction("""COMPUTED_VALUE"""),9303)</f>
        <v>9303</v>
      </c>
      <c r="C102" s="23">
        <f ca="1">IFERROR(__xludf.dummyfunction("""COMPUTED_VALUE"""),6)</f>
        <v>6</v>
      </c>
      <c r="D102" s="23"/>
      <c r="E102" s="23"/>
      <c r="F102" s="23"/>
    </row>
    <row r="103" spans="1:6" ht="15.75" customHeight="1">
      <c r="A103" s="23" t="s">
        <v>571</v>
      </c>
      <c r="B103" s="23">
        <f ca="1">IFERROR(__xludf.dummyfunction("""COMPUTED_VALUE"""),9303)</f>
        <v>9303</v>
      </c>
      <c r="C103" s="23">
        <f ca="1">IFERROR(__xludf.dummyfunction("""COMPUTED_VALUE"""),6)</f>
        <v>6</v>
      </c>
      <c r="D103" s="23"/>
      <c r="E103" s="23"/>
      <c r="F103" s="23"/>
    </row>
    <row r="104" spans="1:6" ht="15.75" customHeight="1">
      <c r="A104" s="23" t="s">
        <v>579</v>
      </c>
      <c r="B104" s="23">
        <f ca="1">IFERROR(__xludf.dummyfunction("""COMPUTED_VALUE"""),9303)</f>
        <v>9303</v>
      </c>
      <c r="C104" s="23">
        <f ca="1">IFERROR(__xludf.dummyfunction("""COMPUTED_VALUE"""),0)</f>
        <v>0</v>
      </c>
      <c r="D104" s="23"/>
      <c r="E104" s="23"/>
      <c r="F104" s="23"/>
    </row>
    <row r="105" spans="1:6" ht="15.75" customHeight="1">
      <c r="A105" s="23" t="s">
        <v>584</v>
      </c>
      <c r="B105" s="23">
        <f ca="1">IFERROR(__xludf.dummyfunction("""COMPUTED_VALUE"""),9303)</f>
        <v>9303</v>
      </c>
      <c r="C105" s="23">
        <f ca="1">IFERROR(__xludf.dummyfunction("""COMPUTED_VALUE"""),6)</f>
        <v>6</v>
      </c>
      <c r="D105" s="23"/>
      <c r="E105" s="23"/>
      <c r="F105" s="23"/>
    </row>
    <row r="106" spans="1:6" ht="15.75" customHeight="1">
      <c r="A106" s="23" t="s">
        <v>592</v>
      </c>
      <c r="B106" s="23">
        <f ca="1">IFERROR(__xludf.dummyfunction("""COMPUTED_VALUE"""),9303)</f>
        <v>9303</v>
      </c>
      <c r="C106" s="23">
        <f ca="1">IFERROR(__xludf.dummyfunction("""COMPUTED_VALUE"""),6)</f>
        <v>6</v>
      </c>
      <c r="D106" s="23"/>
      <c r="E106" s="23"/>
      <c r="F106" s="23"/>
    </row>
    <row r="107" spans="1:6" ht="15.75" customHeight="1">
      <c r="A107" s="23" t="s">
        <v>599</v>
      </c>
      <c r="B107" s="23">
        <f ca="1">IFERROR(__xludf.dummyfunction("""COMPUTED_VALUE"""),9303)</f>
        <v>9303</v>
      </c>
      <c r="C107" s="23">
        <f ca="1">IFERROR(__xludf.dummyfunction("""COMPUTED_VALUE"""),6)</f>
        <v>6</v>
      </c>
      <c r="D107" s="23"/>
      <c r="E107" s="23"/>
      <c r="F107" s="23"/>
    </row>
    <row r="108" spans="1:6" ht="15.75" customHeight="1">
      <c r="A108" s="23" t="s">
        <v>606</v>
      </c>
      <c r="B108" s="23">
        <f ca="1">IFERROR(__xludf.dummyfunction("""COMPUTED_VALUE"""),9303)</f>
        <v>9303</v>
      </c>
      <c r="C108" s="23">
        <f ca="1">IFERROR(__xludf.dummyfunction("""COMPUTED_VALUE"""),0)</f>
        <v>0</v>
      </c>
      <c r="D108" s="23"/>
      <c r="E108" s="23"/>
      <c r="F108" s="23"/>
    </row>
    <row r="109" spans="1:6" ht="15.75" customHeight="1">
      <c r="A109" s="23" t="s">
        <v>610</v>
      </c>
      <c r="B109" s="23">
        <f ca="1">IFERROR(__xludf.dummyfunction("""COMPUTED_VALUE"""),9303)</f>
        <v>9303</v>
      </c>
      <c r="C109" s="23">
        <f ca="1">IFERROR(__xludf.dummyfunction("""COMPUTED_VALUE"""),0)</f>
        <v>0</v>
      </c>
      <c r="D109" s="23"/>
      <c r="E109" s="23"/>
      <c r="F109" s="23"/>
    </row>
    <row r="110" spans="1:6" ht="15.75" customHeight="1">
      <c r="A110" s="23" t="s">
        <v>615</v>
      </c>
      <c r="B110" s="23">
        <f ca="1">IFERROR(__xludf.dummyfunction("""COMPUTED_VALUE"""),9303)</f>
        <v>9303</v>
      </c>
      <c r="C110" s="23">
        <f ca="1">IFERROR(__xludf.dummyfunction("""COMPUTED_VALUE"""),4)</f>
        <v>4</v>
      </c>
      <c r="D110" s="23"/>
      <c r="E110" s="23"/>
      <c r="F110" s="23"/>
    </row>
    <row r="111" spans="1:6" ht="15.75" customHeight="1">
      <c r="A111" s="23" t="s">
        <v>621</v>
      </c>
      <c r="B111" s="23">
        <f ca="1">IFERROR(__xludf.dummyfunction("""COMPUTED_VALUE"""),9303)</f>
        <v>9303</v>
      </c>
      <c r="C111" s="23">
        <f ca="1">IFERROR(__xludf.dummyfunction("""COMPUTED_VALUE"""),0)</f>
        <v>0</v>
      </c>
      <c r="D111" s="23"/>
      <c r="E111" s="23"/>
      <c r="F111" s="23"/>
    </row>
    <row r="112" spans="1:6" ht="15.75" customHeight="1">
      <c r="A112" s="23" t="s">
        <v>626</v>
      </c>
      <c r="B112" s="23">
        <f ca="1">IFERROR(__xludf.dummyfunction("""COMPUTED_VALUE"""),9303)</f>
        <v>9303</v>
      </c>
      <c r="C112" s="23">
        <f ca="1">IFERROR(__xludf.dummyfunction("""COMPUTED_VALUE"""),6)</f>
        <v>6</v>
      </c>
      <c r="D112" s="23"/>
      <c r="E112" s="23"/>
      <c r="F112" s="23"/>
    </row>
    <row r="113" spans="1:6" ht="15.75" customHeight="1">
      <c r="A113" s="23" t="s">
        <v>631</v>
      </c>
      <c r="B113" s="23">
        <f ca="1">IFERROR(__xludf.dummyfunction("""COMPUTED_VALUE"""),9304)</f>
        <v>9304</v>
      </c>
      <c r="C113" s="23">
        <f ca="1">IFERROR(__xludf.dummyfunction("""COMPUTED_VALUE"""),0)</f>
        <v>0</v>
      </c>
      <c r="D113" s="23"/>
      <c r="E113" s="23"/>
      <c r="F113" s="23"/>
    </row>
    <row r="114" spans="1:6" ht="15.75" customHeight="1">
      <c r="A114" s="23" t="s">
        <v>635</v>
      </c>
      <c r="B114" s="23">
        <f ca="1">IFERROR(__xludf.dummyfunction("""COMPUTED_VALUE"""),9304)</f>
        <v>9304</v>
      </c>
      <c r="C114" s="23">
        <f ca="1">IFERROR(__xludf.dummyfunction("""COMPUTED_VALUE"""),4)</f>
        <v>4</v>
      </c>
      <c r="D114" s="23"/>
      <c r="E114" s="23"/>
      <c r="F114" s="23"/>
    </row>
    <row r="115" spans="1:6" ht="15.75" customHeight="1">
      <c r="A115" s="23" t="s">
        <v>640</v>
      </c>
      <c r="B115" s="23">
        <f ca="1">IFERROR(__xludf.dummyfunction("""COMPUTED_VALUE"""),9304)</f>
        <v>9304</v>
      </c>
      <c r="C115" s="23">
        <f ca="1">IFERROR(__xludf.dummyfunction("""COMPUTED_VALUE"""),0)</f>
        <v>0</v>
      </c>
      <c r="D115" s="23"/>
      <c r="E115" s="23"/>
      <c r="F115" s="23"/>
    </row>
    <row r="116" spans="1:6" ht="15.75" customHeight="1">
      <c r="A116" s="23" t="s">
        <v>645</v>
      </c>
      <c r="B116" s="23">
        <f ca="1">IFERROR(__xludf.dummyfunction("""COMPUTED_VALUE"""),9304)</f>
        <v>9304</v>
      </c>
      <c r="C116" s="23">
        <f ca="1">IFERROR(__xludf.dummyfunction("""COMPUTED_VALUE"""),5)</f>
        <v>5</v>
      </c>
      <c r="D116" s="23"/>
      <c r="E116" s="23"/>
      <c r="F116" s="23"/>
    </row>
    <row r="117" spans="1:6" ht="15.75" customHeight="1">
      <c r="A117" s="23" t="s">
        <v>651</v>
      </c>
      <c r="B117" s="23">
        <f ca="1">IFERROR(__xludf.dummyfunction("""COMPUTED_VALUE"""),9304)</f>
        <v>9304</v>
      </c>
      <c r="C117" s="23">
        <f ca="1">IFERROR(__xludf.dummyfunction("""COMPUTED_VALUE"""),5)</f>
        <v>5</v>
      </c>
      <c r="D117" s="23"/>
      <c r="E117" s="23"/>
      <c r="F117" s="23"/>
    </row>
    <row r="118" spans="1:6" ht="15.75" customHeight="1">
      <c r="A118" s="23" t="s">
        <v>659</v>
      </c>
      <c r="B118" s="23">
        <f ca="1">IFERROR(__xludf.dummyfunction("""COMPUTED_VALUE"""),9304)</f>
        <v>9304</v>
      </c>
      <c r="C118" s="23">
        <f ca="1">IFERROR(__xludf.dummyfunction("""COMPUTED_VALUE"""),6)</f>
        <v>6</v>
      </c>
      <c r="D118" s="23"/>
      <c r="E118" s="23"/>
      <c r="F118" s="23"/>
    </row>
    <row r="119" spans="1:6" ht="15.75" customHeight="1">
      <c r="A119" s="23" t="s">
        <v>665</v>
      </c>
      <c r="B119" s="23">
        <f ca="1">IFERROR(__xludf.dummyfunction("""COMPUTED_VALUE"""),9310)</f>
        <v>9310</v>
      </c>
      <c r="C119" s="23">
        <f ca="1">IFERROR(__xludf.dummyfunction("""COMPUTED_VALUE"""),6)</f>
        <v>6</v>
      </c>
      <c r="D119" s="23"/>
      <c r="E119" s="23"/>
      <c r="F119" s="23"/>
    </row>
    <row r="120" spans="1:6" ht="15.75" customHeight="1">
      <c r="A120" s="23" t="s">
        <v>672</v>
      </c>
      <c r="B120" s="23">
        <f ca="1">IFERROR(__xludf.dummyfunction("""COMPUTED_VALUE"""),9310)</f>
        <v>9310</v>
      </c>
      <c r="C120" s="23">
        <f ca="1">IFERROR(__xludf.dummyfunction("""COMPUTED_VALUE"""),5)</f>
        <v>5</v>
      </c>
      <c r="D120" s="23"/>
      <c r="E120" s="23"/>
      <c r="F120" s="23"/>
    </row>
    <row r="121" spans="1:6" ht="15.75" customHeight="1">
      <c r="A121" s="23" t="s">
        <v>677</v>
      </c>
      <c r="B121" s="23">
        <f ca="1">IFERROR(__xludf.dummyfunction("""COMPUTED_VALUE"""),9310)</f>
        <v>9310</v>
      </c>
      <c r="C121" s="23">
        <f ca="1">IFERROR(__xludf.dummyfunction("""COMPUTED_VALUE"""),0)</f>
        <v>0</v>
      </c>
      <c r="D121" s="23"/>
      <c r="E121" s="23"/>
      <c r="F121" s="23"/>
    </row>
    <row r="122" spans="1:6" ht="15.75" customHeight="1">
      <c r="A122" s="23" t="s">
        <v>682</v>
      </c>
      <c r="B122" s="23">
        <f ca="1">IFERROR(__xludf.dummyfunction("""COMPUTED_VALUE"""),9310)</f>
        <v>9310</v>
      </c>
      <c r="C122" s="23">
        <f ca="1">IFERROR(__xludf.dummyfunction("""COMPUTED_VALUE"""),6)</f>
        <v>6</v>
      </c>
      <c r="D122" s="23"/>
      <c r="E122" s="23"/>
      <c r="F122" s="23"/>
    </row>
    <row r="123" spans="1:6" ht="15.75" customHeight="1">
      <c r="A123" s="23" t="s">
        <v>687</v>
      </c>
      <c r="B123" s="23">
        <f ca="1">IFERROR(__xludf.dummyfunction("""COMPUTED_VALUE"""),9310)</f>
        <v>9310</v>
      </c>
      <c r="C123" s="23">
        <f ca="1">IFERROR(__xludf.dummyfunction("""COMPUTED_VALUE"""),0)</f>
        <v>0</v>
      </c>
      <c r="D123" s="23"/>
      <c r="E123" s="23"/>
      <c r="F123" s="23"/>
    </row>
    <row r="124" spans="1:6" ht="15.75" customHeight="1">
      <c r="A124" s="23" t="s">
        <v>691</v>
      </c>
      <c r="B124" s="23">
        <f ca="1">IFERROR(__xludf.dummyfunction("""COMPUTED_VALUE"""),9310)</f>
        <v>9310</v>
      </c>
      <c r="C124" s="23">
        <f ca="1">IFERROR(__xludf.dummyfunction("""COMPUTED_VALUE"""),0)</f>
        <v>0</v>
      </c>
      <c r="D124" s="23"/>
      <c r="E124" s="23"/>
      <c r="F124" s="23"/>
    </row>
    <row r="125" spans="1:6" ht="15.75" customHeight="1">
      <c r="A125" s="23" t="s">
        <v>695</v>
      </c>
      <c r="B125" s="23">
        <f ca="1">IFERROR(__xludf.dummyfunction("""COMPUTED_VALUE"""),9310)</f>
        <v>9310</v>
      </c>
      <c r="C125" s="23">
        <f ca="1">IFERROR(__xludf.dummyfunction("""COMPUTED_VALUE"""),6)</f>
        <v>6</v>
      </c>
      <c r="D125" s="23"/>
      <c r="E125" s="23"/>
      <c r="F125" s="23"/>
    </row>
    <row r="126" spans="1:6" ht="15.75" customHeight="1">
      <c r="A126" s="23" t="s">
        <v>702</v>
      </c>
      <c r="B126" s="23">
        <f ca="1">IFERROR(__xludf.dummyfunction("""COMPUTED_VALUE"""),9310)</f>
        <v>9310</v>
      </c>
      <c r="C126" s="23">
        <f ca="1">IFERROR(__xludf.dummyfunction("""COMPUTED_VALUE"""),6)</f>
        <v>6</v>
      </c>
      <c r="D126" s="23"/>
      <c r="E126" s="23"/>
      <c r="F126" s="23"/>
    </row>
    <row r="127" spans="1:6" ht="15.75" customHeight="1">
      <c r="A127" s="23" t="s">
        <v>707</v>
      </c>
      <c r="B127" s="23">
        <f ca="1">IFERROR(__xludf.dummyfunction("""COMPUTED_VALUE"""),9310)</f>
        <v>9310</v>
      </c>
      <c r="C127" s="23">
        <f ca="1">IFERROR(__xludf.dummyfunction("""COMPUTED_VALUE"""),0)</f>
        <v>0</v>
      </c>
      <c r="D127" s="23"/>
      <c r="E127" s="23"/>
      <c r="F127" s="23"/>
    </row>
    <row r="128" spans="1:6" ht="15.75" customHeight="1">
      <c r="A128" s="23" t="s">
        <v>712</v>
      </c>
      <c r="B128" s="23">
        <f ca="1">IFERROR(__xludf.dummyfunction("""COMPUTED_VALUE"""),9310)</f>
        <v>9310</v>
      </c>
      <c r="C128" s="23">
        <f ca="1">IFERROR(__xludf.dummyfunction("""COMPUTED_VALUE"""),0)</f>
        <v>0</v>
      </c>
      <c r="D128" s="23"/>
      <c r="E128" s="23"/>
      <c r="F128" s="23"/>
    </row>
    <row r="129" spans="1:6" ht="15.75" customHeight="1">
      <c r="A129" s="23" t="s">
        <v>716</v>
      </c>
      <c r="B129" s="23">
        <f ca="1">IFERROR(__xludf.dummyfunction("""COMPUTED_VALUE"""),9310)</f>
        <v>9310</v>
      </c>
      <c r="C129" s="23">
        <f ca="1">IFERROR(__xludf.dummyfunction("""COMPUTED_VALUE"""),0)</f>
        <v>0</v>
      </c>
      <c r="D129" s="23"/>
      <c r="E129" s="23"/>
      <c r="F129" s="23"/>
    </row>
    <row r="130" spans="1:6" ht="15.75" customHeight="1">
      <c r="A130" s="23" t="s">
        <v>721</v>
      </c>
      <c r="B130" s="23">
        <f ca="1">IFERROR(__xludf.dummyfunction("""COMPUTED_VALUE"""),9310)</f>
        <v>9310</v>
      </c>
      <c r="C130" s="23">
        <f ca="1">IFERROR(__xludf.dummyfunction("""COMPUTED_VALUE"""),0)</f>
        <v>0</v>
      </c>
      <c r="D130" s="23"/>
      <c r="E130" s="23"/>
      <c r="F130" s="23"/>
    </row>
    <row r="131" spans="1:6" ht="15.75" customHeight="1">
      <c r="A131" s="23" t="s">
        <v>725</v>
      </c>
      <c r="B131" s="23">
        <f ca="1">IFERROR(__xludf.dummyfunction("""COMPUTED_VALUE"""),9310)</f>
        <v>9310</v>
      </c>
      <c r="C131" s="23">
        <f ca="1">IFERROR(__xludf.dummyfunction("""COMPUTED_VALUE"""),0)</f>
        <v>0</v>
      </c>
      <c r="D131" s="23"/>
      <c r="E131" s="23"/>
      <c r="F131" s="23"/>
    </row>
    <row r="132" spans="1:6" ht="15.75" customHeight="1">
      <c r="A132" s="23" t="s">
        <v>729</v>
      </c>
      <c r="B132" s="23">
        <f ca="1">IFERROR(__xludf.dummyfunction("""COMPUTED_VALUE"""),9310)</f>
        <v>9310</v>
      </c>
      <c r="C132" s="23">
        <f ca="1">IFERROR(__xludf.dummyfunction("""COMPUTED_VALUE"""),6)</f>
        <v>6</v>
      </c>
      <c r="D132" s="23"/>
      <c r="E132" s="23"/>
      <c r="F132" s="23"/>
    </row>
    <row r="133" spans="1:6" ht="15.75" customHeight="1">
      <c r="A133" s="23" t="s">
        <v>736</v>
      </c>
      <c r="B133" s="23">
        <f ca="1">IFERROR(__xludf.dummyfunction("""COMPUTED_VALUE"""),9310)</f>
        <v>9310</v>
      </c>
      <c r="C133" s="23">
        <f ca="1">IFERROR(__xludf.dummyfunction("""COMPUTED_VALUE"""),5)</f>
        <v>5</v>
      </c>
      <c r="D133" s="23"/>
      <c r="E133" s="23"/>
      <c r="F133" s="23"/>
    </row>
    <row r="134" spans="1:6" ht="15.75" customHeight="1">
      <c r="A134" s="23" t="s">
        <v>742</v>
      </c>
      <c r="B134" s="23">
        <f ca="1">IFERROR(__xludf.dummyfunction("""COMPUTED_VALUE"""),9310)</f>
        <v>9310</v>
      </c>
      <c r="C134" s="23">
        <f ca="1">IFERROR(__xludf.dummyfunction("""COMPUTED_VALUE"""),3)</f>
        <v>3</v>
      </c>
      <c r="D134" s="23"/>
      <c r="E134" s="23"/>
      <c r="F134" s="23"/>
    </row>
    <row r="135" spans="1:6" ht="15.75" customHeight="1">
      <c r="A135" s="23" t="s">
        <v>748</v>
      </c>
      <c r="B135" s="23">
        <f ca="1">IFERROR(__xludf.dummyfunction("""COMPUTED_VALUE"""),9310)</f>
        <v>9310</v>
      </c>
      <c r="C135" s="23">
        <f ca="1">IFERROR(__xludf.dummyfunction("""COMPUTED_VALUE"""),6)</f>
        <v>6</v>
      </c>
      <c r="D135" s="23"/>
      <c r="E135" s="23"/>
      <c r="F135" s="23"/>
    </row>
    <row r="136" spans="1:6" ht="15.75" customHeight="1">
      <c r="A136" s="23" t="s">
        <v>754</v>
      </c>
      <c r="B136" s="23">
        <f ca="1">IFERROR(__xludf.dummyfunction("""COMPUTED_VALUE"""),9310)</f>
        <v>9310</v>
      </c>
      <c r="C136" s="23">
        <f ca="1">IFERROR(__xludf.dummyfunction("""COMPUTED_VALUE"""),0)</f>
        <v>0</v>
      </c>
      <c r="D136" s="23"/>
      <c r="E136" s="23"/>
      <c r="F136" s="23"/>
    </row>
    <row r="137" spans="1:6" ht="15.75" customHeight="1">
      <c r="A137" s="23"/>
      <c r="B137" s="23"/>
      <c r="C137" s="23"/>
      <c r="D137" s="23"/>
      <c r="E137" s="23"/>
      <c r="F137" s="23"/>
    </row>
    <row r="138" spans="1:6" ht="15.75" customHeight="1">
      <c r="A138" s="23"/>
      <c r="B138" s="23"/>
      <c r="C138" s="23"/>
      <c r="D138" s="23"/>
      <c r="E138" s="23"/>
      <c r="F138" s="23"/>
    </row>
    <row r="139" spans="1:6" ht="15.75" customHeight="1">
      <c r="A139" s="23"/>
      <c r="B139" s="23"/>
      <c r="C139" s="23"/>
      <c r="D139" s="23"/>
      <c r="E139" s="23"/>
      <c r="F139" s="23"/>
    </row>
    <row r="140" spans="1:6" ht="15.75" customHeight="1">
      <c r="A140" s="23"/>
      <c r="B140" s="23"/>
      <c r="C140" s="23"/>
      <c r="D140" s="23"/>
      <c r="E140" s="23"/>
      <c r="F140" s="23"/>
    </row>
    <row r="141" spans="1:6" ht="15.75" customHeight="1">
      <c r="A141" s="23"/>
      <c r="B141" s="23"/>
      <c r="C141" s="23"/>
      <c r="D141" s="23"/>
      <c r="E141" s="23"/>
      <c r="F141" s="23"/>
    </row>
    <row r="142" spans="1:6" ht="15.75" customHeight="1">
      <c r="A142" s="23"/>
      <c r="B142" s="23"/>
      <c r="C142" s="23"/>
      <c r="D142" s="23"/>
      <c r="E142" s="23"/>
      <c r="F142" s="23"/>
    </row>
    <row r="143" spans="1:6" ht="15.75" customHeight="1">
      <c r="A143" s="23"/>
      <c r="B143" s="23"/>
      <c r="C143" s="23"/>
      <c r="D143" s="23"/>
      <c r="E143" s="23"/>
      <c r="F143" s="23"/>
    </row>
    <row r="144" spans="1:6" ht="15.75" customHeight="1">
      <c r="A144" s="23"/>
      <c r="B144" s="23"/>
      <c r="C144" s="23"/>
      <c r="D144" s="23"/>
      <c r="E144" s="23"/>
      <c r="F144" s="23"/>
    </row>
    <row r="145" spans="1:6" ht="15.75" customHeight="1">
      <c r="A145" s="23"/>
      <c r="B145" s="23"/>
      <c r="C145" s="23"/>
      <c r="D145" s="23"/>
      <c r="E145" s="23"/>
      <c r="F145" s="23"/>
    </row>
    <row r="146" spans="1:6" ht="15.75" customHeight="1">
      <c r="A146" s="23"/>
      <c r="B146" s="23"/>
      <c r="C146" s="23"/>
      <c r="D146" s="23"/>
      <c r="E146" s="23"/>
      <c r="F146" s="23"/>
    </row>
    <row r="147" spans="1:6" ht="15.75" customHeight="1">
      <c r="A147" s="23"/>
      <c r="B147" s="23"/>
      <c r="C147" s="23"/>
      <c r="D147" s="23"/>
      <c r="E147" s="23"/>
      <c r="F147" s="23"/>
    </row>
    <row r="148" spans="1:6" ht="15.75" customHeight="1">
      <c r="A148" s="23"/>
      <c r="B148" s="23"/>
      <c r="C148" s="23"/>
      <c r="D148" s="23"/>
      <c r="E148" s="23"/>
      <c r="F148" s="23"/>
    </row>
    <row r="149" spans="1:6" ht="15.75" customHeight="1">
      <c r="A149" s="23"/>
      <c r="B149" s="23"/>
      <c r="C149" s="23"/>
      <c r="D149" s="23"/>
      <c r="E149" s="23"/>
      <c r="F149" s="23"/>
    </row>
    <row r="150" spans="1:6" ht="15.75" customHeight="1">
      <c r="A150" s="23"/>
      <c r="B150" s="23"/>
      <c r="C150" s="23"/>
      <c r="D150" s="23"/>
      <c r="E150" s="23"/>
      <c r="F150" s="23"/>
    </row>
    <row r="151" spans="1:6" ht="15.75" customHeight="1">
      <c r="A151" s="23"/>
      <c r="B151" s="23"/>
      <c r="C151" s="23"/>
      <c r="D151" s="23"/>
      <c r="E151" s="23"/>
      <c r="F151" s="23"/>
    </row>
    <row r="152" spans="1:6" ht="15.75" customHeight="1">
      <c r="A152" s="23"/>
      <c r="B152" s="23"/>
      <c r="C152" s="23"/>
      <c r="D152" s="23"/>
      <c r="E152" s="23"/>
      <c r="F152" s="23"/>
    </row>
    <row r="153" spans="1:6" ht="15.75" customHeight="1">
      <c r="A153" s="23"/>
      <c r="B153" s="23"/>
      <c r="C153" s="23"/>
      <c r="D153" s="23"/>
      <c r="E153" s="23"/>
      <c r="F153" s="23"/>
    </row>
    <row r="154" spans="1:6" ht="15.75" customHeight="1">
      <c r="A154" s="23"/>
      <c r="B154" s="23"/>
      <c r="C154" s="23"/>
      <c r="D154" s="23"/>
      <c r="E154" s="23"/>
      <c r="F154" s="23"/>
    </row>
    <row r="155" spans="1:6" ht="15.75" customHeight="1">
      <c r="A155" s="23"/>
      <c r="B155" s="23"/>
      <c r="C155" s="23"/>
      <c r="D155" s="23"/>
      <c r="E155" s="23"/>
      <c r="F155" s="23"/>
    </row>
    <row r="156" spans="1:6" ht="15.75" customHeight="1">
      <c r="A156" s="23"/>
      <c r="B156" s="23"/>
      <c r="C156" s="23"/>
      <c r="D156" s="23"/>
      <c r="E156" s="23"/>
      <c r="F156" s="23"/>
    </row>
    <row r="157" spans="1:6" ht="15.75" customHeight="1">
      <c r="A157" s="23"/>
      <c r="B157" s="23"/>
      <c r="C157" s="23"/>
      <c r="D157" s="23"/>
      <c r="E157" s="23"/>
      <c r="F157" s="23"/>
    </row>
    <row r="158" spans="1:6" ht="15.75" customHeight="1">
      <c r="A158" s="23"/>
      <c r="B158" s="23"/>
      <c r="C158" s="23"/>
      <c r="D158" s="23"/>
      <c r="E158" s="23"/>
      <c r="F158" s="23"/>
    </row>
    <row r="159" spans="1:6" ht="15.75" customHeight="1">
      <c r="A159" s="23"/>
      <c r="B159" s="23"/>
      <c r="C159" s="23"/>
      <c r="D159" s="23"/>
      <c r="E159" s="23"/>
      <c r="F159" s="23"/>
    </row>
    <row r="160" spans="1:6" ht="15.75" customHeight="1">
      <c r="A160" s="23"/>
      <c r="B160" s="23"/>
      <c r="C160" s="23"/>
      <c r="D160" s="23"/>
      <c r="E160" s="23"/>
      <c r="F160" s="23"/>
    </row>
    <row r="161" spans="1:6" ht="15.75" customHeight="1">
      <c r="A161" s="23"/>
      <c r="B161" s="23"/>
      <c r="C161" s="23"/>
      <c r="D161" s="23"/>
      <c r="E161" s="23"/>
      <c r="F161" s="23"/>
    </row>
    <row r="162" spans="1:6" ht="15.75" customHeight="1">
      <c r="A162" s="23"/>
      <c r="B162" s="23"/>
      <c r="C162" s="23"/>
      <c r="D162" s="23"/>
      <c r="E162" s="23"/>
      <c r="F162" s="23"/>
    </row>
    <row r="163" spans="1:6" ht="15.75" customHeight="1">
      <c r="A163" s="23"/>
      <c r="B163" s="23"/>
      <c r="C163" s="23"/>
      <c r="D163" s="23"/>
      <c r="E163" s="23"/>
      <c r="F163" s="23"/>
    </row>
    <row r="164" spans="1:6" ht="15.75" customHeight="1">
      <c r="A164" s="23"/>
      <c r="B164" s="23"/>
      <c r="C164" s="23"/>
      <c r="D164" s="23"/>
      <c r="E164" s="23"/>
      <c r="F164" s="23"/>
    </row>
    <row r="165" spans="1:6" ht="15.75" customHeight="1">
      <c r="A165" s="23"/>
      <c r="B165" s="23"/>
      <c r="C165" s="23"/>
      <c r="D165" s="23"/>
      <c r="E165" s="23"/>
      <c r="F165" s="23"/>
    </row>
    <row r="166" spans="1:6" ht="15.75" customHeight="1">
      <c r="A166" s="23"/>
      <c r="B166" s="23"/>
      <c r="C166" s="23"/>
      <c r="D166" s="23"/>
      <c r="E166" s="23"/>
      <c r="F166" s="23"/>
    </row>
    <row r="167" spans="1:6" ht="15.75" customHeight="1">
      <c r="A167" s="23"/>
      <c r="B167" s="23"/>
      <c r="C167" s="23"/>
      <c r="D167" s="23"/>
      <c r="E167" s="23"/>
      <c r="F167" s="23"/>
    </row>
    <row r="168" spans="1:6" ht="15.75" customHeight="1">
      <c r="A168" s="23"/>
      <c r="B168" s="23"/>
      <c r="C168" s="23"/>
      <c r="D168" s="23"/>
      <c r="E168" s="23"/>
      <c r="F168" s="23"/>
    </row>
    <row r="169" spans="1:6" ht="15.75" customHeight="1">
      <c r="A169" s="23"/>
      <c r="B169" s="23"/>
      <c r="C169" s="23"/>
      <c r="D169" s="23"/>
      <c r="E169" s="23"/>
      <c r="F169" s="23"/>
    </row>
    <row r="170" spans="1:6" ht="15.75" customHeight="1">
      <c r="A170" s="23"/>
      <c r="B170" s="23"/>
      <c r="C170" s="23"/>
      <c r="D170" s="23"/>
      <c r="E170" s="23"/>
      <c r="F170" s="23"/>
    </row>
    <row r="171" spans="1:6" ht="15.75" customHeight="1">
      <c r="A171" s="23"/>
      <c r="B171" s="23"/>
      <c r="C171" s="23"/>
      <c r="D171" s="23"/>
      <c r="E171" s="23"/>
      <c r="F171" s="23"/>
    </row>
    <row r="172" spans="1:6" ht="15.75" customHeight="1">
      <c r="A172" s="23"/>
      <c r="B172" s="23"/>
      <c r="C172" s="23"/>
      <c r="D172" s="23"/>
      <c r="E172" s="23"/>
      <c r="F172" s="23"/>
    </row>
    <row r="173" spans="1:6" ht="15.75" customHeight="1">
      <c r="A173" s="23"/>
      <c r="B173" s="23"/>
      <c r="C173" s="23"/>
      <c r="D173" s="23"/>
      <c r="E173" s="23"/>
      <c r="F173" s="23"/>
    </row>
    <row r="174" spans="1:6" ht="15.75" customHeight="1">
      <c r="A174" s="23"/>
      <c r="B174" s="23"/>
      <c r="C174" s="23"/>
      <c r="D174" s="23"/>
      <c r="E174" s="23"/>
      <c r="F174" s="23"/>
    </row>
    <row r="175" spans="1:6" ht="15.75" customHeight="1">
      <c r="A175" s="23"/>
      <c r="B175" s="23"/>
      <c r="C175" s="23"/>
      <c r="D175" s="23"/>
      <c r="E175" s="23"/>
      <c r="F175" s="23"/>
    </row>
    <row r="176" spans="1:6" ht="15.75" customHeight="1">
      <c r="A176" s="23"/>
      <c r="B176" s="23"/>
      <c r="C176" s="23"/>
      <c r="D176" s="23"/>
      <c r="E176" s="23"/>
      <c r="F176" s="23"/>
    </row>
    <row r="177" spans="1:6" ht="15.75" customHeight="1">
      <c r="A177" s="23"/>
      <c r="B177" s="23"/>
      <c r="C177" s="23"/>
      <c r="D177" s="23"/>
      <c r="E177" s="23"/>
      <c r="F177" s="23"/>
    </row>
    <row r="178" spans="1:6" ht="15.75" customHeight="1">
      <c r="A178" s="23"/>
      <c r="B178" s="23"/>
      <c r="C178" s="23"/>
      <c r="D178" s="23"/>
      <c r="E178" s="23"/>
      <c r="F178" s="23"/>
    </row>
    <row r="179" spans="1:6" ht="15.75" customHeight="1">
      <c r="A179" s="23"/>
      <c r="B179" s="23"/>
      <c r="C179" s="23"/>
      <c r="D179" s="23"/>
      <c r="E179" s="23"/>
      <c r="F179" s="23"/>
    </row>
    <row r="180" spans="1:6" ht="15.75" customHeight="1">
      <c r="A180" s="23"/>
      <c r="B180" s="23"/>
      <c r="C180" s="23"/>
      <c r="D180" s="23"/>
      <c r="E180" s="23"/>
      <c r="F180" s="23"/>
    </row>
    <row r="181" spans="1:6" ht="15.75" customHeight="1">
      <c r="A181" s="23"/>
      <c r="B181" s="23"/>
      <c r="C181" s="23"/>
      <c r="D181" s="23"/>
      <c r="E181" s="23"/>
      <c r="F181" s="23"/>
    </row>
    <row r="182" spans="1:6" ht="15.75" customHeight="1">
      <c r="A182" s="23"/>
      <c r="B182" s="23"/>
      <c r="C182" s="23"/>
      <c r="D182" s="23"/>
      <c r="E182" s="23"/>
      <c r="F182" s="23"/>
    </row>
    <row r="183" spans="1:6" ht="15.75" customHeight="1">
      <c r="A183" s="23"/>
      <c r="B183" s="23"/>
      <c r="C183" s="23"/>
      <c r="D183" s="23"/>
      <c r="E183" s="23"/>
      <c r="F183" s="23"/>
    </row>
    <row r="184" spans="1:6" ht="15.75" customHeight="1">
      <c r="A184" s="23"/>
      <c r="B184" s="23"/>
      <c r="C184" s="23"/>
      <c r="D184" s="23"/>
      <c r="E184" s="23"/>
      <c r="F184" s="23"/>
    </row>
    <row r="185" spans="1:6" ht="15.75" customHeight="1">
      <c r="A185" s="23"/>
      <c r="B185" s="23"/>
      <c r="C185" s="23"/>
      <c r="D185" s="23"/>
      <c r="E185" s="23"/>
      <c r="F185" s="23"/>
    </row>
    <row r="186" spans="1:6" ht="15.75" customHeight="1">
      <c r="A186" s="23"/>
      <c r="B186" s="23"/>
      <c r="C186" s="23"/>
      <c r="D186" s="23"/>
      <c r="E186" s="23"/>
      <c r="F186" s="23"/>
    </row>
    <row r="187" spans="1:6" ht="15.75" customHeight="1">
      <c r="A187" s="23"/>
      <c r="B187" s="23"/>
      <c r="C187" s="23"/>
      <c r="D187" s="23"/>
      <c r="E187" s="23"/>
      <c r="F187" s="23"/>
    </row>
    <row r="188" spans="1:6" ht="15.75" customHeight="1">
      <c r="A188" s="23"/>
      <c r="B188" s="23"/>
      <c r="C188" s="23"/>
      <c r="D188" s="23"/>
      <c r="E188" s="23"/>
      <c r="F188" s="23"/>
    </row>
    <row r="189" spans="1:6" ht="15.75" customHeight="1">
      <c r="A189" s="23"/>
      <c r="B189" s="23"/>
      <c r="C189" s="23"/>
      <c r="D189" s="23"/>
      <c r="E189" s="23"/>
      <c r="F189" s="23"/>
    </row>
    <row r="190" spans="1:6" ht="15.75" customHeight="1">
      <c r="A190" s="23"/>
      <c r="B190" s="23"/>
      <c r="C190" s="23"/>
      <c r="D190" s="23"/>
      <c r="E190" s="23"/>
      <c r="F190" s="23"/>
    </row>
    <row r="191" spans="1:6" ht="15.75" customHeight="1">
      <c r="A191" s="23"/>
      <c r="B191" s="23"/>
      <c r="C191" s="23"/>
      <c r="D191" s="23"/>
      <c r="E191" s="23"/>
      <c r="F191" s="23"/>
    </row>
    <row r="192" spans="1:6" ht="15.75" customHeight="1">
      <c r="A192" s="23"/>
      <c r="B192" s="23"/>
      <c r="C192" s="23"/>
      <c r="D192" s="23"/>
      <c r="E192" s="23"/>
      <c r="F192" s="23"/>
    </row>
    <row r="193" spans="1:6" ht="15.75" customHeight="1">
      <c r="A193" s="23"/>
      <c r="B193" s="23"/>
      <c r="C193" s="23"/>
      <c r="D193" s="23"/>
      <c r="E193" s="23"/>
      <c r="F193" s="23"/>
    </row>
    <row r="194" spans="1:6" ht="15.75" customHeight="1">
      <c r="A194" s="23"/>
      <c r="B194" s="23"/>
      <c r="C194" s="23"/>
      <c r="D194" s="23"/>
      <c r="E194" s="23"/>
      <c r="F194" s="23"/>
    </row>
    <row r="195" spans="1:6" ht="15.75" customHeight="1">
      <c r="A195" s="23"/>
      <c r="B195" s="23"/>
      <c r="C195" s="23"/>
      <c r="D195" s="23"/>
      <c r="E195" s="23"/>
      <c r="F195" s="23"/>
    </row>
    <row r="196" spans="1:6" ht="15.75" customHeight="1">
      <c r="A196" s="23"/>
      <c r="B196" s="23"/>
      <c r="C196" s="23"/>
      <c r="D196" s="23"/>
      <c r="E196" s="23"/>
      <c r="F196" s="23"/>
    </row>
    <row r="197" spans="1:6" ht="15.75" customHeight="1">
      <c r="A197" s="23"/>
      <c r="B197" s="23"/>
      <c r="C197" s="23"/>
      <c r="D197" s="23"/>
      <c r="E197" s="23"/>
      <c r="F197" s="23"/>
    </row>
    <row r="198" spans="1:6" ht="15.75" customHeight="1">
      <c r="A198" s="23"/>
      <c r="B198" s="23"/>
      <c r="C198" s="23"/>
      <c r="D198" s="23"/>
      <c r="E198" s="23"/>
      <c r="F198" s="23"/>
    </row>
    <row r="199" spans="1:6" ht="15.75" customHeight="1">
      <c r="A199" s="23"/>
      <c r="B199" s="23"/>
      <c r="C199" s="23"/>
      <c r="D199" s="23"/>
      <c r="E199" s="23"/>
      <c r="F199" s="23"/>
    </row>
    <row r="200" spans="1:6" ht="15.75" customHeight="1">
      <c r="A200" s="23"/>
      <c r="B200" s="23"/>
      <c r="C200" s="23"/>
      <c r="D200" s="23"/>
      <c r="E200" s="23"/>
      <c r="F200" s="23"/>
    </row>
    <row r="201" spans="1:6" ht="15.75" customHeight="1">
      <c r="A201" s="23"/>
      <c r="B201" s="23"/>
      <c r="C201" s="23"/>
      <c r="D201" s="23"/>
      <c r="E201" s="23"/>
      <c r="F201" s="23"/>
    </row>
    <row r="202" spans="1:6" ht="15.75" customHeight="1">
      <c r="A202" s="23"/>
      <c r="B202" s="23"/>
      <c r="C202" s="23"/>
      <c r="D202" s="23"/>
      <c r="E202" s="23"/>
      <c r="F202" s="23"/>
    </row>
    <row r="203" spans="1:6" ht="15.75" customHeight="1">
      <c r="A203" s="23"/>
      <c r="B203" s="23"/>
      <c r="C203" s="23"/>
      <c r="D203" s="23"/>
      <c r="E203" s="23"/>
      <c r="F203" s="23"/>
    </row>
    <row r="204" spans="1:6" ht="15.75" customHeight="1">
      <c r="A204" s="23"/>
      <c r="B204" s="23"/>
      <c r="C204" s="23"/>
      <c r="D204" s="23"/>
      <c r="E204" s="23"/>
      <c r="F204" s="23"/>
    </row>
    <row r="205" spans="1:6" ht="15.75" customHeight="1">
      <c r="A205" s="23"/>
      <c r="B205" s="23"/>
      <c r="C205" s="23"/>
      <c r="D205" s="23"/>
      <c r="E205" s="23"/>
      <c r="F205" s="23"/>
    </row>
    <row r="206" spans="1:6" ht="15.75" customHeight="1">
      <c r="A206" s="23"/>
      <c r="B206" s="23"/>
      <c r="C206" s="23"/>
      <c r="D206" s="23"/>
      <c r="E206" s="23"/>
      <c r="F206" s="23"/>
    </row>
    <row r="207" spans="1:6" ht="15.75" customHeight="1">
      <c r="A207" s="23"/>
      <c r="B207" s="23"/>
      <c r="C207" s="23"/>
      <c r="D207" s="23"/>
      <c r="E207" s="23"/>
      <c r="F207" s="23"/>
    </row>
    <row r="208" spans="1:6" ht="15.75" customHeight="1">
      <c r="A208" s="23"/>
      <c r="B208" s="23"/>
      <c r="C208" s="23"/>
      <c r="D208" s="23"/>
      <c r="E208" s="23"/>
      <c r="F208" s="23"/>
    </row>
    <row r="209" spans="1:6" ht="15.75" customHeight="1">
      <c r="A209" s="23"/>
      <c r="B209" s="23"/>
      <c r="C209" s="23"/>
      <c r="D209" s="23"/>
      <c r="E209" s="23"/>
      <c r="F209" s="23"/>
    </row>
    <row r="210" spans="1:6" ht="15.75" customHeight="1">
      <c r="A210" s="23"/>
      <c r="B210" s="23"/>
      <c r="C210" s="23"/>
      <c r="D210" s="23"/>
      <c r="E210" s="23"/>
      <c r="F210" s="23"/>
    </row>
    <row r="211" spans="1:6" ht="15.75" customHeight="1">
      <c r="A211" s="23"/>
      <c r="B211" s="23"/>
      <c r="C211" s="23"/>
      <c r="D211" s="23"/>
      <c r="E211" s="23"/>
      <c r="F211" s="23"/>
    </row>
    <row r="212" spans="1:6" ht="15.75" customHeight="1">
      <c r="A212" s="23"/>
      <c r="B212" s="23"/>
      <c r="C212" s="23"/>
      <c r="D212" s="23"/>
      <c r="E212" s="23"/>
      <c r="F212" s="23"/>
    </row>
    <row r="213" spans="1:6" ht="15.75" customHeight="1">
      <c r="A213" s="23"/>
      <c r="B213" s="23"/>
      <c r="C213" s="23"/>
      <c r="D213" s="23"/>
      <c r="E213" s="23"/>
      <c r="F213" s="23"/>
    </row>
    <row r="214" spans="1:6" ht="15.75" customHeight="1">
      <c r="A214" s="23"/>
      <c r="B214" s="23"/>
      <c r="C214" s="23"/>
      <c r="D214" s="23"/>
      <c r="E214" s="23"/>
      <c r="F214" s="23"/>
    </row>
    <row r="215" spans="1:6" ht="15.75" customHeight="1">
      <c r="A215" s="23"/>
      <c r="B215" s="23"/>
      <c r="C215" s="23"/>
      <c r="D215" s="23"/>
      <c r="E215" s="23"/>
      <c r="F215" s="23"/>
    </row>
    <row r="216" spans="1:6" ht="15.75" customHeight="1">
      <c r="A216" s="23"/>
      <c r="B216" s="23"/>
      <c r="C216" s="23"/>
      <c r="D216" s="23"/>
      <c r="E216" s="23"/>
      <c r="F216" s="23"/>
    </row>
    <row r="217" spans="1:6" ht="15.75" customHeight="1">
      <c r="A217" s="23"/>
      <c r="B217" s="23"/>
      <c r="C217" s="23"/>
      <c r="D217" s="23"/>
      <c r="E217" s="23"/>
      <c r="F217" s="23"/>
    </row>
    <row r="218" spans="1:6" ht="15.75" customHeight="1">
      <c r="A218" s="23"/>
      <c r="B218" s="23"/>
      <c r="C218" s="23"/>
      <c r="D218" s="23"/>
      <c r="E218" s="23"/>
      <c r="F218" s="23"/>
    </row>
    <row r="219" spans="1:6" ht="15.75" customHeight="1">
      <c r="A219" s="23"/>
      <c r="B219" s="23"/>
      <c r="C219" s="23"/>
      <c r="D219" s="23"/>
      <c r="E219" s="23"/>
      <c r="F219" s="23"/>
    </row>
    <row r="220" spans="1:6" ht="15.75" customHeight="1">
      <c r="A220" s="23"/>
      <c r="B220" s="23"/>
      <c r="C220" s="23"/>
      <c r="D220" s="23"/>
      <c r="E220" s="23"/>
      <c r="F220" s="23"/>
    </row>
    <row r="221" spans="1:6" ht="15.75" customHeight="1">
      <c r="A221" s="23"/>
      <c r="B221" s="23"/>
      <c r="C221" s="23"/>
      <c r="D221" s="23"/>
      <c r="E221" s="23"/>
      <c r="F221" s="23"/>
    </row>
    <row r="222" spans="1:6" ht="15.75" customHeight="1">
      <c r="A222" s="23"/>
      <c r="B222" s="23"/>
      <c r="C222" s="23"/>
      <c r="D222" s="23"/>
      <c r="E222" s="23"/>
      <c r="F222" s="23"/>
    </row>
    <row r="223" spans="1:6" ht="15.75" customHeight="1">
      <c r="A223" s="23"/>
      <c r="B223" s="23"/>
      <c r="C223" s="23"/>
      <c r="D223" s="23"/>
      <c r="E223" s="23"/>
      <c r="F223" s="23"/>
    </row>
    <row r="224" spans="1:6" ht="15.75" customHeight="1">
      <c r="A224" s="23"/>
      <c r="B224" s="23"/>
      <c r="C224" s="23"/>
      <c r="D224" s="23"/>
      <c r="E224" s="23"/>
      <c r="F224" s="23"/>
    </row>
    <row r="225" spans="1:6" ht="15.75" customHeight="1">
      <c r="A225" s="23"/>
      <c r="B225" s="23"/>
      <c r="C225" s="23"/>
      <c r="D225" s="23"/>
      <c r="E225" s="23"/>
      <c r="F225" s="23"/>
    </row>
    <row r="226" spans="1:6" ht="15.75" customHeight="1">
      <c r="A226" s="23"/>
      <c r="B226" s="23"/>
      <c r="C226" s="23"/>
      <c r="D226" s="23"/>
      <c r="E226" s="23"/>
      <c r="F226" s="23"/>
    </row>
    <row r="227" spans="1:6" ht="15.75" customHeight="1">
      <c r="A227" s="23"/>
      <c r="B227" s="23"/>
      <c r="C227" s="23"/>
      <c r="D227" s="23"/>
      <c r="E227" s="23"/>
      <c r="F227" s="23"/>
    </row>
    <row r="228" spans="1:6" ht="15.75" customHeight="1">
      <c r="A228" s="23"/>
      <c r="B228" s="23"/>
      <c r="C228" s="23"/>
      <c r="D228" s="23"/>
      <c r="E228" s="23"/>
      <c r="F228" s="23"/>
    </row>
    <row r="229" spans="1:6" ht="15.75" customHeight="1">
      <c r="A229" s="23"/>
      <c r="B229" s="23"/>
      <c r="C229" s="23"/>
      <c r="D229" s="23"/>
      <c r="E229" s="23"/>
      <c r="F229" s="23"/>
    </row>
    <row r="230" spans="1:6" ht="15.75" customHeight="1">
      <c r="A230" s="23"/>
      <c r="B230" s="23"/>
      <c r="C230" s="23"/>
      <c r="D230" s="23"/>
      <c r="E230" s="23"/>
      <c r="F230" s="23"/>
    </row>
    <row r="231" spans="1:6" ht="15.75" customHeight="1">
      <c r="A231" s="23"/>
      <c r="B231" s="23"/>
      <c r="C231" s="23"/>
      <c r="D231" s="23"/>
      <c r="E231" s="23"/>
      <c r="F231" s="23"/>
    </row>
    <row r="232" spans="1:6" ht="15.75" customHeight="1">
      <c r="A232" s="23"/>
      <c r="B232" s="23"/>
      <c r="C232" s="23"/>
      <c r="D232" s="23"/>
      <c r="E232" s="23"/>
      <c r="F232" s="23"/>
    </row>
    <row r="233" spans="1:6" ht="15.75" customHeight="1">
      <c r="A233" s="23"/>
      <c r="B233" s="23"/>
      <c r="C233" s="23"/>
      <c r="D233" s="23"/>
      <c r="E233" s="23"/>
      <c r="F233" s="23"/>
    </row>
    <row r="234" spans="1:6" ht="15.75" customHeight="1">
      <c r="A234" s="23"/>
      <c r="B234" s="23"/>
      <c r="C234" s="23"/>
      <c r="D234" s="23"/>
      <c r="E234" s="23"/>
      <c r="F234" s="23"/>
    </row>
    <row r="235" spans="1:6" ht="15.75" customHeight="1">
      <c r="A235" s="23"/>
      <c r="B235" s="23"/>
      <c r="C235" s="23"/>
      <c r="D235" s="23"/>
      <c r="E235" s="23"/>
      <c r="F235" s="23"/>
    </row>
    <row r="236" spans="1:6" ht="15.75" customHeight="1">
      <c r="A236" s="23"/>
      <c r="B236" s="23"/>
      <c r="C236" s="23"/>
      <c r="D236" s="23"/>
      <c r="E236" s="23"/>
      <c r="F236" s="23"/>
    </row>
    <row r="237" spans="1:6" ht="15.75" customHeight="1">
      <c r="A237" s="23"/>
      <c r="B237" s="23"/>
      <c r="C237" s="23"/>
      <c r="D237" s="23"/>
      <c r="E237" s="23"/>
      <c r="F237" s="23"/>
    </row>
    <row r="238" spans="1:6" ht="15.75" customHeight="1">
      <c r="A238" s="23"/>
      <c r="B238" s="23"/>
      <c r="C238" s="23"/>
      <c r="D238" s="23"/>
      <c r="E238" s="23"/>
      <c r="F238" s="23"/>
    </row>
    <row r="239" spans="1:6" ht="15.75" customHeight="1">
      <c r="A239" s="23"/>
      <c r="B239" s="23"/>
      <c r="C239" s="23"/>
      <c r="D239" s="23"/>
      <c r="E239" s="23"/>
      <c r="F239" s="23"/>
    </row>
    <row r="240" spans="1:6" ht="15.75" customHeight="1">
      <c r="A240" s="23"/>
      <c r="B240" s="23"/>
      <c r="C240" s="23"/>
      <c r="D240" s="23"/>
      <c r="E240" s="23"/>
      <c r="F240" s="23"/>
    </row>
    <row r="241" spans="1:6" ht="15.75" customHeight="1">
      <c r="A241" s="23"/>
      <c r="B241" s="23"/>
      <c r="C241" s="23"/>
      <c r="D241" s="23"/>
      <c r="E241" s="23"/>
      <c r="F241" s="23"/>
    </row>
    <row r="242" spans="1:6" ht="15.75" customHeight="1">
      <c r="A242" s="23"/>
      <c r="B242" s="23"/>
      <c r="C242" s="23"/>
      <c r="D242" s="23"/>
      <c r="E242" s="23"/>
      <c r="F242" s="23"/>
    </row>
    <row r="243" spans="1:6" ht="15.75" customHeight="1">
      <c r="A243" s="23"/>
      <c r="B243" s="23"/>
      <c r="C243" s="23"/>
      <c r="D243" s="23"/>
      <c r="E243" s="23"/>
      <c r="F243" s="23"/>
    </row>
    <row r="244" spans="1:6" ht="15.75" customHeight="1">
      <c r="A244" s="23"/>
      <c r="B244" s="23"/>
      <c r="C244" s="23"/>
      <c r="D244" s="23"/>
      <c r="E244" s="23"/>
      <c r="F244" s="23"/>
    </row>
    <row r="245" spans="1:6" ht="15.75" customHeight="1">
      <c r="A245" s="23"/>
      <c r="B245" s="23"/>
      <c r="C245" s="23"/>
      <c r="D245" s="23"/>
      <c r="E245" s="23"/>
      <c r="F245" s="23"/>
    </row>
    <row r="246" spans="1:6" ht="15.75" customHeight="1">
      <c r="A246" s="23"/>
      <c r="B246" s="23"/>
      <c r="C246" s="23"/>
      <c r="D246" s="23"/>
      <c r="E246" s="23"/>
      <c r="F246" s="23"/>
    </row>
    <row r="247" spans="1:6" ht="15.75" customHeight="1">
      <c r="A247" s="23"/>
      <c r="B247" s="23"/>
      <c r="C247" s="23"/>
      <c r="D247" s="23"/>
      <c r="E247" s="23"/>
      <c r="F247" s="23"/>
    </row>
    <row r="248" spans="1:6" ht="15.75" customHeight="1">
      <c r="A248" s="23"/>
      <c r="B248" s="23"/>
      <c r="C248" s="23"/>
      <c r="D248" s="23"/>
      <c r="E248" s="23"/>
      <c r="F248" s="23"/>
    </row>
    <row r="249" spans="1:6" ht="15.75" customHeight="1">
      <c r="A249" s="23"/>
      <c r="B249" s="23"/>
      <c r="C249" s="23"/>
      <c r="D249" s="23"/>
      <c r="E249" s="23"/>
      <c r="F249" s="23"/>
    </row>
    <row r="250" spans="1:6" ht="15.75" customHeight="1">
      <c r="A250" s="23"/>
      <c r="B250" s="23"/>
      <c r="C250" s="23"/>
      <c r="D250" s="23"/>
      <c r="E250" s="23"/>
      <c r="F250" s="23"/>
    </row>
    <row r="251" spans="1:6" ht="15.75" customHeight="1">
      <c r="A251" s="23"/>
      <c r="B251" s="23"/>
      <c r="C251" s="23"/>
      <c r="D251" s="23"/>
      <c r="E251" s="23"/>
      <c r="F251" s="23"/>
    </row>
    <row r="252" spans="1:6" ht="15.75" customHeight="1">
      <c r="A252" s="23"/>
      <c r="B252" s="23"/>
      <c r="C252" s="23"/>
      <c r="D252" s="23"/>
      <c r="E252" s="23"/>
      <c r="F252" s="23"/>
    </row>
    <row r="253" spans="1:6" ht="15.75" customHeight="1">
      <c r="A253" s="23"/>
      <c r="B253" s="23"/>
      <c r="C253" s="23"/>
      <c r="D253" s="23"/>
      <c r="E253" s="23"/>
      <c r="F253" s="23"/>
    </row>
    <row r="254" spans="1:6" ht="15.75" customHeight="1">
      <c r="A254" s="23"/>
      <c r="B254" s="23"/>
      <c r="C254" s="23"/>
      <c r="D254" s="23"/>
      <c r="E254" s="23"/>
      <c r="F254" s="23"/>
    </row>
    <row r="255" spans="1:6" ht="15.75" customHeight="1">
      <c r="A255" s="23"/>
      <c r="B255" s="23"/>
      <c r="C255" s="23"/>
      <c r="D255" s="23"/>
      <c r="E255" s="23"/>
      <c r="F255" s="23"/>
    </row>
    <row r="256" spans="1:6" ht="15.75" customHeight="1">
      <c r="A256" s="23"/>
      <c r="B256" s="23"/>
      <c r="C256" s="23"/>
      <c r="D256" s="23"/>
      <c r="E256" s="23"/>
      <c r="F256" s="23"/>
    </row>
    <row r="257" spans="1:6" ht="15.75" customHeight="1">
      <c r="A257" s="23"/>
      <c r="B257" s="23"/>
      <c r="C257" s="23"/>
      <c r="D257" s="23"/>
      <c r="E257" s="23"/>
      <c r="F257" s="23"/>
    </row>
    <row r="258" spans="1:6" ht="15.75" customHeight="1">
      <c r="A258" s="23"/>
      <c r="B258" s="23"/>
      <c r="C258" s="23"/>
      <c r="D258" s="23"/>
      <c r="E258" s="23"/>
      <c r="F258" s="23"/>
    </row>
    <row r="259" spans="1:6" ht="15.75" customHeight="1">
      <c r="A259" s="23"/>
      <c r="B259" s="23"/>
      <c r="C259" s="23"/>
      <c r="D259" s="23"/>
      <c r="E259" s="23"/>
      <c r="F259" s="23"/>
    </row>
    <row r="260" spans="1:6" ht="15.75" customHeight="1">
      <c r="A260" s="23"/>
      <c r="B260" s="23"/>
      <c r="C260" s="23"/>
      <c r="D260" s="23"/>
      <c r="E260" s="23"/>
      <c r="F260" s="23"/>
    </row>
    <row r="261" spans="1:6" ht="15.75" customHeight="1">
      <c r="A261" s="23"/>
      <c r="B261" s="23"/>
      <c r="C261" s="23"/>
      <c r="D261" s="23"/>
      <c r="E261" s="23"/>
      <c r="F261" s="23"/>
    </row>
    <row r="262" spans="1:6" ht="15.75" customHeight="1">
      <c r="A262" s="23"/>
      <c r="B262" s="23"/>
      <c r="C262" s="23"/>
      <c r="D262" s="23"/>
      <c r="E262" s="23"/>
      <c r="F262" s="23"/>
    </row>
    <row r="263" spans="1:6" ht="15.75" customHeight="1">
      <c r="A263" s="23"/>
      <c r="B263" s="23"/>
      <c r="C263" s="23"/>
      <c r="D263" s="23"/>
      <c r="E263" s="23"/>
      <c r="F263" s="23"/>
    </row>
    <row r="264" spans="1:6" ht="15.75" customHeight="1">
      <c r="A264" s="23"/>
      <c r="B264" s="23"/>
      <c r="C264" s="23"/>
      <c r="D264" s="23"/>
      <c r="E264" s="23"/>
      <c r="F264" s="23"/>
    </row>
    <row r="265" spans="1:6" ht="15.75" customHeight="1">
      <c r="A265" s="23"/>
      <c r="B265" s="23"/>
      <c r="C265" s="23"/>
      <c r="D265" s="23"/>
      <c r="E265" s="23"/>
      <c r="F265" s="23"/>
    </row>
    <row r="266" spans="1:6" ht="15.75" customHeight="1">
      <c r="A266" s="23"/>
      <c r="B266" s="23"/>
      <c r="C266" s="23"/>
      <c r="D266" s="23"/>
      <c r="E266" s="23"/>
      <c r="F266" s="23"/>
    </row>
    <row r="267" spans="1:6" ht="15.75" customHeight="1">
      <c r="A267" s="23"/>
      <c r="B267" s="23"/>
      <c r="C267" s="23"/>
      <c r="D267" s="23"/>
      <c r="E267" s="23"/>
      <c r="F267" s="23"/>
    </row>
    <row r="268" spans="1:6" ht="15.75" customHeight="1">
      <c r="A268" s="23"/>
      <c r="B268" s="23"/>
      <c r="C268" s="23"/>
      <c r="D268" s="23"/>
      <c r="E268" s="23"/>
      <c r="F268" s="23"/>
    </row>
    <row r="269" spans="1:6" ht="15.75" customHeight="1">
      <c r="A269" s="23"/>
      <c r="B269" s="23"/>
      <c r="C269" s="23"/>
      <c r="D269" s="23"/>
      <c r="E269" s="23"/>
      <c r="F269" s="23"/>
    </row>
    <row r="270" spans="1:6" ht="15.75" customHeight="1">
      <c r="A270" s="23"/>
      <c r="B270" s="23"/>
      <c r="C270" s="23"/>
      <c r="D270" s="23"/>
      <c r="E270" s="23"/>
      <c r="F270" s="23"/>
    </row>
    <row r="271" spans="1:6" ht="15.75" customHeight="1">
      <c r="A271" s="23"/>
      <c r="B271" s="23"/>
      <c r="C271" s="23"/>
      <c r="D271" s="23"/>
      <c r="E271" s="23"/>
      <c r="F271" s="23"/>
    </row>
    <row r="272" spans="1:6" ht="15.75" customHeight="1">
      <c r="A272" s="23"/>
      <c r="B272" s="23"/>
      <c r="C272" s="23"/>
      <c r="D272" s="23"/>
      <c r="E272" s="23"/>
      <c r="F272" s="23"/>
    </row>
    <row r="273" spans="1:6" ht="15.75" customHeight="1">
      <c r="A273" s="23"/>
      <c r="B273" s="23"/>
      <c r="C273" s="23"/>
      <c r="D273" s="23"/>
      <c r="E273" s="23"/>
      <c r="F273" s="23"/>
    </row>
    <row r="274" spans="1:6" ht="15.75" customHeight="1">
      <c r="A274" s="23"/>
      <c r="B274" s="23"/>
      <c r="C274" s="23"/>
      <c r="D274" s="23"/>
      <c r="E274" s="23"/>
      <c r="F274" s="23"/>
    </row>
    <row r="275" spans="1:6" ht="15.75" customHeight="1">
      <c r="A275" s="23"/>
      <c r="B275" s="23"/>
      <c r="C275" s="23"/>
      <c r="D275" s="23"/>
      <c r="E275" s="23"/>
      <c r="F275" s="23"/>
    </row>
    <row r="276" spans="1:6" ht="15.75" customHeight="1">
      <c r="A276" s="23"/>
      <c r="B276" s="23"/>
      <c r="C276" s="23"/>
      <c r="D276" s="23"/>
      <c r="E276" s="23"/>
      <c r="F276" s="23"/>
    </row>
    <row r="277" spans="1:6" ht="15.75" customHeight="1">
      <c r="A277" s="23"/>
      <c r="B277" s="23"/>
      <c r="C277" s="23"/>
      <c r="D277" s="23"/>
      <c r="E277" s="23"/>
      <c r="F277" s="23"/>
    </row>
    <row r="278" spans="1:6" ht="15.75" customHeight="1">
      <c r="A278" s="23"/>
      <c r="B278" s="23"/>
      <c r="C278" s="23"/>
      <c r="D278" s="23"/>
      <c r="E278" s="23"/>
      <c r="F278" s="23"/>
    </row>
    <row r="279" spans="1:6" ht="15.75" customHeight="1">
      <c r="A279" s="23"/>
      <c r="B279" s="23"/>
      <c r="C279" s="23"/>
      <c r="D279" s="23"/>
      <c r="E279" s="23"/>
      <c r="F279" s="23"/>
    </row>
    <row r="280" spans="1:6" ht="15.75" customHeight="1">
      <c r="A280" s="23"/>
      <c r="B280" s="23"/>
      <c r="C280" s="23"/>
      <c r="D280" s="23"/>
      <c r="E280" s="23"/>
      <c r="F280" s="23"/>
    </row>
    <row r="281" spans="1:6" ht="15.75" customHeight="1">
      <c r="A281" s="23"/>
      <c r="B281" s="23"/>
      <c r="C281" s="23"/>
      <c r="D281" s="23"/>
      <c r="E281" s="23"/>
      <c r="F281" s="23"/>
    </row>
    <row r="282" spans="1:6" ht="15.75" customHeight="1">
      <c r="A282" s="23"/>
      <c r="B282" s="23"/>
      <c r="C282" s="23"/>
      <c r="D282" s="23"/>
      <c r="E282" s="23"/>
      <c r="F282" s="23"/>
    </row>
    <row r="283" spans="1:6" ht="15.75" customHeight="1">
      <c r="A283" s="23"/>
      <c r="B283" s="23"/>
      <c r="C283" s="23"/>
      <c r="D283" s="23"/>
      <c r="E283" s="23"/>
      <c r="F283" s="23"/>
    </row>
    <row r="284" spans="1:6" ht="15.75" customHeight="1">
      <c r="A284" s="23"/>
      <c r="B284" s="23"/>
      <c r="C284" s="23"/>
      <c r="D284" s="23"/>
      <c r="E284" s="23"/>
      <c r="F284" s="23"/>
    </row>
    <row r="285" spans="1:6" ht="15.75" customHeight="1">
      <c r="A285" s="23"/>
      <c r="B285" s="23"/>
      <c r="C285" s="23"/>
      <c r="D285" s="23"/>
      <c r="E285" s="23"/>
      <c r="F285" s="23"/>
    </row>
    <row r="286" spans="1:6" ht="15.75" customHeight="1">
      <c r="A286" s="23"/>
      <c r="B286" s="23"/>
      <c r="C286" s="23"/>
      <c r="D286" s="23"/>
      <c r="E286" s="23"/>
      <c r="F286" s="23"/>
    </row>
    <row r="287" spans="1:6" ht="15.75" customHeight="1">
      <c r="A287" s="23"/>
      <c r="B287" s="23"/>
      <c r="C287" s="23"/>
      <c r="D287" s="23"/>
      <c r="E287" s="23"/>
      <c r="F287" s="23"/>
    </row>
    <row r="288" spans="1:6" ht="15.75" customHeight="1">
      <c r="A288" s="23"/>
      <c r="B288" s="23"/>
      <c r="C288" s="23"/>
      <c r="D288" s="23"/>
      <c r="E288" s="23"/>
      <c r="F288" s="23"/>
    </row>
    <row r="289" spans="1:6" ht="15.75" customHeight="1">
      <c r="A289" s="23"/>
      <c r="B289" s="23"/>
      <c r="C289" s="23"/>
      <c r="D289" s="23"/>
      <c r="E289" s="23"/>
      <c r="F289" s="23"/>
    </row>
    <row r="290" spans="1:6" ht="15.75" customHeight="1">
      <c r="A290" s="23"/>
      <c r="B290" s="23"/>
      <c r="C290" s="23"/>
      <c r="D290" s="23"/>
      <c r="E290" s="23"/>
      <c r="F290" s="23"/>
    </row>
    <row r="291" spans="1:6" ht="15.75" customHeight="1">
      <c r="A291" s="23"/>
      <c r="B291" s="23"/>
      <c r="C291" s="23"/>
      <c r="D291" s="23"/>
      <c r="E291" s="23"/>
      <c r="F291" s="23"/>
    </row>
    <row r="292" spans="1:6" ht="15.75" customHeight="1">
      <c r="A292" s="23"/>
      <c r="B292" s="23"/>
      <c r="C292" s="23"/>
      <c r="D292" s="23"/>
      <c r="E292" s="23"/>
      <c r="F292" s="23"/>
    </row>
    <row r="293" spans="1:6" ht="15.75" customHeight="1">
      <c r="A293" s="23"/>
      <c r="B293" s="23"/>
      <c r="C293" s="23"/>
      <c r="D293" s="23"/>
      <c r="E293" s="23"/>
      <c r="F293" s="23"/>
    </row>
    <row r="294" spans="1:6" ht="15.75" customHeight="1">
      <c r="A294" s="23"/>
      <c r="B294" s="23"/>
      <c r="C294" s="23"/>
      <c r="D294" s="23"/>
      <c r="E294" s="23"/>
      <c r="F294" s="23"/>
    </row>
    <row r="295" spans="1:6" ht="15.75" customHeight="1">
      <c r="A295" s="23"/>
      <c r="B295" s="23"/>
      <c r="C295" s="23"/>
      <c r="D295" s="23"/>
      <c r="E295" s="23"/>
      <c r="F295" s="23"/>
    </row>
    <row r="296" spans="1:6" ht="15.75" customHeight="1">
      <c r="A296" s="23"/>
      <c r="B296" s="23"/>
      <c r="C296" s="23"/>
      <c r="D296" s="23"/>
      <c r="E296" s="23"/>
      <c r="F296" s="23"/>
    </row>
    <row r="297" spans="1:6" ht="15.75" customHeight="1">
      <c r="A297" s="23"/>
      <c r="B297" s="23"/>
      <c r="C297" s="23"/>
      <c r="D297" s="23"/>
      <c r="E297" s="23"/>
      <c r="F297" s="23"/>
    </row>
    <row r="298" spans="1:6" ht="15.75" customHeight="1">
      <c r="A298" s="23"/>
      <c r="B298" s="23"/>
      <c r="C298" s="23"/>
      <c r="D298" s="23"/>
      <c r="E298" s="23"/>
      <c r="F298" s="23"/>
    </row>
    <row r="299" spans="1:6" ht="15.75" customHeight="1">
      <c r="A299" s="23"/>
      <c r="B299" s="23"/>
      <c r="C299" s="23"/>
      <c r="D299" s="23"/>
      <c r="E299" s="23"/>
      <c r="F299" s="23"/>
    </row>
    <row r="300" spans="1:6" ht="15.75" customHeight="1">
      <c r="A300" s="23"/>
      <c r="B300" s="23"/>
      <c r="C300" s="23"/>
      <c r="D300" s="23"/>
      <c r="E300" s="23"/>
      <c r="F300" s="23"/>
    </row>
    <row r="301" spans="1:6" ht="15.75" customHeight="1">
      <c r="A301" s="23"/>
      <c r="B301" s="23"/>
      <c r="C301" s="23"/>
      <c r="D301" s="23"/>
      <c r="E301" s="23"/>
      <c r="F301" s="23"/>
    </row>
    <row r="302" spans="1:6" ht="15.75" customHeight="1">
      <c r="A302" s="23"/>
      <c r="B302" s="23"/>
      <c r="C302" s="23"/>
      <c r="D302" s="23"/>
      <c r="E302" s="23"/>
      <c r="F302" s="23"/>
    </row>
    <row r="303" spans="1:6" ht="15.75" customHeight="1">
      <c r="A303" s="23"/>
      <c r="B303" s="23"/>
      <c r="C303" s="23"/>
      <c r="D303" s="23"/>
      <c r="E303" s="23"/>
      <c r="F303" s="23"/>
    </row>
    <row r="304" spans="1:6" ht="15.75" customHeight="1">
      <c r="A304" s="23"/>
      <c r="B304" s="23"/>
      <c r="C304" s="23"/>
      <c r="D304" s="23"/>
      <c r="E304" s="23"/>
      <c r="F304" s="23"/>
    </row>
    <row r="305" spans="1:6" ht="15.75" customHeight="1">
      <c r="A305" s="23"/>
      <c r="B305" s="23"/>
      <c r="C305" s="23"/>
      <c r="D305" s="23"/>
      <c r="E305" s="23"/>
      <c r="F305" s="23"/>
    </row>
    <row r="306" spans="1:6" ht="15.75" customHeight="1">
      <c r="A306" s="23"/>
      <c r="B306" s="23"/>
      <c r="C306" s="23"/>
      <c r="D306" s="23"/>
      <c r="E306" s="23"/>
      <c r="F306" s="23"/>
    </row>
    <row r="307" spans="1:6" ht="15.75" customHeight="1">
      <c r="A307" s="23"/>
      <c r="B307" s="23"/>
      <c r="C307" s="23"/>
      <c r="D307" s="23"/>
      <c r="E307" s="23"/>
      <c r="F307" s="23"/>
    </row>
    <row r="308" spans="1:6" ht="15.75" customHeight="1">
      <c r="A308" s="23"/>
      <c r="B308" s="23"/>
      <c r="C308" s="23"/>
      <c r="D308" s="23"/>
      <c r="E308" s="23"/>
      <c r="F308" s="23"/>
    </row>
    <row r="309" spans="1:6" ht="15.75" customHeight="1">
      <c r="A309" s="23"/>
      <c r="B309" s="23"/>
      <c r="C309" s="23"/>
      <c r="D309" s="23"/>
      <c r="E309" s="23"/>
      <c r="F309" s="23"/>
    </row>
    <row r="310" spans="1:6" ht="15.75" customHeight="1">
      <c r="A310" s="23"/>
      <c r="B310" s="23"/>
      <c r="C310" s="23"/>
      <c r="D310" s="23"/>
      <c r="E310" s="23"/>
      <c r="F310" s="23"/>
    </row>
    <row r="311" spans="1:6" ht="15.75" customHeight="1">
      <c r="A311" s="23"/>
      <c r="B311" s="23"/>
      <c r="C311" s="23"/>
      <c r="D311" s="23"/>
      <c r="E311" s="23"/>
      <c r="F311" s="23"/>
    </row>
    <row r="312" spans="1:6" ht="15.75" customHeight="1">
      <c r="A312" s="23"/>
      <c r="B312" s="23"/>
      <c r="C312" s="23"/>
      <c r="D312" s="23"/>
      <c r="E312" s="23"/>
      <c r="F312" s="23"/>
    </row>
    <row r="313" spans="1:6" ht="15.75" customHeight="1">
      <c r="A313" s="23"/>
      <c r="B313" s="23"/>
      <c r="C313" s="23"/>
      <c r="D313" s="23"/>
      <c r="E313" s="23"/>
      <c r="F313" s="23"/>
    </row>
    <row r="314" spans="1:6" ht="15.75" customHeight="1">
      <c r="A314" s="23"/>
      <c r="B314" s="23"/>
      <c r="C314" s="23"/>
      <c r="D314" s="23"/>
      <c r="E314" s="23"/>
      <c r="F314" s="23"/>
    </row>
    <row r="315" spans="1:6" ht="15.75" customHeight="1">
      <c r="A315" s="23"/>
      <c r="B315" s="23"/>
      <c r="C315" s="23"/>
      <c r="D315" s="23"/>
      <c r="E315" s="23"/>
      <c r="F315" s="23"/>
    </row>
    <row r="316" spans="1:6" ht="15.75" customHeight="1">
      <c r="A316" s="23"/>
      <c r="B316" s="23"/>
      <c r="C316" s="23"/>
      <c r="D316" s="23"/>
      <c r="E316" s="23"/>
      <c r="F316" s="23"/>
    </row>
    <row r="317" spans="1:6" ht="15.75" customHeight="1">
      <c r="A317" s="23"/>
      <c r="B317" s="23"/>
      <c r="C317" s="23"/>
      <c r="D317" s="23"/>
      <c r="E317" s="23"/>
      <c r="F317" s="23"/>
    </row>
    <row r="318" spans="1:6" ht="15.75" customHeight="1">
      <c r="A318" s="23"/>
      <c r="B318" s="23"/>
      <c r="C318" s="23"/>
      <c r="D318" s="23"/>
      <c r="E318" s="23"/>
      <c r="F318" s="23"/>
    </row>
    <row r="319" spans="1:6" ht="15.75" customHeight="1">
      <c r="A319" s="23"/>
      <c r="B319" s="23"/>
      <c r="C319" s="23"/>
      <c r="D319" s="23"/>
      <c r="E319" s="23"/>
      <c r="F319" s="23"/>
    </row>
    <row r="320" spans="1:6" ht="15.75" customHeight="1">
      <c r="A320" s="23"/>
      <c r="B320" s="23"/>
      <c r="C320" s="23"/>
      <c r="D320" s="23"/>
      <c r="E320" s="23"/>
      <c r="F320" s="23"/>
    </row>
    <row r="321" spans="1:6" ht="15.75" customHeight="1">
      <c r="A321" s="23"/>
      <c r="B321" s="23"/>
      <c r="C321" s="23"/>
      <c r="D321" s="23"/>
      <c r="E321" s="23"/>
      <c r="F321" s="23"/>
    </row>
    <row r="322" spans="1:6" ht="15.75" customHeight="1">
      <c r="A322" s="23"/>
      <c r="B322" s="23"/>
      <c r="C322" s="23"/>
      <c r="D322" s="23"/>
      <c r="E322" s="23"/>
      <c r="F322" s="23"/>
    </row>
    <row r="323" spans="1:6" ht="15.75" customHeight="1">
      <c r="A323" s="23"/>
      <c r="B323" s="23"/>
      <c r="C323" s="23"/>
      <c r="D323" s="23"/>
      <c r="E323" s="23"/>
      <c r="F323" s="23"/>
    </row>
    <row r="324" spans="1:6" ht="15.75" customHeight="1">
      <c r="A324" s="23"/>
      <c r="B324" s="23"/>
      <c r="C324" s="23"/>
      <c r="D324" s="23"/>
      <c r="E324" s="23"/>
      <c r="F324" s="23"/>
    </row>
    <row r="325" spans="1:6" ht="15.75" customHeight="1">
      <c r="A325" s="23"/>
      <c r="B325" s="23"/>
      <c r="C325" s="23"/>
      <c r="D325" s="23"/>
      <c r="E325" s="23"/>
      <c r="F325" s="23"/>
    </row>
    <row r="326" spans="1:6" ht="15.75" customHeight="1">
      <c r="A326" s="23"/>
      <c r="B326" s="23"/>
      <c r="C326" s="23"/>
      <c r="D326" s="23"/>
      <c r="E326" s="23"/>
      <c r="F326" s="23"/>
    </row>
    <row r="327" spans="1:6" ht="15.75" customHeight="1">
      <c r="A327" s="23"/>
      <c r="B327" s="23"/>
      <c r="C327" s="23"/>
      <c r="D327" s="23"/>
      <c r="E327" s="23"/>
      <c r="F327" s="23"/>
    </row>
    <row r="328" spans="1:6" ht="15.75" customHeight="1">
      <c r="A328" s="23"/>
      <c r="B328" s="23"/>
      <c r="C328" s="23"/>
      <c r="D328" s="23"/>
      <c r="E328" s="23"/>
      <c r="F328" s="23"/>
    </row>
    <row r="329" spans="1:6" ht="15.75" customHeight="1">
      <c r="A329" s="23"/>
      <c r="B329" s="23"/>
      <c r="C329" s="23"/>
      <c r="D329" s="23"/>
      <c r="E329" s="23"/>
      <c r="F329" s="23"/>
    </row>
    <row r="330" spans="1:6" ht="15.75" customHeight="1">
      <c r="A330" s="23"/>
      <c r="B330" s="23"/>
      <c r="C330" s="23"/>
      <c r="D330" s="23"/>
      <c r="E330" s="23"/>
      <c r="F330" s="23"/>
    </row>
    <row r="331" spans="1:6" ht="15.75" customHeight="1">
      <c r="A331" s="23"/>
      <c r="B331" s="23"/>
      <c r="C331" s="23"/>
      <c r="D331" s="23"/>
      <c r="E331" s="23"/>
      <c r="F331" s="23"/>
    </row>
    <row r="332" spans="1:6" ht="15.75" customHeight="1">
      <c r="A332" s="23"/>
      <c r="B332" s="23"/>
      <c r="C332" s="23"/>
      <c r="D332" s="23"/>
      <c r="E332" s="23"/>
      <c r="F332" s="23"/>
    </row>
    <row r="333" spans="1:6" ht="15.75" customHeight="1">
      <c r="A333" s="23"/>
      <c r="B333" s="23"/>
      <c r="C333" s="23"/>
      <c r="D333" s="23"/>
      <c r="E333" s="23"/>
      <c r="F333" s="23"/>
    </row>
    <row r="334" spans="1:6" ht="15.75" customHeight="1">
      <c r="A334" s="23"/>
      <c r="B334" s="23"/>
      <c r="C334" s="23"/>
      <c r="D334" s="23"/>
      <c r="E334" s="23"/>
      <c r="F334" s="23"/>
    </row>
    <row r="335" spans="1:6" ht="15.75" customHeight="1">
      <c r="A335" s="23"/>
      <c r="B335" s="23"/>
      <c r="C335" s="23"/>
      <c r="D335" s="23"/>
      <c r="E335" s="23"/>
      <c r="F335" s="23"/>
    </row>
    <row r="336" spans="1:6" ht="15.75" customHeight="1">
      <c r="A336" s="23"/>
      <c r="B336" s="23"/>
      <c r="C336" s="23"/>
      <c r="D336" s="23"/>
      <c r="E336" s="23"/>
      <c r="F336" s="23"/>
    </row>
    <row r="337" spans="1:6" ht="15.75" customHeight="1">
      <c r="A337" s="23"/>
      <c r="B337" s="23"/>
      <c r="C337" s="23"/>
      <c r="D337" s="23"/>
      <c r="E337" s="23"/>
      <c r="F337" s="23"/>
    </row>
    <row r="338" spans="1:6" ht="15.75" customHeight="1">
      <c r="A338" s="23"/>
      <c r="B338" s="23"/>
      <c r="C338" s="23"/>
      <c r="D338" s="23"/>
      <c r="E338" s="23"/>
      <c r="F338" s="23"/>
    </row>
    <row r="339" spans="1:6" ht="15.75" customHeight="1">
      <c r="A339" s="23"/>
      <c r="B339" s="23"/>
      <c r="C339" s="23"/>
      <c r="D339" s="23"/>
      <c r="E339" s="23"/>
      <c r="F339" s="23"/>
    </row>
    <row r="340" spans="1:6" ht="15.75" customHeight="1">
      <c r="A340" s="23"/>
      <c r="B340" s="23"/>
      <c r="C340" s="23"/>
      <c r="D340" s="23"/>
      <c r="E340" s="23"/>
      <c r="F340" s="23"/>
    </row>
    <row r="341" spans="1:6" ht="15.75" customHeight="1">
      <c r="A341" s="23"/>
      <c r="B341" s="23"/>
      <c r="C341" s="23"/>
      <c r="D341" s="23"/>
      <c r="E341" s="23"/>
      <c r="F341" s="23"/>
    </row>
    <row r="342" spans="1:6" ht="15.75" customHeight="1">
      <c r="A342" s="23"/>
      <c r="B342" s="23"/>
      <c r="C342" s="23"/>
      <c r="D342" s="23"/>
      <c r="E342" s="23"/>
      <c r="F342" s="23"/>
    </row>
    <row r="343" spans="1:6" ht="15.75" customHeight="1">
      <c r="A343" s="23"/>
      <c r="B343" s="23"/>
      <c r="C343" s="23"/>
      <c r="D343" s="23"/>
      <c r="E343" s="23"/>
      <c r="F343" s="23"/>
    </row>
    <row r="344" spans="1:6" ht="15.75" customHeight="1">
      <c r="A344" s="23"/>
      <c r="B344" s="23"/>
      <c r="C344" s="23"/>
      <c r="D344" s="23"/>
      <c r="E344" s="23"/>
      <c r="F344" s="23"/>
    </row>
    <row r="345" spans="1:6" ht="15.75" customHeight="1">
      <c r="A345" s="23"/>
      <c r="B345" s="23"/>
      <c r="C345" s="23"/>
      <c r="D345" s="23"/>
      <c r="E345" s="23"/>
      <c r="F345" s="23"/>
    </row>
    <row r="346" spans="1:6" ht="15.75" customHeight="1">
      <c r="A346" s="23"/>
      <c r="B346" s="23"/>
      <c r="C346" s="23"/>
      <c r="D346" s="23"/>
      <c r="E346" s="23"/>
      <c r="F346" s="23"/>
    </row>
    <row r="347" spans="1:6" ht="15.75" customHeight="1">
      <c r="A347" s="23"/>
      <c r="B347" s="23"/>
      <c r="C347" s="23"/>
      <c r="D347" s="23"/>
      <c r="E347" s="23"/>
      <c r="F347" s="23"/>
    </row>
    <row r="348" spans="1:6" ht="15.75" customHeight="1">
      <c r="A348" s="23"/>
      <c r="B348" s="23"/>
      <c r="C348" s="23"/>
      <c r="D348" s="23"/>
      <c r="E348" s="23"/>
      <c r="F348" s="23"/>
    </row>
    <row r="349" spans="1:6" ht="15.75" customHeight="1">
      <c r="A349" s="23"/>
      <c r="B349" s="23"/>
      <c r="C349" s="23"/>
      <c r="D349" s="23"/>
      <c r="E349" s="23"/>
      <c r="F349" s="23"/>
    </row>
    <row r="350" spans="1:6" ht="15.75" customHeight="1">
      <c r="A350" s="23"/>
      <c r="B350" s="23"/>
      <c r="C350" s="23"/>
      <c r="D350" s="23"/>
      <c r="E350" s="23"/>
      <c r="F350" s="23"/>
    </row>
    <row r="351" spans="1:6" ht="15.75" customHeight="1">
      <c r="A351" s="23"/>
      <c r="B351" s="23"/>
      <c r="C351" s="23"/>
      <c r="D351" s="23"/>
      <c r="E351" s="23"/>
      <c r="F351" s="23"/>
    </row>
    <row r="352" spans="1:6" ht="15.75" customHeight="1">
      <c r="A352" s="23"/>
      <c r="B352" s="23"/>
      <c r="C352" s="23"/>
      <c r="D352" s="23"/>
      <c r="E352" s="23"/>
      <c r="F352" s="23"/>
    </row>
    <row r="353" spans="1:6" ht="15.75" customHeight="1">
      <c r="A353" s="23"/>
      <c r="B353" s="23"/>
      <c r="C353" s="23"/>
      <c r="D353" s="23"/>
      <c r="E353" s="23"/>
      <c r="F353" s="23"/>
    </row>
    <row r="354" spans="1:6" ht="15.75" customHeight="1">
      <c r="A354" s="23"/>
      <c r="B354" s="23"/>
      <c r="C354" s="23"/>
      <c r="D354" s="23"/>
      <c r="E354" s="23"/>
      <c r="F354" s="23"/>
    </row>
    <row r="355" spans="1:6" ht="15.75" customHeight="1">
      <c r="A355" s="23"/>
      <c r="B355" s="23"/>
      <c r="C355" s="23"/>
      <c r="D355" s="23"/>
      <c r="E355" s="23"/>
      <c r="F355" s="23"/>
    </row>
    <row r="356" spans="1:6" ht="15.75" customHeight="1">
      <c r="A356" s="23"/>
      <c r="B356" s="23"/>
      <c r="C356" s="23"/>
      <c r="D356" s="23"/>
      <c r="E356" s="23"/>
      <c r="F356" s="23"/>
    </row>
    <row r="357" spans="1:6" ht="15.75" customHeight="1">
      <c r="A357" s="23"/>
      <c r="B357" s="23"/>
      <c r="C357" s="23"/>
      <c r="D357" s="23"/>
      <c r="E357" s="23"/>
      <c r="F357" s="23"/>
    </row>
    <row r="358" spans="1:6" ht="15.75" customHeight="1">
      <c r="A358" s="23"/>
      <c r="B358" s="23"/>
      <c r="C358" s="23"/>
      <c r="D358" s="23"/>
      <c r="E358" s="23"/>
      <c r="F358" s="23"/>
    </row>
    <row r="359" spans="1:6" ht="15.75" customHeight="1">
      <c r="A359" s="23"/>
      <c r="B359" s="23"/>
      <c r="C359" s="23"/>
      <c r="D359" s="23"/>
      <c r="E359" s="23"/>
      <c r="F359" s="23"/>
    </row>
    <row r="360" spans="1:6" ht="15.75" customHeight="1">
      <c r="A360" s="23"/>
      <c r="B360" s="23"/>
      <c r="C360" s="23"/>
      <c r="D360" s="23"/>
      <c r="E360" s="23"/>
      <c r="F360" s="23"/>
    </row>
    <row r="361" spans="1:6" ht="15.75" customHeight="1">
      <c r="A361" s="23"/>
      <c r="B361" s="23"/>
      <c r="C361" s="23"/>
      <c r="D361" s="23"/>
      <c r="E361" s="23"/>
      <c r="F361" s="23"/>
    </row>
    <row r="362" spans="1:6" ht="15.75" customHeight="1">
      <c r="A362" s="23"/>
      <c r="B362" s="23"/>
      <c r="C362" s="23"/>
      <c r="D362" s="23"/>
      <c r="E362" s="23"/>
      <c r="F362" s="23"/>
    </row>
    <row r="363" spans="1:6" ht="15.75" customHeight="1">
      <c r="A363" s="23"/>
      <c r="B363" s="23"/>
      <c r="C363" s="23"/>
      <c r="D363" s="23"/>
      <c r="E363" s="23"/>
      <c r="F363" s="23"/>
    </row>
    <row r="364" spans="1:6" ht="15.75" customHeight="1">
      <c r="A364" s="23"/>
      <c r="B364" s="23"/>
      <c r="C364" s="23"/>
      <c r="D364" s="23"/>
      <c r="E364" s="23"/>
      <c r="F364" s="23"/>
    </row>
    <row r="365" spans="1:6" ht="15.75" customHeight="1">
      <c r="A365" s="23"/>
      <c r="B365" s="23"/>
      <c r="C365" s="23"/>
      <c r="D365" s="23"/>
      <c r="E365" s="23"/>
      <c r="F365" s="23"/>
    </row>
    <row r="366" spans="1:6" ht="15.75" customHeight="1">
      <c r="A366" s="23"/>
      <c r="B366" s="23"/>
      <c r="C366" s="23"/>
      <c r="D366" s="23"/>
      <c r="E366" s="23"/>
      <c r="F366" s="23"/>
    </row>
    <row r="367" spans="1:6" ht="15.75" customHeight="1">
      <c r="A367" s="23"/>
      <c r="B367" s="23"/>
      <c r="C367" s="23"/>
      <c r="D367" s="23"/>
      <c r="E367" s="23"/>
      <c r="F367" s="23"/>
    </row>
    <row r="368" spans="1:6" ht="15.75" customHeight="1">
      <c r="A368" s="23"/>
      <c r="B368" s="23"/>
      <c r="C368" s="23"/>
      <c r="D368" s="23"/>
      <c r="E368" s="23"/>
      <c r="F368" s="23"/>
    </row>
    <row r="369" spans="1:6" ht="15.75" customHeight="1">
      <c r="A369" s="23"/>
      <c r="B369" s="23"/>
      <c r="C369" s="23"/>
      <c r="D369" s="23"/>
      <c r="E369" s="23"/>
      <c r="F369" s="23"/>
    </row>
    <row r="370" spans="1:6" ht="15.75" customHeight="1">
      <c r="A370" s="23"/>
      <c r="B370" s="23"/>
      <c r="C370" s="23"/>
      <c r="D370" s="23"/>
      <c r="E370" s="23"/>
      <c r="F370" s="23"/>
    </row>
    <row r="371" spans="1:6" ht="15.75" customHeight="1">
      <c r="A371" s="23"/>
      <c r="B371" s="23"/>
      <c r="C371" s="23"/>
      <c r="D371" s="23"/>
      <c r="E371" s="23"/>
      <c r="F371" s="23"/>
    </row>
    <row r="372" spans="1:6" ht="15.75" customHeight="1">
      <c r="A372" s="23"/>
      <c r="B372" s="23"/>
      <c r="C372" s="23"/>
      <c r="D372" s="23"/>
      <c r="E372" s="23"/>
      <c r="F372" s="23"/>
    </row>
    <row r="373" spans="1:6" ht="15.75" customHeight="1">
      <c r="A373" s="23"/>
      <c r="B373" s="23"/>
      <c r="C373" s="23"/>
      <c r="D373" s="23"/>
      <c r="E373" s="23"/>
      <c r="F373" s="23"/>
    </row>
    <row r="374" spans="1:6" ht="15.75" customHeight="1">
      <c r="A374" s="23"/>
      <c r="B374" s="23"/>
      <c r="C374" s="23"/>
      <c r="D374" s="23"/>
      <c r="E374" s="23"/>
      <c r="F374" s="23"/>
    </row>
    <row r="375" spans="1:6" ht="15.75" customHeight="1">
      <c r="A375" s="23"/>
      <c r="B375" s="23"/>
      <c r="C375" s="23"/>
      <c r="D375" s="23"/>
      <c r="E375" s="23"/>
      <c r="F375" s="23"/>
    </row>
    <row r="376" spans="1:6" ht="15.75" customHeight="1">
      <c r="A376" s="23"/>
      <c r="B376" s="23"/>
      <c r="C376" s="23"/>
      <c r="D376" s="23"/>
      <c r="E376" s="23"/>
      <c r="F376" s="23"/>
    </row>
    <row r="377" spans="1:6" ht="15.75" customHeight="1">
      <c r="A377" s="23"/>
      <c r="B377" s="23"/>
      <c r="C377" s="23"/>
      <c r="D377" s="23"/>
      <c r="E377" s="23"/>
      <c r="F377" s="23"/>
    </row>
    <row r="378" spans="1:6" ht="15.75" customHeight="1">
      <c r="A378" s="23"/>
      <c r="B378" s="23"/>
      <c r="C378" s="23"/>
      <c r="D378" s="23"/>
      <c r="E378" s="23"/>
      <c r="F378" s="23"/>
    </row>
    <row r="379" spans="1:6" ht="15.75" customHeight="1">
      <c r="A379" s="23"/>
      <c r="B379" s="23"/>
      <c r="C379" s="23"/>
      <c r="D379" s="23"/>
      <c r="E379" s="23"/>
      <c r="F379" s="23"/>
    </row>
    <row r="380" spans="1:6" ht="15.75" customHeight="1">
      <c r="A380" s="23"/>
      <c r="B380" s="23"/>
      <c r="C380" s="23"/>
      <c r="D380" s="23"/>
      <c r="E380" s="23"/>
      <c r="F380" s="23"/>
    </row>
    <row r="381" spans="1:6" ht="15.75" customHeight="1">
      <c r="A381" s="23"/>
      <c r="B381" s="23"/>
      <c r="C381" s="23"/>
      <c r="D381" s="23"/>
      <c r="E381" s="23"/>
      <c r="F381" s="23"/>
    </row>
    <row r="382" spans="1:6" ht="15.75" customHeight="1">
      <c r="A382" s="23"/>
      <c r="B382" s="23"/>
      <c r="C382" s="23"/>
      <c r="D382" s="23"/>
      <c r="E382" s="23"/>
      <c r="F382" s="23"/>
    </row>
    <row r="383" spans="1:6" ht="15.75" customHeight="1">
      <c r="A383" s="23"/>
      <c r="B383" s="23"/>
      <c r="C383" s="23"/>
      <c r="D383" s="23"/>
      <c r="E383" s="23"/>
      <c r="F383" s="23"/>
    </row>
    <row r="384" spans="1:6" ht="15.75" customHeight="1">
      <c r="A384" s="23"/>
      <c r="B384" s="23"/>
      <c r="C384" s="23"/>
      <c r="D384" s="23"/>
      <c r="E384" s="23"/>
      <c r="F384" s="23"/>
    </row>
    <row r="385" spans="1:6" ht="15.75" customHeight="1">
      <c r="A385" s="23"/>
      <c r="B385" s="23"/>
      <c r="C385" s="23"/>
      <c r="D385" s="23"/>
      <c r="E385" s="23"/>
      <c r="F385" s="23"/>
    </row>
    <row r="386" spans="1:6" ht="15.75" customHeight="1">
      <c r="A386" s="23"/>
      <c r="B386" s="23"/>
      <c r="C386" s="23"/>
      <c r="D386" s="23"/>
      <c r="E386" s="23"/>
      <c r="F386" s="23"/>
    </row>
    <row r="387" spans="1:6" ht="15.75" customHeight="1">
      <c r="A387" s="23"/>
      <c r="B387" s="23"/>
      <c r="C387" s="23"/>
      <c r="D387" s="23"/>
      <c r="E387" s="23"/>
      <c r="F387" s="23"/>
    </row>
    <row r="388" spans="1:6" ht="15.75" customHeight="1">
      <c r="A388" s="23"/>
      <c r="B388" s="23"/>
      <c r="C388" s="23"/>
      <c r="D388" s="23"/>
      <c r="E388" s="23"/>
      <c r="F388" s="23"/>
    </row>
    <row r="389" spans="1:6" ht="15.75" customHeight="1">
      <c r="A389" s="23"/>
      <c r="B389" s="23"/>
      <c r="C389" s="23"/>
      <c r="D389" s="23"/>
      <c r="E389" s="23"/>
      <c r="F389" s="23"/>
    </row>
    <row r="390" spans="1:6" ht="15.75" customHeight="1">
      <c r="A390" s="23"/>
      <c r="B390" s="23"/>
      <c r="C390" s="23"/>
      <c r="D390" s="23"/>
      <c r="E390" s="23"/>
      <c r="F390" s="23"/>
    </row>
    <row r="391" spans="1:6" ht="15.75" customHeight="1">
      <c r="A391" s="23"/>
      <c r="B391" s="23"/>
      <c r="C391" s="23"/>
      <c r="D391" s="23"/>
      <c r="E391" s="23"/>
      <c r="F391" s="23"/>
    </row>
    <row r="392" spans="1:6" ht="15.75" customHeight="1">
      <c r="A392" s="23"/>
      <c r="B392" s="23"/>
      <c r="C392" s="23"/>
      <c r="D392" s="23"/>
      <c r="E392" s="23"/>
      <c r="F392" s="23"/>
    </row>
    <row r="393" spans="1:6" ht="15.75" customHeight="1">
      <c r="A393" s="23"/>
      <c r="B393" s="23"/>
      <c r="C393" s="23"/>
      <c r="D393" s="23"/>
      <c r="E393" s="23"/>
      <c r="F393" s="23"/>
    </row>
    <row r="394" spans="1:6" ht="15.75" customHeight="1">
      <c r="A394" s="23"/>
      <c r="B394" s="23"/>
      <c r="C394" s="23"/>
      <c r="D394" s="23"/>
      <c r="E394" s="23"/>
      <c r="F394" s="23"/>
    </row>
    <row r="395" spans="1:6" ht="15.75" customHeight="1">
      <c r="A395" s="23"/>
      <c r="B395" s="23"/>
      <c r="C395" s="23"/>
      <c r="D395" s="23"/>
      <c r="E395" s="23"/>
      <c r="F395" s="23"/>
    </row>
    <row r="396" spans="1:6" ht="15.75" customHeight="1">
      <c r="A396" s="23"/>
      <c r="B396" s="23"/>
      <c r="C396" s="23"/>
      <c r="D396" s="23"/>
      <c r="E396" s="23"/>
      <c r="F396" s="23"/>
    </row>
    <row r="397" spans="1:6" ht="15.75" customHeight="1">
      <c r="A397" s="23"/>
      <c r="B397" s="23"/>
      <c r="C397" s="23"/>
      <c r="D397" s="23"/>
      <c r="E397" s="23"/>
      <c r="F397" s="23"/>
    </row>
    <row r="398" spans="1:6" ht="15.75" customHeight="1">
      <c r="A398" s="23"/>
      <c r="B398" s="23"/>
      <c r="C398" s="23"/>
      <c r="D398" s="23"/>
      <c r="E398" s="23"/>
      <c r="F398" s="23"/>
    </row>
    <row r="399" spans="1:6" ht="15.75" customHeight="1">
      <c r="A399" s="23"/>
      <c r="B399" s="23"/>
      <c r="C399" s="23"/>
      <c r="D399" s="23"/>
      <c r="E399" s="23"/>
      <c r="F399" s="23"/>
    </row>
    <row r="400" spans="1:6" ht="15.75" customHeight="1">
      <c r="A400" s="23"/>
      <c r="B400" s="23"/>
      <c r="C400" s="23"/>
      <c r="D400" s="23"/>
      <c r="E400" s="23"/>
      <c r="F400" s="23"/>
    </row>
    <row r="401" spans="1:6" ht="15.75" customHeight="1">
      <c r="A401" s="23"/>
      <c r="B401" s="23"/>
      <c r="C401" s="23"/>
      <c r="D401" s="23"/>
      <c r="E401" s="23"/>
      <c r="F401" s="23"/>
    </row>
    <row r="402" spans="1:6" ht="15.75" customHeight="1">
      <c r="A402" s="23"/>
      <c r="B402" s="23"/>
      <c r="C402" s="23"/>
      <c r="D402" s="23"/>
      <c r="E402" s="23"/>
      <c r="F402" s="23"/>
    </row>
    <row r="403" spans="1:6" ht="15.75" customHeight="1">
      <c r="A403" s="23"/>
      <c r="B403" s="23"/>
      <c r="C403" s="23"/>
      <c r="D403" s="23"/>
      <c r="E403" s="23"/>
      <c r="F403" s="23"/>
    </row>
    <row r="404" spans="1:6" ht="15.75" customHeight="1">
      <c r="A404" s="23"/>
      <c r="B404" s="23"/>
      <c r="C404" s="23"/>
      <c r="D404" s="23"/>
      <c r="E404" s="23"/>
      <c r="F404" s="23"/>
    </row>
    <row r="405" spans="1:6" ht="15.75" customHeight="1">
      <c r="A405" s="23"/>
      <c r="B405" s="23"/>
      <c r="C405" s="23"/>
      <c r="D405" s="23"/>
      <c r="E405" s="23"/>
      <c r="F405" s="23"/>
    </row>
    <row r="406" spans="1:6" ht="15.75" customHeight="1">
      <c r="A406" s="23"/>
      <c r="B406" s="23"/>
      <c r="C406" s="23"/>
      <c r="D406" s="23"/>
      <c r="E406" s="23"/>
      <c r="F406" s="23"/>
    </row>
    <row r="407" spans="1:6" ht="15.75" customHeight="1">
      <c r="A407" s="23"/>
      <c r="B407" s="23"/>
      <c r="C407" s="23"/>
      <c r="D407" s="23"/>
      <c r="E407" s="23"/>
      <c r="F407" s="23"/>
    </row>
    <row r="408" spans="1:6" ht="15.75" customHeight="1">
      <c r="A408" s="23"/>
      <c r="B408" s="23"/>
      <c r="C408" s="23"/>
      <c r="D408" s="23"/>
      <c r="E408" s="23"/>
      <c r="F408" s="23"/>
    </row>
    <row r="409" spans="1:6" ht="15.75" customHeight="1">
      <c r="A409" s="23"/>
      <c r="B409" s="23"/>
      <c r="C409" s="23"/>
      <c r="D409" s="23"/>
      <c r="E409" s="23"/>
      <c r="F409" s="23"/>
    </row>
    <row r="410" spans="1:6" ht="15.75" customHeight="1">
      <c r="A410" s="23"/>
      <c r="B410" s="23"/>
      <c r="C410" s="23"/>
      <c r="D410" s="23"/>
      <c r="E410" s="23"/>
      <c r="F410" s="23"/>
    </row>
    <row r="411" spans="1:6" ht="15.75" customHeight="1">
      <c r="A411" s="23"/>
      <c r="B411" s="23"/>
      <c r="C411" s="23"/>
      <c r="D411" s="23"/>
      <c r="E411" s="23"/>
      <c r="F411" s="23"/>
    </row>
    <row r="412" spans="1:6" ht="15.75" customHeight="1">
      <c r="A412" s="23"/>
      <c r="B412" s="23"/>
      <c r="C412" s="23"/>
      <c r="D412" s="23"/>
      <c r="E412" s="23"/>
      <c r="F412" s="23"/>
    </row>
    <row r="413" spans="1:6" ht="15.75" customHeight="1">
      <c r="A413" s="23"/>
      <c r="B413" s="23"/>
      <c r="C413" s="23"/>
      <c r="D413" s="23"/>
      <c r="E413" s="23"/>
      <c r="F413" s="23"/>
    </row>
    <row r="414" spans="1:6" ht="15.75" customHeight="1">
      <c r="A414" s="23"/>
      <c r="B414" s="23"/>
      <c r="C414" s="23"/>
      <c r="D414" s="23"/>
      <c r="E414" s="23"/>
      <c r="F414" s="23"/>
    </row>
    <row r="415" spans="1:6" ht="15.75" customHeight="1">
      <c r="A415" s="23"/>
      <c r="B415" s="23"/>
      <c r="C415" s="23"/>
      <c r="D415" s="23"/>
      <c r="E415" s="23"/>
      <c r="F415" s="23"/>
    </row>
    <row r="416" spans="1:6" ht="15.75" customHeight="1">
      <c r="A416" s="23"/>
      <c r="B416" s="23"/>
      <c r="C416" s="23"/>
      <c r="D416" s="23"/>
      <c r="E416" s="23"/>
      <c r="F416" s="23"/>
    </row>
    <row r="417" spans="1:6" ht="15.75" customHeight="1">
      <c r="A417" s="23"/>
      <c r="B417" s="23"/>
      <c r="C417" s="23"/>
      <c r="D417" s="23"/>
      <c r="E417" s="23"/>
      <c r="F417" s="23"/>
    </row>
    <row r="418" spans="1:6" ht="15.75" customHeight="1">
      <c r="A418" s="23"/>
      <c r="B418" s="23"/>
      <c r="C418" s="23"/>
      <c r="D418" s="23"/>
      <c r="E418" s="23"/>
      <c r="F418" s="23"/>
    </row>
    <row r="419" spans="1:6" ht="15.75" customHeight="1">
      <c r="A419" s="23"/>
      <c r="B419" s="23"/>
      <c r="C419" s="23"/>
      <c r="D419" s="23"/>
      <c r="E419" s="23"/>
      <c r="F419" s="23"/>
    </row>
    <row r="420" spans="1:6" ht="15.75" customHeight="1">
      <c r="A420" s="23"/>
      <c r="B420" s="23"/>
      <c r="C420" s="23"/>
      <c r="D420" s="23"/>
      <c r="E420" s="23"/>
      <c r="F420" s="23"/>
    </row>
    <row r="421" spans="1:6" ht="15.75" customHeight="1">
      <c r="A421" s="23"/>
      <c r="B421" s="23"/>
      <c r="C421" s="23"/>
      <c r="D421" s="23"/>
      <c r="E421" s="23"/>
      <c r="F421" s="23"/>
    </row>
    <row r="422" spans="1:6" ht="15.75" customHeight="1">
      <c r="A422" s="23"/>
      <c r="B422" s="23"/>
      <c r="C422" s="23"/>
      <c r="D422" s="23"/>
      <c r="E422" s="23"/>
      <c r="F422" s="23"/>
    </row>
    <row r="423" spans="1:6" ht="15.75" customHeight="1">
      <c r="A423" s="23"/>
      <c r="B423" s="23"/>
      <c r="C423" s="23"/>
      <c r="D423" s="23"/>
      <c r="E423" s="23"/>
      <c r="F423" s="23"/>
    </row>
    <row r="424" spans="1:6" ht="15.75" customHeight="1">
      <c r="A424" s="23"/>
      <c r="B424" s="23"/>
      <c r="C424" s="23"/>
      <c r="D424" s="23"/>
      <c r="E424" s="23"/>
      <c r="F424" s="23"/>
    </row>
    <row r="425" spans="1:6" ht="15.75" customHeight="1">
      <c r="A425" s="23"/>
      <c r="B425" s="23"/>
      <c r="C425" s="23"/>
      <c r="D425" s="23"/>
      <c r="E425" s="23"/>
      <c r="F425" s="23"/>
    </row>
    <row r="426" spans="1:6" ht="15.75" customHeight="1">
      <c r="A426" s="23"/>
      <c r="B426" s="23"/>
      <c r="C426" s="23"/>
      <c r="D426" s="23"/>
      <c r="E426" s="23"/>
      <c r="F426" s="23"/>
    </row>
    <row r="427" spans="1:6" ht="15.75" customHeight="1">
      <c r="A427" s="23"/>
      <c r="B427" s="23"/>
      <c r="C427" s="23"/>
      <c r="D427" s="23"/>
      <c r="E427" s="23"/>
      <c r="F427" s="23"/>
    </row>
    <row r="428" spans="1:6" ht="15.75" customHeight="1">
      <c r="A428" s="23"/>
      <c r="B428" s="23"/>
      <c r="C428" s="23"/>
      <c r="D428" s="23"/>
      <c r="E428" s="23"/>
      <c r="F428" s="23"/>
    </row>
    <row r="429" spans="1:6" ht="15.75" customHeight="1">
      <c r="A429" s="23"/>
      <c r="B429" s="23"/>
      <c r="C429" s="23"/>
      <c r="D429" s="23"/>
      <c r="E429" s="23"/>
      <c r="F429" s="23"/>
    </row>
    <row r="430" spans="1:6" ht="15.75" customHeight="1">
      <c r="A430" s="23"/>
      <c r="B430" s="23"/>
      <c r="C430" s="23"/>
      <c r="D430" s="23"/>
      <c r="E430" s="23"/>
      <c r="F430" s="23"/>
    </row>
    <row r="431" spans="1:6" ht="15.75" customHeight="1">
      <c r="A431" s="23"/>
      <c r="B431" s="23"/>
      <c r="C431" s="23"/>
      <c r="D431" s="23"/>
      <c r="E431" s="23"/>
      <c r="F431" s="23"/>
    </row>
    <row r="432" spans="1:6" ht="15.75" customHeight="1">
      <c r="A432" s="23"/>
      <c r="B432" s="23"/>
      <c r="C432" s="23"/>
      <c r="D432" s="23"/>
      <c r="E432" s="23"/>
      <c r="F432" s="23"/>
    </row>
    <row r="433" spans="1:6" ht="15.75" customHeight="1">
      <c r="A433" s="23"/>
      <c r="B433" s="23"/>
      <c r="C433" s="23"/>
      <c r="D433" s="23"/>
      <c r="E433" s="23"/>
      <c r="F433" s="23"/>
    </row>
    <row r="434" spans="1:6" ht="15.75" customHeight="1">
      <c r="A434" s="23"/>
      <c r="B434" s="23"/>
      <c r="C434" s="23"/>
      <c r="D434" s="23"/>
      <c r="E434" s="23"/>
      <c r="F434" s="23"/>
    </row>
    <row r="435" spans="1:6" ht="15.75" customHeight="1">
      <c r="A435" s="23"/>
      <c r="B435" s="23"/>
      <c r="C435" s="23"/>
      <c r="D435" s="23"/>
      <c r="E435" s="23"/>
      <c r="F435" s="23"/>
    </row>
    <row r="436" spans="1:6" ht="15.75" customHeight="1">
      <c r="A436" s="23"/>
      <c r="B436" s="23"/>
      <c r="C436" s="23"/>
      <c r="D436" s="23"/>
      <c r="E436" s="23"/>
      <c r="F436" s="23"/>
    </row>
    <row r="437" spans="1:6" ht="15.75" customHeight="1">
      <c r="A437" s="23"/>
      <c r="B437" s="23"/>
      <c r="C437" s="23"/>
      <c r="D437" s="23"/>
      <c r="E437" s="23"/>
      <c r="F437" s="23"/>
    </row>
    <row r="438" spans="1:6" ht="15.75" customHeight="1">
      <c r="A438" s="23"/>
      <c r="B438" s="23"/>
      <c r="C438" s="23"/>
      <c r="D438" s="23"/>
      <c r="E438" s="23"/>
      <c r="F438" s="23"/>
    </row>
    <row r="439" spans="1:6" ht="15.75" customHeight="1">
      <c r="A439" s="23"/>
      <c r="B439" s="23"/>
      <c r="C439" s="23"/>
      <c r="D439" s="23"/>
      <c r="E439" s="23"/>
      <c r="F439" s="23"/>
    </row>
    <row r="440" spans="1:6" ht="15.75" customHeight="1">
      <c r="A440" s="23"/>
      <c r="B440" s="23"/>
      <c r="C440" s="23"/>
      <c r="D440" s="23"/>
      <c r="E440" s="23"/>
      <c r="F440" s="23"/>
    </row>
    <row r="441" spans="1:6" ht="15.75" customHeight="1">
      <c r="A441" s="23"/>
      <c r="B441" s="23"/>
      <c r="C441" s="23"/>
      <c r="D441" s="23"/>
      <c r="E441" s="23"/>
      <c r="F441" s="23"/>
    </row>
    <row r="442" spans="1:6" ht="15.75" customHeight="1">
      <c r="A442" s="23"/>
      <c r="B442" s="23"/>
      <c r="C442" s="23"/>
      <c r="D442" s="23"/>
      <c r="E442" s="23"/>
      <c r="F442" s="23"/>
    </row>
    <row r="443" spans="1:6" ht="15.75" customHeight="1">
      <c r="A443" s="23"/>
      <c r="B443" s="23"/>
      <c r="C443" s="23"/>
      <c r="D443" s="23"/>
      <c r="E443" s="23"/>
      <c r="F443" s="23"/>
    </row>
    <row r="444" spans="1:6" ht="15.75" customHeight="1">
      <c r="A444" s="23"/>
      <c r="B444" s="23"/>
      <c r="C444" s="23"/>
      <c r="D444" s="23"/>
      <c r="E444" s="23"/>
      <c r="F444" s="23"/>
    </row>
    <row r="445" spans="1:6" ht="15.75" customHeight="1">
      <c r="A445" s="23"/>
      <c r="B445" s="23"/>
      <c r="C445" s="23"/>
      <c r="D445" s="23"/>
      <c r="E445" s="23"/>
      <c r="F445" s="23"/>
    </row>
    <row r="446" spans="1:6" ht="15.75" customHeight="1">
      <c r="A446" s="23"/>
      <c r="B446" s="23"/>
      <c r="C446" s="23"/>
      <c r="D446" s="23"/>
      <c r="E446" s="23"/>
      <c r="F446" s="23"/>
    </row>
    <row r="447" spans="1:6" ht="15.75" customHeight="1">
      <c r="A447" s="23"/>
      <c r="B447" s="23"/>
      <c r="C447" s="23"/>
      <c r="D447" s="23"/>
      <c r="E447" s="23"/>
      <c r="F447" s="23"/>
    </row>
    <row r="448" spans="1:6" ht="15.75" customHeight="1">
      <c r="A448" s="23"/>
      <c r="B448" s="23"/>
      <c r="C448" s="23"/>
      <c r="D448" s="23"/>
      <c r="E448" s="23"/>
      <c r="F448" s="23"/>
    </row>
    <row r="449" spans="1:6" ht="15.75" customHeight="1">
      <c r="A449" s="23"/>
      <c r="B449" s="23"/>
      <c r="C449" s="23"/>
      <c r="D449" s="23"/>
      <c r="E449" s="23"/>
      <c r="F449" s="23"/>
    </row>
    <row r="450" spans="1:6" ht="15.75" customHeight="1">
      <c r="A450" s="23"/>
      <c r="B450" s="23"/>
      <c r="C450" s="23"/>
      <c r="D450" s="23"/>
      <c r="E450" s="23"/>
      <c r="F450" s="23"/>
    </row>
    <row r="451" spans="1:6" ht="15.75" customHeight="1">
      <c r="A451" s="23"/>
      <c r="B451" s="23"/>
      <c r="C451" s="23"/>
      <c r="D451" s="23"/>
      <c r="E451" s="23"/>
      <c r="F451" s="23"/>
    </row>
    <row r="452" spans="1:6" ht="15.75" customHeight="1">
      <c r="A452" s="23"/>
      <c r="B452" s="23"/>
      <c r="C452" s="23"/>
      <c r="D452" s="23"/>
      <c r="E452" s="23"/>
      <c r="F452" s="23"/>
    </row>
    <row r="453" spans="1:6" ht="15.75" customHeight="1">
      <c r="A453" s="23"/>
      <c r="B453" s="23"/>
      <c r="C453" s="23"/>
      <c r="D453" s="23"/>
      <c r="E453" s="23"/>
      <c r="F453" s="23"/>
    </row>
    <row r="454" spans="1:6" ht="15.75" customHeight="1">
      <c r="A454" s="23"/>
      <c r="B454" s="23"/>
      <c r="C454" s="23"/>
      <c r="D454" s="23"/>
      <c r="E454" s="23"/>
      <c r="F454" s="23"/>
    </row>
    <row r="455" spans="1:6" ht="15.75" customHeight="1">
      <c r="A455" s="23"/>
      <c r="B455" s="23"/>
      <c r="C455" s="23"/>
      <c r="D455" s="23"/>
      <c r="E455" s="23"/>
      <c r="F455" s="23"/>
    </row>
    <row r="456" spans="1:6" ht="15.75" customHeight="1">
      <c r="A456" s="23"/>
      <c r="B456" s="23"/>
      <c r="C456" s="23"/>
      <c r="D456" s="23"/>
      <c r="E456" s="23"/>
      <c r="F456" s="23"/>
    </row>
    <row r="457" spans="1:6" ht="15.75" customHeight="1">
      <c r="A457" s="23"/>
      <c r="B457" s="23"/>
      <c r="C457" s="23"/>
      <c r="D457" s="23"/>
      <c r="E457" s="23"/>
      <c r="F457" s="23"/>
    </row>
    <row r="458" spans="1:6" ht="15.75" customHeight="1">
      <c r="A458" s="23"/>
      <c r="B458" s="23"/>
      <c r="C458" s="23"/>
      <c r="D458" s="23"/>
      <c r="E458" s="23"/>
      <c r="F458" s="23"/>
    </row>
    <row r="459" spans="1:6" ht="15.75" customHeight="1">
      <c r="A459" s="23"/>
      <c r="B459" s="23"/>
      <c r="C459" s="23"/>
      <c r="D459" s="23"/>
      <c r="E459" s="23"/>
      <c r="F459" s="23"/>
    </row>
    <row r="460" spans="1:6" ht="15.75" customHeight="1">
      <c r="A460" s="23"/>
      <c r="B460" s="23"/>
      <c r="C460" s="23"/>
      <c r="D460" s="23"/>
      <c r="E460" s="23"/>
      <c r="F460" s="23"/>
    </row>
    <row r="461" spans="1:6" ht="15.75" customHeight="1">
      <c r="A461" s="23"/>
      <c r="B461" s="23"/>
      <c r="C461" s="23"/>
      <c r="D461" s="23"/>
      <c r="E461" s="23"/>
      <c r="F461" s="23"/>
    </row>
    <row r="462" spans="1:6" ht="15.75" customHeight="1">
      <c r="A462" s="23"/>
      <c r="B462" s="23"/>
      <c r="C462" s="23"/>
      <c r="D462" s="23"/>
      <c r="E462" s="23"/>
      <c r="F462" s="23"/>
    </row>
    <row r="463" spans="1:6" ht="15.75" customHeight="1">
      <c r="A463" s="23"/>
      <c r="B463" s="23"/>
      <c r="C463" s="23"/>
      <c r="D463" s="23"/>
      <c r="E463" s="23"/>
      <c r="F463" s="23"/>
    </row>
    <row r="464" spans="1:6" ht="15.75" customHeight="1">
      <c r="A464" s="23"/>
      <c r="B464" s="23"/>
      <c r="C464" s="23"/>
      <c r="D464" s="23"/>
      <c r="E464" s="23"/>
      <c r="F464" s="23"/>
    </row>
    <row r="465" spans="1:6" ht="15.75" customHeight="1">
      <c r="A465" s="23"/>
      <c r="B465" s="23"/>
      <c r="C465" s="23"/>
      <c r="D465" s="23"/>
      <c r="E465" s="23"/>
      <c r="F465" s="23"/>
    </row>
    <row r="466" spans="1:6" ht="15.75" customHeight="1">
      <c r="A466" s="23"/>
      <c r="B466" s="23"/>
      <c r="C466" s="23"/>
      <c r="D466" s="23"/>
      <c r="E466" s="23"/>
      <c r="F466" s="23"/>
    </row>
    <row r="467" spans="1:6" ht="15.75" customHeight="1">
      <c r="A467" s="23"/>
      <c r="B467" s="23"/>
      <c r="C467" s="23"/>
      <c r="D467" s="23"/>
      <c r="E467" s="23"/>
      <c r="F467" s="23"/>
    </row>
    <row r="468" spans="1:6" ht="15.75" customHeight="1">
      <c r="A468" s="23"/>
      <c r="B468" s="23"/>
      <c r="C468" s="23"/>
      <c r="D468" s="23"/>
      <c r="E468" s="23"/>
      <c r="F468" s="23"/>
    </row>
    <row r="469" spans="1:6" ht="15.75" customHeight="1">
      <c r="A469" s="23"/>
      <c r="B469" s="23"/>
      <c r="C469" s="23"/>
      <c r="D469" s="23"/>
      <c r="E469" s="23"/>
      <c r="F469" s="23"/>
    </row>
    <row r="470" spans="1:6" ht="15.75" customHeight="1">
      <c r="A470" s="23"/>
      <c r="B470" s="23"/>
      <c r="C470" s="23"/>
      <c r="D470" s="23"/>
      <c r="E470" s="23"/>
      <c r="F470" s="23"/>
    </row>
    <row r="471" spans="1:6" ht="15.75" customHeight="1">
      <c r="A471" s="23"/>
      <c r="B471" s="23"/>
      <c r="C471" s="23"/>
      <c r="D471" s="23"/>
      <c r="E471" s="23"/>
      <c r="F471" s="23"/>
    </row>
    <row r="472" spans="1:6" ht="15.75" customHeight="1">
      <c r="A472" s="23"/>
      <c r="B472" s="23"/>
      <c r="C472" s="23"/>
      <c r="D472" s="23"/>
      <c r="E472" s="23"/>
      <c r="F472" s="23"/>
    </row>
    <row r="473" spans="1:6" ht="15.75" customHeight="1">
      <c r="A473" s="23"/>
      <c r="B473" s="23"/>
      <c r="C473" s="23"/>
      <c r="D473" s="23"/>
      <c r="E473" s="23"/>
      <c r="F473" s="23"/>
    </row>
    <row r="474" spans="1:6" ht="15.75" customHeight="1">
      <c r="A474" s="23"/>
      <c r="B474" s="23"/>
      <c r="C474" s="23"/>
      <c r="D474" s="23"/>
      <c r="E474" s="23"/>
      <c r="F474" s="23"/>
    </row>
    <row r="475" spans="1:6" ht="15.75" customHeight="1">
      <c r="A475" s="23"/>
      <c r="B475" s="23"/>
      <c r="C475" s="23"/>
      <c r="D475" s="23"/>
      <c r="E475" s="23"/>
      <c r="F475" s="23"/>
    </row>
    <row r="476" spans="1:6" ht="15.75" customHeight="1">
      <c r="A476" s="23"/>
      <c r="B476" s="23"/>
      <c r="C476" s="23"/>
      <c r="D476" s="23"/>
      <c r="E476" s="23"/>
      <c r="F476" s="23"/>
    </row>
    <row r="477" spans="1:6" ht="15.75" customHeight="1">
      <c r="A477" s="23"/>
      <c r="B477" s="23"/>
      <c r="C477" s="23"/>
      <c r="D477" s="23"/>
      <c r="E477" s="23"/>
      <c r="F477" s="23"/>
    </row>
    <row r="478" spans="1:6" ht="15.75" customHeight="1">
      <c r="A478" s="23"/>
      <c r="B478" s="23"/>
      <c r="C478" s="23"/>
      <c r="D478" s="23"/>
      <c r="E478" s="23"/>
      <c r="F478" s="23"/>
    </row>
    <row r="479" spans="1:6" ht="15.75" customHeight="1">
      <c r="A479" s="23"/>
      <c r="B479" s="23"/>
      <c r="C479" s="23"/>
      <c r="D479" s="23"/>
      <c r="E479" s="23"/>
      <c r="F479" s="23"/>
    </row>
    <row r="480" spans="1:6" ht="15.75" customHeight="1">
      <c r="A480" s="23"/>
      <c r="B480" s="23"/>
      <c r="C480" s="23"/>
      <c r="D480" s="23"/>
      <c r="E480" s="23"/>
      <c r="F480" s="23"/>
    </row>
    <row r="481" spans="1:6" ht="15.75" customHeight="1">
      <c r="A481" s="23"/>
      <c r="B481" s="23"/>
      <c r="C481" s="23"/>
      <c r="D481" s="23"/>
      <c r="E481" s="23"/>
      <c r="F481" s="23"/>
    </row>
    <row r="482" spans="1:6" ht="15.75" customHeight="1">
      <c r="A482" s="23"/>
      <c r="B482" s="23"/>
      <c r="C482" s="23"/>
      <c r="D482" s="23"/>
      <c r="E482" s="23"/>
      <c r="F482" s="23"/>
    </row>
    <row r="483" spans="1:6" ht="15.75" customHeight="1">
      <c r="A483" s="23"/>
      <c r="B483" s="23"/>
      <c r="C483" s="23"/>
      <c r="D483" s="23"/>
      <c r="E483" s="23"/>
      <c r="F483" s="23"/>
    </row>
    <row r="484" spans="1:6" ht="15.75" customHeight="1">
      <c r="A484" s="23"/>
      <c r="B484" s="23"/>
      <c r="C484" s="23"/>
      <c r="D484" s="23"/>
      <c r="E484" s="23"/>
      <c r="F484" s="23"/>
    </row>
    <row r="485" spans="1:6" ht="15.75" customHeight="1">
      <c r="A485" s="23"/>
      <c r="B485" s="23"/>
      <c r="C485" s="23"/>
      <c r="D485" s="23"/>
      <c r="E485" s="23"/>
      <c r="F485" s="23"/>
    </row>
    <row r="486" spans="1:6" ht="15.75" customHeight="1">
      <c r="A486" s="23"/>
      <c r="B486" s="23"/>
      <c r="C486" s="23"/>
      <c r="D486" s="23"/>
      <c r="E486" s="23"/>
      <c r="F486" s="23"/>
    </row>
    <row r="487" spans="1:6" ht="15.75" customHeight="1">
      <c r="A487" s="23"/>
      <c r="B487" s="23"/>
      <c r="C487" s="23"/>
      <c r="D487" s="23"/>
      <c r="E487" s="23"/>
      <c r="F487" s="23"/>
    </row>
    <row r="488" spans="1:6" ht="15.75" customHeight="1">
      <c r="A488" s="23"/>
      <c r="B488" s="23"/>
      <c r="C488" s="23"/>
      <c r="D488" s="23"/>
      <c r="E488" s="23"/>
      <c r="F488" s="23"/>
    </row>
    <row r="489" spans="1:6" ht="15.75" customHeight="1">
      <c r="A489" s="23"/>
      <c r="B489" s="23"/>
      <c r="C489" s="23"/>
      <c r="D489" s="23"/>
      <c r="E489" s="23"/>
      <c r="F489" s="23"/>
    </row>
    <row r="490" spans="1:6" ht="15.75" customHeight="1">
      <c r="A490" s="23"/>
      <c r="B490" s="23"/>
      <c r="C490" s="23"/>
      <c r="D490" s="23"/>
      <c r="E490" s="23"/>
      <c r="F490" s="23"/>
    </row>
    <row r="491" spans="1:6" ht="15.75" customHeight="1">
      <c r="A491" s="23"/>
      <c r="B491" s="23"/>
      <c r="C491" s="23"/>
      <c r="D491" s="23"/>
      <c r="E491" s="23"/>
      <c r="F491" s="23"/>
    </row>
    <row r="492" spans="1:6" ht="15.75" customHeight="1">
      <c r="A492" s="23"/>
      <c r="B492" s="23"/>
      <c r="C492" s="23"/>
      <c r="D492" s="23"/>
      <c r="E492" s="23"/>
      <c r="F492" s="23"/>
    </row>
    <row r="493" spans="1:6" ht="15.75" customHeight="1">
      <c r="A493" s="23"/>
      <c r="B493" s="23"/>
      <c r="C493" s="23"/>
      <c r="D493" s="23"/>
      <c r="E493" s="23"/>
      <c r="F493" s="23"/>
    </row>
    <row r="494" spans="1:6" ht="15.75" customHeight="1">
      <c r="A494" s="23"/>
      <c r="B494" s="23"/>
      <c r="C494" s="23"/>
      <c r="D494" s="23"/>
      <c r="E494" s="23"/>
      <c r="F494" s="23"/>
    </row>
    <row r="495" spans="1:6" ht="15.75" customHeight="1">
      <c r="A495" s="23"/>
      <c r="B495" s="23"/>
      <c r="C495" s="23"/>
      <c r="D495" s="23"/>
      <c r="E495" s="23"/>
      <c r="F495" s="23"/>
    </row>
    <row r="496" spans="1:6" ht="15.75" customHeight="1">
      <c r="A496" s="23"/>
      <c r="B496" s="23"/>
      <c r="C496" s="23"/>
      <c r="D496" s="23"/>
      <c r="E496" s="23"/>
      <c r="F496" s="23"/>
    </row>
    <row r="497" spans="1:6" ht="15.75" customHeight="1">
      <c r="A497" s="23"/>
      <c r="B497" s="23"/>
      <c r="C497" s="23"/>
      <c r="D497" s="23"/>
      <c r="E497" s="23"/>
      <c r="F497" s="23"/>
    </row>
    <row r="498" spans="1:6" ht="15.75" customHeight="1">
      <c r="A498" s="23"/>
      <c r="B498" s="23"/>
      <c r="C498" s="23"/>
      <c r="D498" s="23"/>
      <c r="E498" s="23"/>
      <c r="F498" s="23"/>
    </row>
    <row r="499" spans="1:6" ht="15.75" customHeight="1">
      <c r="A499" s="23"/>
      <c r="B499" s="23"/>
      <c r="C499" s="23"/>
      <c r="D499" s="23"/>
      <c r="E499" s="23"/>
      <c r="F499" s="23"/>
    </row>
    <row r="500" spans="1:6" ht="15.75" customHeight="1">
      <c r="A500" s="23"/>
      <c r="B500" s="23"/>
      <c r="C500" s="23"/>
      <c r="D500" s="23"/>
      <c r="E500" s="23"/>
      <c r="F500" s="23"/>
    </row>
    <row r="501" spans="1:6" ht="15.75" customHeight="1">
      <c r="A501" s="23"/>
      <c r="B501" s="23"/>
      <c r="C501" s="23"/>
      <c r="D501" s="23"/>
      <c r="E501" s="23"/>
      <c r="F501" s="23"/>
    </row>
    <row r="502" spans="1:6" ht="15.75" customHeight="1">
      <c r="A502" s="23"/>
      <c r="B502" s="23"/>
      <c r="C502" s="23"/>
      <c r="D502" s="23"/>
      <c r="E502" s="23"/>
      <c r="F502" s="23"/>
    </row>
    <row r="503" spans="1:6" ht="15.75" customHeight="1">
      <c r="A503" s="23"/>
      <c r="B503" s="23"/>
      <c r="C503" s="23"/>
      <c r="D503" s="23"/>
      <c r="E503" s="23"/>
      <c r="F503" s="23"/>
    </row>
    <row r="504" spans="1:6" ht="15.75" customHeight="1">
      <c r="A504" s="23"/>
      <c r="B504" s="23"/>
      <c r="C504" s="23"/>
      <c r="D504" s="23"/>
      <c r="E504" s="23"/>
      <c r="F504" s="23"/>
    </row>
    <row r="505" spans="1:6" ht="15.75" customHeight="1">
      <c r="A505" s="23"/>
      <c r="B505" s="23"/>
      <c r="C505" s="23"/>
      <c r="D505" s="23"/>
      <c r="E505" s="23"/>
      <c r="F505" s="23"/>
    </row>
    <row r="506" spans="1:6" ht="15.75" customHeight="1">
      <c r="A506" s="23"/>
      <c r="B506" s="23"/>
      <c r="C506" s="23"/>
      <c r="D506" s="23"/>
      <c r="E506" s="23"/>
      <c r="F506" s="23"/>
    </row>
    <row r="507" spans="1:6" ht="15.75" customHeight="1">
      <c r="A507" s="23"/>
      <c r="B507" s="23"/>
      <c r="C507" s="23"/>
      <c r="D507" s="23"/>
      <c r="E507" s="23"/>
      <c r="F507" s="23"/>
    </row>
    <row r="508" spans="1:6" ht="15.75" customHeight="1">
      <c r="A508" s="23"/>
      <c r="B508" s="23"/>
      <c r="C508" s="23"/>
      <c r="D508" s="23"/>
      <c r="E508" s="23"/>
      <c r="F508" s="23"/>
    </row>
    <row r="509" spans="1:6" ht="15.75" customHeight="1">
      <c r="A509" s="23"/>
      <c r="B509" s="23"/>
      <c r="C509" s="23"/>
      <c r="D509" s="23"/>
      <c r="E509" s="23"/>
      <c r="F509" s="23"/>
    </row>
    <row r="510" spans="1:6" ht="15.75" customHeight="1">
      <c r="A510" s="23"/>
      <c r="B510" s="23"/>
      <c r="C510" s="23"/>
      <c r="D510" s="23"/>
      <c r="E510" s="23"/>
      <c r="F510" s="23"/>
    </row>
    <row r="511" spans="1:6" ht="15.75" customHeight="1">
      <c r="A511" s="23"/>
      <c r="B511" s="23"/>
      <c r="C511" s="23"/>
      <c r="D511" s="23"/>
      <c r="E511" s="23"/>
      <c r="F511" s="23"/>
    </row>
    <row r="512" spans="1:6" ht="15.75" customHeight="1">
      <c r="A512" s="23"/>
      <c r="B512" s="23"/>
      <c r="C512" s="23"/>
      <c r="D512" s="23"/>
      <c r="E512" s="23"/>
      <c r="F512" s="23"/>
    </row>
    <row r="513" spans="1:6" ht="15.75" customHeight="1">
      <c r="A513" s="23"/>
      <c r="B513" s="23"/>
      <c r="C513" s="23"/>
      <c r="D513" s="23"/>
      <c r="E513" s="23"/>
      <c r="F513" s="23"/>
    </row>
    <row r="514" spans="1:6" ht="15.75" customHeight="1">
      <c r="A514" s="23"/>
      <c r="B514" s="23"/>
      <c r="C514" s="23"/>
      <c r="D514" s="23"/>
      <c r="E514" s="23"/>
      <c r="F514" s="23"/>
    </row>
    <row r="515" spans="1:6" ht="15.75" customHeight="1">
      <c r="A515" s="23"/>
      <c r="B515" s="23"/>
      <c r="C515" s="23"/>
      <c r="D515" s="23"/>
      <c r="E515" s="23"/>
      <c r="F515" s="23"/>
    </row>
    <row r="516" spans="1:6" ht="15.75" customHeight="1">
      <c r="A516" s="23"/>
      <c r="B516" s="23"/>
      <c r="C516" s="23"/>
      <c r="D516" s="23"/>
      <c r="E516" s="23"/>
      <c r="F516" s="23"/>
    </row>
    <row r="517" spans="1:6" ht="15.75" customHeight="1">
      <c r="A517" s="23"/>
      <c r="B517" s="23"/>
      <c r="C517" s="23"/>
      <c r="D517" s="23"/>
      <c r="E517" s="23"/>
      <c r="F517" s="23"/>
    </row>
    <row r="518" spans="1:6" ht="15.75" customHeight="1">
      <c r="A518" s="23"/>
      <c r="B518" s="23"/>
      <c r="C518" s="23"/>
      <c r="D518" s="23"/>
      <c r="E518" s="23"/>
      <c r="F518" s="23"/>
    </row>
    <row r="519" spans="1:6" ht="15.75" customHeight="1">
      <c r="A519" s="23"/>
      <c r="B519" s="23"/>
      <c r="C519" s="23"/>
      <c r="D519" s="23"/>
      <c r="E519" s="23"/>
      <c r="F519" s="23"/>
    </row>
    <row r="520" spans="1:6" ht="15.75" customHeight="1">
      <c r="A520" s="23"/>
      <c r="B520" s="23"/>
      <c r="C520" s="23"/>
      <c r="D520" s="23"/>
      <c r="E520" s="23"/>
      <c r="F520" s="23"/>
    </row>
    <row r="521" spans="1:6" ht="15.75" customHeight="1">
      <c r="A521" s="23"/>
      <c r="B521" s="23"/>
      <c r="C521" s="23"/>
      <c r="D521" s="23"/>
      <c r="E521" s="23"/>
      <c r="F521" s="23"/>
    </row>
    <row r="522" spans="1:6" ht="15.75" customHeight="1">
      <c r="A522" s="23"/>
      <c r="B522" s="23"/>
      <c r="C522" s="23"/>
      <c r="D522" s="23"/>
      <c r="E522" s="23"/>
      <c r="F522" s="23"/>
    </row>
    <row r="523" spans="1:6" ht="15.75" customHeight="1">
      <c r="A523" s="23"/>
      <c r="B523" s="23"/>
      <c r="C523" s="23"/>
      <c r="D523" s="23"/>
      <c r="E523" s="23"/>
      <c r="F523" s="23"/>
    </row>
    <row r="524" spans="1:6" ht="15.75" customHeight="1">
      <c r="A524" s="23"/>
      <c r="B524" s="23"/>
      <c r="C524" s="23"/>
      <c r="D524" s="23"/>
      <c r="E524" s="23"/>
      <c r="F524" s="23"/>
    </row>
    <row r="525" spans="1:6" ht="15.75" customHeight="1">
      <c r="A525" s="23"/>
      <c r="B525" s="23"/>
      <c r="C525" s="23"/>
      <c r="D525" s="23"/>
      <c r="E525" s="23"/>
      <c r="F525" s="23"/>
    </row>
    <row r="526" spans="1:6" ht="15.75" customHeight="1">
      <c r="A526" s="23"/>
      <c r="B526" s="23"/>
      <c r="C526" s="23"/>
      <c r="D526" s="23"/>
      <c r="E526" s="23"/>
      <c r="F526" s="23"/>
    </row>
    <row r="527" spans="1:6" ht="15.75" customHeight="1">
      <c r="A527" s="23"/>
      <c r="B527" s="23"/>
      <c r="C527" s="23"/>
      <c r="D527" s="23"/>
      <c r="E527" s="23"/>
      <c r="F527" s="23"/>
    </row>
    <row r="528" spans="1:6" ht="15.75" customHeight="1">
      <c r="A528" s="23"/>
      <c r="B528" s="23"/>
      <c r="C528" s="23"/>
      <c r="D528" s="23"/>
      <c r="E528" s="23"/>
      <c r="F528" s="23"/>
    </row>
    <row r="529" spans="1:6" ht="15.75" customHeight="1">
      <c r="A529" s="23"/>
      <c r="B529" s="23"/>
      <c r="C529" s="23"/>
      <c r="D529" s="23"/>
      <c r="E529" s="23"/>
      <c r="F529" s="23"/>
    </row>
    <row r="530" spans="1:6" ht="15.75" customHeight="1">
      <c r="A530" s="23"/>
      <c r="B530" s="23"/>
      <c r="C530" s="23"/>
      <c r="D530" s="23"/>
      <c r="E530" s="23"/>
      <c r="F530" s="23"/>
    </row>
    <row r="531" spans="1:6" ht="15.75" customHeight="1">
      <c r="A531" s="23"/>
      <c r="B531" s="23"/>
      <c r="C531" s="23"/>
      <c r="D531" s="23"/>
      <c r="E531" s="23"/>
      <c r="F531" s="23"/>
    </row>
    <row r="532" spans="1:6" ht="15.75" customHeight="1">
      <c r="A532" s="23"/>
      <c r="B532" s="23"/>
      <c r="C532" s="23"/>
      <c r="D532" s="23"/>
      <c r="E532" s="23"/>
      <c r="F532" s="23"/>
    </row>
    <row r="533" spans="1:6" ht="15.75" customHeight="1">
      <c r="A533" s="23"/>
      <c r="B533" s="23"/>
      <c r="C533" s="23"/>
      <c r="D533" s="23"/>
      <c r="E533" s="23"/>
      <c r="F533" s="23"/>
    </row>
    <row r="534" spans="1:6" ht="15.75" customHeight="1">
      <c r="A534" s="23"/>
      <c r="B534" s="23"/>
      <c r="C534" s="23"/>
      <c r="D534" s="23"/>
      <c r="E534" s="23"/>
      <c r="F534" s="23"/>
    </row>
    <row r="535" spans="1:6" ht="15.75" customHeight="1">
      <c r="A535" s="23"/>
      <c r="B535" s="23"/>
      <c r="C535" s="23"/>
      <c r="D535" s="23"/>
      <c r="E535" s="23"/>
      <c r="F535" s="23"/>
    </row>
    <row r="536" spans="1:6" ht="15.75" customHeight="1">
      <c r="A536" s="23"/>
      <c r="B536" s="23"/>
      <c r="C536" s="23"/>
      <c r="D536" s="23"/>
      <c r="E536" s="23"/>
      <c r="F536" s="23"/>
    </row>
    <row r="537" spans="1:6" ht="15.75" customHeight="1">
      <c r="A537" s="23"/>
      <c r="B537" s="23"/>
      <c r="C537" s="23"/>
      <c r="D537" s="23"/>
      <c r="E537" s="23"/>
      <c r="F537" s="23"/>
    </row>
    <row r="538" spans="1:6" ht="15.75" customHeight="1">
      <c r="A538" s="23"/>
      <c r="B538" s="23"/>
      <c r="C538" s="23"/>
      <c r="D538" s="23"/>
      <c r="E538" s="23"/>
      <c r="F538" s="23"/>
    </row>
    <row r="539" spans="1:6" ht="15.75" customHeight="1">
      <c r="A539" s="23"/>
      <c r="B539" s="23"/>
      <c r="C539" s="23"/>
      <c r="D539" s="23"/>
      <c r="E539" s="23"/>
      <c r="F539" s="23"/>
    </row>
    <row r="540" spans="1:6" ht="15.75" customHeight="1">
      <c r="A540" s="23"/>
      <c r="B540" s="23"/>
      <c r="C540" s="23"/>
      <c r="D540" s="23"/>
      <c r="E540" s="23"/>
      <c r="F540" s="23"/>
    </row>
    <row r="541" spans="1:6" ht="15.75" customHeight="1">
      <c r="A541" s="23"/>
      <c r="B541" s="23"/>
      <c r="C541" s="23"/>
      <c r="D541" s="23"/>
      <c r="E541" s="23"/>
      <c r="F541" s="23"/>
    </row>
    <row r="542" spans="1:6" ht="15.75" customHeight="1">
      <c r="A542" s="23"/>
      <c r="B542" s="23"/>
      <c r="C542" s="23"/>
      <c r="D542" s="23"/>
      <c r="E542" s="23"/>
      <c r="F542" s="23"/>
    </row>
    <row r="543" spans="1:6" ht="15.75" customHeight="1">
      <c r="A543" s="23"/>
      <c r="B543" s="23"/>
      <c r="C543" s="23"/>
      <c r="D543" s="23"/>
      <c r="E543" s="23"/>
      <c r="F543" s="23"/>
    </row>
    <row r="544" spans="1:6" ht="15.75" customHeight="1">
      <c r="A544" s="23"/>
      <c r="B544" s="23"/>
      <c r="C544" s="23"/>
      <c r="D544" s="23"/>
      <c r="E544" s="23"/>
      <c r="F544" s="23"/>
    </row>
    <row r="545" spans="1:6" ht="15.75" customHeight="1">
      <c r="A545" s="23"/>
      <c r="B545" s="23"/>
      <c r="C545" s="23"/>
      <c r="D545" s="23"/>
      <c r="E545" s="23"/>
      <c r="F545" s="23"/>
    </row>
    <row r="546" spans="1:6" ht="15.75" customHeight="1">
      <c r="A546" s="23"/>
      <c r="B546" s="23"/>
      <c r="C546" s="23"/>
      <c r="D546" s="23"/>
      <c r="E546" s="23"/>
      <c r="F546" s="23"/>
    </row>
    <row r="547" spans="1:6" ht="15.75" customHeight="1">
      <c r="A547" s="23"/>
      <c r="B547" s="23"/>
      <c r="C547" s="23"/>
      <c r="D547" s="23"/>
      <c r="E547" s="23"/>
      <c r="F547" s="23"/>
    </row>
    <row r="548" spans="1:6" ht="15.75" customHeight="1">
      <c r="A548" s="23"/>
      <c r="B548" s="23"/>
      <c r="C548" s="23"/>
      <c r="D548" s="23"/>
      <c r="E548" s="23"/>
      <c r="F548" s="23"/>
    </row>
    <row r="549" spans="1:6" ht="15.75" customHeight="1">
      <c r="A549" s="23"/>
      <c r="B549" s="23"/>
      <c r="C549" s="23"/>
      <c r="D549" s="23"/>
      <c r="E549" s="23"/>
      <c r="F549" s="23"/>
    </row>
    <row r="550" spans="1:6" ht="15.75" customHeight="1">
      <c r="A550" s="23"/>
      <c r="B550" s="23"/>
      <c r="C550" s="23"/>
      <c r="D550" s="23"/>
      <c r="E550" s="23"/>
      <c r="F550" s="23"/>
    </row>
    <row r="551" spans="1:6" ht="15.75" customHeight="1">
      <c r="A551" s="23"/>
      <c r="B551" s="23"/>
      <c r="C551" s="23"/>
      <c r="D551" s="23"/>
      <c r="E551" s="23"/>
      <c r="F551" s="23"/>
    </row>
    <row r="552" spans="1:6" ht="15.75" customHeight="1">
      <c r="A552" s="23"/>
      <c r="B552" s="23"/>
      <c r="C552" s="23"/>
      <c r="D552" s="23"/>
      <c r="E552" s="23"/>
      <c r="F552" s="23"/>
    </row>
    <row r="553" spans="1:6" ht="15.75" customHeight="1">
      <c r="A553" s="23"/>
      <c r="B553" s="23"/>
      <c r="C553" s="23"/>
      <c r="D553" s="23"/>
      <c r="E553" s="23"/>
      <c r="F553" s="23"/>
    </row>
    <row r="554" spans="1:6" ht="15.75" customHeight="1">
      <c r="A554" s="23"/>
      <c r="B554" s="23"/>
      <c r="C554" s="23"/>
      <c r="D554" s="23"/>
      <c r="E554" s="23"/>
      <c r="F554" s="23"/>
    </row>
    <row r="555" spans="1:6" ht="15.75" customHeight="1">
      <c r="A555" s="23"/>
      <c r="B555" s="23"/>
      <c r="C555" s="23"/>
      <c r="D555" s="23"/>
      <c r="E555" s="23"/>
      <c r="F555" s="23"/>
    </row>
    <row r="556" spans="1:6" ht="15.75" customHeight="1">
      <c r="A556" s="23"/>
      <c r="B556" s="23"/>
      <c r="C556" s="23"/>
      <c r="D556" s="23"/>
      <c r="E556" s="23"/>
      <c r="F556" s="23"/>
    </row>
    <row r="557" spans="1:6" ht="15.75" customHeight="1">
      <c r="A557" s="23"/>
      <c r="B557" s="23"/>
      <c r="C557" s="23"/>
      <c r="D557" s="23"/>
      <c r="E557" s="23"/>
      <c r="F557" s="23"/>
    </row>
    <row r="558" spans="1:6" ht="15.75" customHeight="1">
      <c r="A558" s="23"/>
      <c r="B558" s="23"/>
      <c r="C558" s="23"/>
      <c r="D558" s="23"/>
      <c r="E558" s="23"/>
      <c r="F558" s="23"/>
    </row>
    <row r="559" spans="1:6" ht="15.75" customHeight="1">
      <c r="A559" s="23"/>
      <c r="B559" s="23"/>
      <c r="C559" s="23"/>
      <c r="D559" s="23"/>
      <c r="E559" s="23"/>
      <c r="F559" s="23"/>
    </row>
    <row r="560" spans="1:6" ht="15.75" customHeight="1">
      <c r="A560" s="23"/>
      <c r="B560" s="23"/>
      <c r="C560" s="23"/>
      <c r="D560" s="23"/>
      <c r="E560" s="23"/>
      <c r="F560" s="23"/>
    </row>
    <row r="561" spans="1:6" ht="15.75" customHeight="1">
      <c r="A561" s="23"/>
      <c r="B561" s="23"/>
      <c r="C561" s="23"/>
      <c r="D561" s="23"/>
      <c r="E561" s="23"/>
      <c r="F561" s="23"/>
    </row>
    <row r="562" spans="1:6" ht="15.75" customHeight="1">
      <c r="A562" s="23"/>
      <c r="B562" s="23"/>
      <c r="C562" s="23"/>
      <c r="D562" s="23"/>
      <c r="E562" s="23"/>
      <c r="F562" s="23"/>
    </row>
    <row r="563" spans="1:6" ht="15.75" customHeight="1">
      <c r="A563" s="23"/>
      <c r="B563" s="23"/>
      <c r="C563" s="23"/>
      <c r="D563" s="23"/>
      <c r="E563" s="23"/>
      <c r="F563" s="23"/>
    </row>
    <row r="564" spans="1:6" ht="15.75" customHeight="1">
      <c r="A564" s="23"/>
      <c r="B564" s="23"/>
      <c r="C564" s="23"/>
      <c r="D564" s="23"/>
      <c r="E564" s="23"/>
      <c r="F564" s="23"/>
    </row>
    <row r="565" spans="1:6" ht="15.75" customHeight="1">
      <c r="A565" s="23"/>
      <c r="B565" s="23"/>
      <c r="C565" s="23"/>
      <c r="D565" s="23"/>
      <c r="E565" s="23"/>
      <c r="F565" s="23"/>
    </row>
    <row r="566" spans="1:6" ht="15.75" customHeight="1">
      <c r="A566" s="23"/>
      <c r="B566" s="23"/>
      <c r="C566" s="23"/>
      <c r="D566" s="23"/>
      <c r="E566" s="23"/>
      <c r="F566" s="23"/>
    </row>
    <row r="567" spans="1:6" ht="15.75" customHeight="1">
      <c r="A567" s="23"/>
      <c r="B567" s="23"/>
      <c r="C567" s="23"/>
      <c r="D567" s="23"/>
      <c r="E567" s="23"/>
      <c r="F567" s="23"/>
    </row>
    <row r="568" spans="1:6" ht="15.75" customHeight="1">
      <c r="A568" s="23"/>
      <c r="B568" s="23"/>
      <c r="C568" s="23"/>
      <c r="D568" s="23"/>
      <c r="E568" s="23"/>
      <c r="F568" s="23"/>
    </row>
    <row r="569" spans="1:6" ht="15.75" customHeight="1">
      <c r="A569" s="23"/>
      <c r="B569" s="23"/>
      <c r="C569" s="23"/>
      <c r="D569" s="23"/>
      <c r="E569" s="23"/>
      <c r="F569" s="23"/>
    </row>
    <row r="570" spans="1:6" ht="15.75" customHeight="1">
      <c r="A570" s="23"/>
      <c r="B570" s="23"/>
      <c r="C570" s="23"/>
      <c r="D570" s="23"/>
      <c r="E570" s="23"/>
      <c r="F570" s="23"/>
    </row>
    <row r="571" spans="1:6" ht="15.75" customHeight="1">
      <c r="A571" s="23"/>
      <c r="B571" s="23"/>
      <c r="C571" s="23"/>
      <c r="D571" s="23"/>
      <c r="E571" s="23"/>
      <c r="F571" s="23"/>
    </row>
    <row r="572" spans="1:6" ht="15.75" customHeight="1">
      <c r="A572" s="23"/>
      <c r="B572" s="23"/>
      <c r="C572" s="23"/>
      <c r="D572" s="23"/>
      <c r="E572" s="23"/>
      <c r="F572" s="23"/>
    </row>
    <row r="573" spans="1:6" ht="15.75" customHeight="1">
      <c r="A573" s="23"/>
      <c r="B573" s="23"/>
      <c r="C573" s="23"/>
      <c r="D573" s="23"/>
      <c r="E573" s="23"/>
      <c r="F573" s="23"/>
    </row>
    <row r="574" spans="1:6" ht="15.75" customHeight="1">
      <c r="A574" s="23"/>
      <c r="B574" s="23"/>
      <c r="C574" s="23"/>
      <c r="D574" s="23"/>
      <c r="E574" s="23"/>
      <c r="F574" s="23"/>
    </row>
    <row r="575" spans="1:6" ht="15.75" customHeight="1">
      <c r="A575" s="23"/>
      <c r="B575" s="23"/>
      <c r="C575" s="23"/>
      <c r="D575" s="23"/>
      <c r="E575" s="23"/>
      <c r="F575" s="23"/>
    </row>
    <row r="576" spans="1:6" ht="15.75" customHeight="1">
      <c r="A576" s="23"/>
      <c r="B576" s="23"/>
      <c r="C576" s="23"/>
      <c r="D576" s="23"/>
      <c r="E576" s="23"/>
      <c r="F576" s="23"/>
    </row>
    <row r="577" spans="1:6" ht="15.75" customHeight="1">
      <c r="A577" s="23"/>
      <c r="B577" s="23"/>
      <c r="C577" s="23"/>
      <c r="D577" s="23"/>
      <c r="E577" s="23"/>
      <c r="F577" s="23"/>
    </row>
    <row r="578" spans="1:6" ht="15.75" customHeight="1">
      <c r="A578" s="23"/>
      <c r="B578" s="23"/>
      <c r="C578" s="23"/>
      <c r="D578" s="23"/>
      <c r="E578" s="23"/>
      <c r="F578" s="23"/>
    </row>
    <row r="579" spans="1:6" ht="15.75" customHeight="1">
      <c r="A579" s="23"/>
      <c r="B579" s="23"/>
      <c r="C579" s="23"/>
      <c r="D579" s="23"/>
      <c r="E579" s="23"/>
      <c r="F579" s="23"/>
    </row>
    <row r="580" spans="1:6" ht="15.75" customHeight="1">
      <c r="A580" s="23"/>
      <c r="B580" s="23"/>
      <c r="C580" s="23"/>
      <c r="D580" s="23"/>
      <c r="E580" s="23"/>
      <c r="F580" s="23"/>
    </row>
    <row r="581" spans="1:6" ht="15.75" customHeight="1">
      <c r="A581" s="23"/>
      <c r="B581" s="23"/>
      <c r="C581" s="23"/>
      <c r="D581" s="23"/>
      <c r="E581" s="23"/>
      <c r="F581" s="23"/>
    </row>
    <row r="582" spans="1:6" ht="15.75" customHeight="1">
      <c r="A582" s="23"/>
      <c r="B582" s="23"/>
      <c r="C582" s="23"/>
      <c r="D582" s="23"/>
      <c r="E582" s="23"/>
      <c r="F582" s="23"/>
    </row>
    <row r="583" spans="1:6" ht="15.75" customHeight="1">
      <c r="A583" s="23"/>
      <c r="B583" s="23"/>
      <c r="C583" s="23"/>
      <c r="D583" s="23"/>
      <c r="E583" s="23"/>
      <c r="F583" s="23"/>
    </row>
    <row r="584" spans="1:6" ht="15.75" customHeight="1">
      <c r="A584" s="23"/>
      <c r="B584" s="23"/>
      <c r="C584" s="23"/>
      <c r="D584" s="23"/>
      <c r="E584" s="23"/>
      <c r="F584" s="23"/>
    </row>
    <row r="585" spans="1:6" ht="15.75" customHeight="1">
      <c r="A585" s="23"/>
      <c r="B585" s="23"/>
      <c r="C585" s="23"/>
      <c r="D585" s="23"/>
      <c r="E585" s="23"/>
      <c r="F585" s="23"/>
    </row>
    <row r="586" spans="1:6" ht="15.75" customHeight="1">
      <c r="A586" s="23"/>
      <c r="B586" s="23"/>
      <c r="C586" s="23"/>
      <c r="D586" s="23"/>
      <c r="E586" s="23"/>
      <c r="F586" s="23"/>
    </row>
    <row r="587" spans="1:6" ht="15.75" customHeight="1">
      <c r="A587" s="23"/>
      <c r="B587" s="23"/>
      <c r="C587" s="23"/>
      <c r="D587" s="23"/>
      <c r="E587" s="23"/>
      <c r="F587" s="23"/>
    </row>
    <row r="588" spans="1:6" ht="15.75" customHeight="1">
      <c r="A588" s="23"/>
      <c r="B588" s="23"/>
      <c r="C588" s="23"/>
      <c r="D588" s="23"/>
      <c r="E588" s="23"/>
      <c r="F588" s="23"/>
    </row>
    <row r="589" spans="1:6" ht="15.75" customHeight="1">
      <c r="A589" s="23"/>
      <c r="B589" s="23"/>
      <c r="C589" s="23"/>
      <c r="D589" s="23"/>
      <c r="E589" s="23"/>
      <c r="F589" s="23"/>
    </row>
    <row r="590" spans="1:6" ht="15.75" customHeight="1">
      <c r="A590" s="23"/>
      <c r="B590" s="23"/>
      <c r="C590" s="23"/>
      <c r="D590" s="23"/>
      <c r="E590" s="23"/>
      <c r="F590" s="23"/>
    </row>
    <row r="591" spans="1:6" ht="15.75" customHeight="1">
      <c r="A591" s="23"/>
      <c r="B591" s="23"/>
      <c r="C591" s="23"/>
      <c r="D591" s="23"/>
      <c r="E591" s="23"/>
      <c r="F591" s="23"/>
    </row>
    <row r="592" spans="1:6" ht="15.75" customHeight="1">
      <c r="A592" s="23"/>
      <c r="B592" s="23"/>
      <c r="C592" s="23"/>
      <c r="D592" s="23"/>
      <c r="E592" s="23"/>
      <c r="F592" s="23"/>
    </row>
    <row r="593" spans="1:6" ht="15.75" customHeight="1">
      <c r="A593" s="23"/>
      <c r="B593" s="23"/>
      <c r="C593" s="23"/>
      <c r="D593" s="23"/>
      <c r="E593" s="23"/>
      <c r="F593" s="23"/>
    </row>
    <row r="594" spans="1:6" ht="15.75" customHeight="1">
      <c r="A594" s="23"/>
      <c r="B594" s="23"/>
      <c r="C594" s="23"/>
      <c r="D594" s="23"/>
      <c r="E594" s="23"/>
      <c r="F594" s="23"/>
    </row>
    <row r="595" spans="1:6" ht="15.75" customHeight="1">
      <c r="A595" s="23"/>
      <c r="B595" s="23"/>
      <c r="C595" s="23"/>
      <c r="D595" s="23"/>
      <c r="E595" s="23"/>
      <c r="F595" s="23"/>
    </row>
    <row r="596" spans="1:6" ht="15.75" customHeight="1">
      <c r="A596" s="23"/>
      <c r="B596" s="23"/>
      <c r="C596" s="23"/>
      <c r="D596" s="23"/>
      <c r="E596" s="23"/>
      <c r="F596" s="23"/>
    </row>
    <row r="597" spans="1:6" ht="15.75" customHeight="1">
      <c r="A597" s="23"/>
      <c r="B597" s="23"/>
      <c r="C597" s="23"/>
      <c r="D597" s="23"/>
      <c r="E597" s="23"/>
      <c r="F597" s="23"/>
    </row>
    <row r="598" spans="1:6" ht="15.75" customHeight="1">
      <c r="A598" s="23"/>
      <c r="B598" s="23"/>
      <c r="C598" s="23"/>
      <c r="D598" s="23"/>
      <c r="E598" s="23"/>
      <c r="F598" s="23"/>
    </row>
    <row r="599" spans="1:6" ht="15.75" customHeight="1">
      <c r="A599" s="23"/>
      <c r="B599" s="23"/>
      <c r="C599" s="23"/>
      <c r="D599" s="23"/>
      <c r="E599" s="23"/>
      <c r="F599" s="23"/>
    </row>
    <row r="600" spans="1:6" ht="15.75" customHeight="1">
      <c r="A600" s="23"/>
      <c r="B600" s="23"/>
      <c r="C600" s="23"/>
      <c r="D600" s="23"/>
      <c r="E600" s="23"/>
      <c r="F600" s="23"/>
    </row>
    <row r="601" spans="1:6" ht="15.75" customHeight="1">
      <c r="A601" s="23"/>
      <c r="B601" s="23"/>
      <c r="C601" s="23"/>
      <c r="D601" s="23"/>
      <c r="E601" s="23"/>
      <c r="F601" s="23"/>
    </row>
    <row r="602" spans="1:6" ht="15.75" customHeight="1">
      <c r="A602" s="23"/>
      <c r="B602" s="23"/>
      <c r="C602" s="23"/>
      <c r="D602" s="23"/>
      <c r="E602" s="23"/>
      <c r="F602" s="23"/>
    </row>
    <row r="603" spans="1:6" ht="15.75" customHeight="1">
      <c r="A603" s="23"/>
      <c r="B603" s="23"/>
      <c r="C603" s="23"/>
      <c r="D603" s="23"/>
      <c r="E603" s="23"/>
      <c r="F603" s="23"/>
    </row>
    <row r="604" spans="1:6" ht="15.75" customHeight="1">
      <c r="A604" s="23"/>
      <c r="B604" s="23"/>
      <c r="C604" s="23"/>
      <c r="D604" s="23"/>
      <c r="E604" s="23"/>
      <c r="F604" s="23"/>
    </row>
    <row r="605" spans="1:6" ht="15.75" customHeight="1">
      <c r="A605" s="23"/>
      <c r="B605" s="23"/>
      <c r="C605" s="23"/>
      <c r="D605" s="23"/>
      <c r="E605" s="23"/>
      <c r="F605" s="23"/>
    </row>
    <row r="606" spans="1:6" ht="15.75" customHeight="1">
      <c r="A606" s="23"/>
      <c r="B606" s="23"/>
      <c r="C606" s="23"/>
      <c r="D606" s="23"/>
      <c r="E606" s="23"/>
      <c r="F606" s="23"/>
    </row>
    <row r="607" spans="1:6" ht="15.75" customHeight="1">
      <c r="A607" s="23"/>
      <c r="B607" s="23"/>
      <c r="C607" s="23"/>
      <c r="D607" s="23"/>
      <c r="E607" s="23"/>
      <c r="F607" s="23"/>
    </row>
    <row r="608" spans="1:6" ht="15.75" customHeight="1">
      <c r="A608" s="23"/>
      <c r="B608" s="23"/>
      <c r="C608" s="23"/>
      <c r="D608" s="23"/>
      <c r="E608" s="23"/>
      <c r="F608" s="23"/>
    </row>
    <row r="609" spans="1:6" ht="15.75" customHeight="1">
      <c r="A609" s="23"/>
      <c r="B609" s="23"/>
      <c r="C609" s="23"/>
      <c r="D609" s="23"/>
      <c r="E609" s="23"/>
      <c r="F609" s="23"/>
    </row>
    <row r="610" spans="1:6" ht="15.75" customHeight="1">
      <c r="A610" s="23"/>
      <c r="B610" s="23"/>
      <c r="C610" s="23"/>
      <c r="D610" s="23"/>
      <c r="E610" s="23"/>
      <c r="F610" s="23"/>
    </row>
    <row r="611" spans="1:6" ht="15.75" customHeight="1">
      <c r="A611" s="23"/>
      <c r="B611" s="23"/>
      <c r="C611" s="23"/>
      <c r="D611" s="23"/>
      <c r="E611" s="23"/>
      <c r="F611" s="23"/>
    </row>
    <row r="612" spans="1:6" ht="15.75" customHeight="1">
      <c r="A612" s="23"/>
      <c r="B612" s="23"/>
      <c r="C612" s="23"/>
      <c r="D612" s="23"/>
      <c r="E612" s="23"/>
      <c r="F612" s="23"/>
    </row>
    <row r="613" spans="1:6" ht="15.75" customHeight="1">
      <c r="A613" s="23"/>
      <c r="B613" s="23"/>
      <c r="C613" s="23"/>
      <c r="D613" s="23"/>
      <c r="E613" s="23"/>
      <c r="F613" s="23"/>
    </row>
    <row r="614" spans="1:6" ht="15.75" customHeight="1">
      <c r="A614" s="23"/>
      <c r="B614" s="23"/>
      <c r="C614" s="23"/>
      <c r="D614" s="23"/>
      <c r="E614" s="23"/>
      <c r="F614" s="23"/>
    </row>
    <row r="615" spans="1:6" ht="15.75" customHeight="1">
      <c r="A615" s="23"/>
      <c r="B615" s="23"/>
      <c r="C615" s="23"/>
      <c r="D615" s="23"/>
      <c r="E615" s="23"/>
      <c r="F615" s="23"/>
    </row>
    <row r="616" spans="1:6" ht="15.75" customHeight="1">
      <c r="A616" s="23"/>
      <c r="B616" s="23"/>
      <c r="C616" s="23"/>
      <c r="D616" s="23"/>
      <c r="E616" s="23"/>
      <c r="F616" s="23"/>
    </row>
    <row r="617" spans="1:6" ht="15.75" customHeight="1">
      <c r="A617" s="23"/>
      <c r="B617" s="23"/>
      <c r="C617" s="23"/>
      <c r="D617" s="23"/>
      <c r="E617" s="23"/>
      <c r="F617" s="23"/>
    </row>
    <row r="618" spans="1:6" ht="15.75" customHeight="1">
      <c r="A618" s="23"/>
      <c r="B618" s="23"/>
      <c r="C618" s="23"/>
      <c r="D618" s="23"/>
      <c r="E618" s="23"/>
      <c r="F618" s="23"/>
    </row>
    <row r="619" spans="1:6" ht="15.75" customHeight="1">
      <c r="A619" s="23"/>
      <c r="B619" s="23"/>
      <c r="C619" s="23"/>
      <c r="D619" s="23"/>
      <c r="E619" s="23"/>
      <c r="F619" s="23"/>
    </row>
    <row r="620" spans="1:6" ht="15.75" customHeight="1">
      <c r="A620" s="23"/>
      <c r="B620" s="23"/>
      <c r="C620" s="23"/>
      <c r="D620" s="23"/>
      <c r="E620" s="23"/>
      <c r="F620" s="23"/>
    </row>
    <row r="621" spans="1:6" ht="15.75" customHeight="1">
      <c r="A621" s="23"/>
      <c r="B621" s="23"/>
      <c r="C621" s="23"/>
      <c r="D621" s="23"/>
      <c r="E621" s="23"/>
      <c r="F621" s="23"/>
    </row>
    <row r="622" spans="1:6" ht="15.75" customHeight="1">
      <c r="A622" s="23"/>
      <c r="B622" s="23"/>
      <c r="C622" s="23"/>
      <c r="D622" s="23"/>
      <c r="E622" s="23"/>
      <c r="F622" s="23"/>
    </row>
    <row r="623" spans="1:6" ht="15.75" customHeight="1">
      <c r="A623" s="23"/>
      <c r="B623" s="23"/>
      <c r="C623" s="23"/>
      <c r="D623" s="23"/>
      <c r="E623" s="23"/>
      <c r="F623" s="23"/>
    </row>
    <row r="624" spans="1:6" ht="15.75" customHeight="1">
      <c r="A624" s="23"/>
      <c r="B624" s="23"/>
      <c r="C624" s="23"/>
      <c r="D624" s="23"/>
      <c r="E624" s="23"/>
      <c r="F624" s="23"/>
    </row>
    <row r="625" spans="1:6" ht="15.75" customHeight="1">
      <c r="A625" s="23"/>
      <c r="B625" s="23"/>
      <c r="C625" s="23"/>
      <c r="D625" s="23"/>
      <c r="E625" s="23"/>
      <c r="F625" s="23"/>
    </row>
    <row r="626" spans="1:6" ht="15.75" customHeight="1">
      <c r="A626" s="23"/>
      <c r="B626" s="23"/>
      <c r="C626" s="23"/>
      <c r="D626" s="23"/>
      <c r="E626" s="23"/>
      <c r="F626" s="23"/>
    </row>
    <row r="627" spans="1:6" ht="15.75" customHeight="1">
      <c r="A627" s="23"/>
      <c r="B627" s="23"/>
      <c r="C627" s="23"/>
      <c r="D627" s="23"/>
      <c r="E627" s="23"/>
      <c r="F627" s="23"/>
    </row>
    <row r="628" spans="1:6" ht="15.75" customHeight="1">
      <c r="A628" s="23"/>
      <c r="B628" s="23"/>
      <c r="C628" s="23"/>
      <c r="D628" s="23"/>
      <c r="E628" s="23"/>
      <c r="F628" s="23"/>
    </row>
    <row r="629" spans="1:6" ht="15.75" customHeight="1">
      <c r="A629" s="23"/>
      <c r="B629" s="23"/>
      <c r="C629" s="23"/>
      <c r="D629" s="23"/>
      <c r="E629" s="23"/>
      <c r="F629" s="23"/>
    </row>
    <row r="630" spans="1:6" ht="15.75" customHeight="1">
      <c r="A630" s="23"/>
      <c r="B630" s="23"/>
      <c r="C630" s="23"/>
      <c r="D630" s="23"/>
      <c r="E630" s="23"/>
      <c r="F630" s="23"/>
    </row>
    <row r="631" spans="1:6" ht="15.75" customHeight="1">
      <c r="A631" s="23"/>
      <c r="B631" s="23"/>
      <c r="C631" s="23"/>
      <c r="D631" s="23"/>
      <c r="E631" s="23"/>
      <c r="F631" s="23"/>
    </row>
    <row r="632" spans="1:6" ht="15.75" customHeight="1">
      <c r="A632" s="23"/>
      <c r="B632" s="23"/>
      <c r="C632" s="23"/>
      <c r="D632" s="23"/>
      <c r="E632" s="23"/>
      <c r="F632" s="23"/>
    </row>
    <row r="633" spans="1:6" ht="15.75" customHeight="1">
      <c r="A633" s="23"/>
      <c r="B633" s="23"/>
      <c r="C633" s="23"/>
      <c r="D633" s="23"/>
      <c r="E633" s="23"/>
      <c r="F633" s="23"/>
    </row>
    <row r="634" spans="1:6" ht="15.75" customHeight="1">
      <c r="A634" s="23"/>
      <c r="B634" s="23"/>
      <c r="C634" s="23"/>
      <c r="D634" s="23"/>
      <c r="E634" s="23"/>
      <c r="F634" s="23"/>
    </row>
    <row r="635" spans="1:6" ht="15.75" customHeight="1">
      <c r="A635" s="23"/>
      <c r="B635" s="23"/>
      <c r="C635" s="23"/>
      <c r="D635" s="23"/>
      <c r="E635" s="23"/>
      <c r="F635" s="23"/>
    </row>
    <row r="636" spans="1:6" ht="15.75" customHeight="1">
      <c r="A636" s="23"/>
      <c r="B636" s="23"/>
      <c r="C636" s="23"/>
      <c r="D636" s="23"/>
      <c r="E636" s="23"/>
      <c r="F636" s="23"/>
    </row>
    <row r="637" spans="1:6" ht="15.75" customHeight="1">
      <c r="A637" s="23"/>
      <c r="B637" s="23"/>
      <c r="C637" s="23"/>
      <c r="D637" s="23"/>
      <c r="E637" s="23"/>
      <c r="F637" s="23"/>
    </row>
    <row r="638" spans="1:6" ht="15.75" customHeight="1">
      <c r="A638" s="23"/>
      <c r="B638" s="23"/>
      <c r="C638" s="23"/>
      <c r="D638" s="23"/>
      <c r="E638" s="23"/>
      <c r="F638" s="23"/>
    </row>
    <row r="639" spans="1:6" ht="15.75" customHeight="1">
      <c r="A639" s="23"/>
      <c r="B639" s="23"/>
      <c r="C639" s="23"/>
      <c r="D639" s="23"/>
      <c r="E639" s="23"/>
      <c r="F639" s="23"/>
    </row>
    <row r="640" spans="1:6" ht="15.75" customHeight="1">
      <c r="A640" s="23"/>
      <c r="B640" s="23"/>
      <c r="C640" s="23"/>
      <c r="D640" s="23"/>
      <c r="E640" s="23"/>
      <c r="F640" s="23"/>
    </row>
    <row r="641" spans="1:6" ht="15.75" customHeight="1">
      <c r="A641" s="23"/>
      <c r="B641" s="23"/>
      <c r="C641" s="23"/>
      <c r="D641" s="23"/>
      <c r="E641" s="23"/>
      <c r="F641" s="23"/>
    </row>
    <row r="642" spans="1:6" ht="15.75" customHeight="1">
      <c r="A642" s="23"/>
      <c r="B642" s="23"/>
      <c r="C642" s="23"/>
      <c r="D642" s="23"/>
      <c r="E642" s="23"/>
      <c r="F642" s="23"/>
    </row>
    <row r="643" spans="1:6" ht="15.75" customHeight="1">
      <c r="A643" s="23"/>
      <c r="B643" s="23"/>
      <c r="C643" s="23"/>
      <c r="D643" s="23"/>
      <c r="E643" s="23"/>
      <c r="F643" s="23"/>
    </row>
    <row r="644" spans="1:6" ht="15.75" customHeight="1">
      <c r="A644" s="23"/>
      <c r="B644" s="23"/>
      <c r="C644" s="23"/>
      <c r="D644" s="23"/>
      <c r="E644" s="23"/>
      <c r="F644" s="23"/>
    </row>
    <row r="645" spans="1:6" ht="15.75" customHeight="1">
      <c r="A645" s="23"/>
      <c r="B645" s="23"/>
      <c r="C645" s="23"/>
      <c r="D645" s="23"/>
      <c r="E645" s="23"/>
      <c r="F645" s="23"/>
    </row>
    <row r="646" spans="1:6" ht="15.75" customHeight="1">
      <c r="A646" s="23"/>
      <c r="B646" s="23"/>
      <c r="C646" s="23"/>
      <c r="D646" s="23"/>
      <c r="E646" s="23"/>
      <c r="F646" s="23"/>
    </row>
    <row r="647" spans="1:6" ht="15.75" customHeight="1">
      <c r="A647" s="23"/>
      <c r="B647" s="23"/>
      <c r="C647" s="23"/>
      <c r="D647" s="23"/>
      <c r="E647" s="23"/>
      <c r="F647" s="23"/>
    </row>
    <row r="648" spans="1:6" ht="15.75" customHeight="1">
      <c r="A648" s="23"/>
      <c r="B648" s="23"/>
      <c r="C648" s="23"/>
      <c r="D648" s="23"/>
      <c r="E648" s="23"/>
      <c r="F648" s="23"/>
    </row>
    <row r="649" spans="1:6" ht="15.75" customHeight="1">
      <c r="A649" s="23"/>
      <c r="B649" s="23"/>
      <c r="C649" s="23"/>
      <c r="D649" s="23"/>
      <c r="E649" s="23"/>
      <c r="F649" s="23"/>
    </row>
    <row r="650" spans="1:6" ht="15.75" customHeight="1">
      <c r="A650" s="23"/>
      <c r="B650" s="23"/>
      <c r="C650" s="23"/>
      <c r="D650" s="23"/>
      <c r="E650" s="23"/>
      <c r="F650" s="23"/>
    </row>
    <row r="651" spans="1:6" ht="15.75" customHeight="1">
      <c r="A651" s="23"/>
      <c r="B651" s="23"/>
      <c r="C651" s="23"/>
      <c r="D651" s="23"/>
      <c r="E651" s="23"/>
      <c r="F651" s="23"/>
    </row>
    <row r="652" spans="1:6" ht="15.75" customHeight="1">
      <c r="A652" s="23"/>
      <c r="B652" s="23"/>
      <c r="C652" s="23"/>
      <c r="D652" s="23"/>
      <c r="E652" s="23"/>
      <c r="F652" s="23"/>
    </row>
    <row r="653" spans="1:6" ht="15.75" customHeight="1">
      <c r="A653" s="23"/>
      <c r="B653" s="23"/>
      <c r="C653" s="23"/>
      <c r="D653" s="23"/>
      <c r="E653" s="23"/>
      <c r="F653" s="23"/>
    </row>
    <row r="654" spans="1:6" ht="15.75" customHeight="1">
      <c r="A654" s="23"/>
      <c r="B654" s="23"/>
      <c r="C654" s="23"/>
      <c r="D654" s="23"/>
      <c r="E654" s="23"/>
      <c r="F654" s="23"/>
    </row>
    <row r="655" spans="1:6" ht="15.75" customHeight="1">
      <c r="A655" s="23"/>
      <c r="B655" s="23"/>
      <c r="C655" s="23"/>
      <c r="D655" s="23"/>
      <c r="E655" s="23"/>
      <c r="F655" s="23"/>
    </row>
    <row r="656" spans="1:6" ht="15.75" customHeight="1">
      <c r="A656" s="23"/>
      <c r="B656" s="23"/>
      <c r="C656" s="23"/>
      <c r="D656" s="23"/>
      <c r="E656" s="23"/>
      <c r="F656" s="23"/>
    </row>
    <row r="657" spans="1:6" ht="15.75" customHeight="1">
      <c r="A657" s="23"/>
      <c r="B657" s="23"/>
      <c r="C657" s="23"/>
      <c r="D657" s="23"/>
      <c r="E657" s="23"/>
      <c r="F657" s="23"/>
    </row>
    <row r="658" spans="1:6" ht="15.75" customHeight="1">
      <c r="A658" s="23"/>
      <c r="B658" s="23"/>
      <c r="C658" s="23"/>
      <c r="D658" s="23"/>
      <c r="E658" s="23"/>
      <c r="F658" s="23"/>
    </row>
    <row r="659" spans="1:6" ht="15.75" customHeight="1">
      <c r="A659" s="23"/>
      <c r="B659" s="23"/>
      <c r="C659" s="23"/>
      <c r="D659" s="23"/>
      <c r="E659" s="23"/>
      <c r="F659" s="23"/>
    </row>
    <row r="660" spans="1:6" ht="15.75" customHeight="1">
      <c r="A660" s="23"/>
      <c r="B660" s="23"/>
      <c r="C660" s="23"/>
      <c r="D660" s="23"/>
      <c r="E660" s="23"/>
      <c r="F660" s="23"/>
    </row>
    <row r="661" spans="1:6" ht="15.75" customHeight="1">
      <c r="A661" s="23"/>
      <c r="B661" s="23"/>
      <c r="C661" s="23"/>
      <c r="D661" s="23"/>
      <c r="E661" s="23"/>
      <c r="F661" s="23"/>
    </row>
    <row r="662" spans="1:6" ht="15.75" customHeight="1">
      <c r="A662" s="23"/>
      <c r="B662" s="23"/>
      <c r="C662" s="23"/>
      <c r="D662" s="23"/>
      <c r="E662" s="23"/>
      <c r="F662" s="23"/>
    </row>
    <row r="663" spans="1:6" ht="15.75" customHeight="1">
      <c r="A663" s="23"/>
      <c r="B663" s="23"/>
      <c r="C663" s="23"/>
      <c r="D663" s="23"/>
      <c r="E663" s="23"/>
      <c r="F663" s="23"/>
    </row>
    <row r="664" spans="1:6" ht="15.75" customHeight="1">
      <c r="A664" s="23"/>
      <c r="B664" s="23"/>
      <c r="C664" s="23"/>
      <c r="D664" s="23"/>
      <c r="E664" s="23"/>
      <c r="F664" s="23"/>
    </row>
    <row r="665" spans="1:6" ht="15.75" customHeight="1">
      <c r="A665" s="23"/>
      <c r="B665" s="23"/>
      <c r="C665" s="23"/>
      <c r="D665" s="23"/>
      <c r="E665" s="23"/>
      <c r="F665" s="23"/>
    </row>
    <row r="666" spans="1:6" ht="15.75" customHeight="1">
      <c r="A666" s="23"/>
      <c r="B666" s="23"/>
      <c r="C666" s="23"/>
      <c r="D666" s="23"/>
      <c r="E666" s="23"/>
      <c r="F666" s="23"/>
    </row>
    <row r="667" spans="1:6" ht="15.75" customHeight="1">
      <c r="A667" s="23"/>
      <c r="B667" s="23"/>
      <c r="C667" s="23"/>
      <c r="D667" s="23"/>
      <c r="E667" s="23"/>
      <c r="F667" s="23"/>
    </row>
    <row r="668" spans="1:6" ht="15.75" customHeight="1">
      <c r="A668" s="23"/>
      <c r="B668" s="23"/>
      <c r="C668" s="23"/>
      <c r="D668" s="23"/>
      <c r="E668" s="23"/>
      <c r="F668" s="23"/>
    </row>
    <row r="669" spans="1:6" ht="15.75" customHeight="1">
      <c r="A669" s="23"/>
      <c r="B669" s="23"/>
      <c r="C669" s="23"/>
      <c r="D669" s="23"/>
      <c r="E669" s="23"/>
      <c r="F669" s="23"/>
    </row>
    <row r="670" spans="1:6" ht="15.75" customHeight="1">
      <c r="A670" s="23"/>
      <c r="B670" s="23"/>
      <c r="C670" s="23"/>
      <c r="D670" s="23"/>
      <c r="E670" s="23"/>
      <c r="F670" s="23"/>
    </row>
    <row r="671" spans="1:6" ht="15.75" customHeight="1">
      <c r="A671" s="23"/>
      <c r="B671" s="23"/>
      <c r="C671" s="23"/>
      <c r="D671" s="23"/>
      <c r="E671" s="23"/>
      <c r="F671" s="23"/>
    </row>
    <row r="672" spans="1:6" ht="15.75" customHeight="1">
      <c r="A672" s="23"/>
      <c r="B672" s="23"/>
      <c r="C672" s="23"/>
      <c r="D672" s="23"/>
      <c r="E672" s="23"/>
      <c r="F672" s="23"/>
    </row>
    <row r="673" spans="1:6" ht="15.75" customHeight="1">
      <c r="A673" s="23"/>
      <c r="B673" s="23"/>
      <c r="C673" s="23"/>
      <c r="D673" s="23"/>
      <c r="E673" s="23"/>
      <c r="F673" s="23"/>
    </row>
    <row r="674" spans="1:6" ht="15.75" customHeight="1">
      <c r="A674" s="23"/>
      <c r="B674" s="23"/>
      <c r="C674" s="23"/>
      <c r="D674" s="23"/>
      <c r="E674" s="23"/>
      <c r="F674" s="23"/>
    </row>
    <row r="675" spans="1:6" ht="15.75" customHeight="1">
      <c r="A675" s="23"/>
      <c r="B675" s="23"/>
      <c r="C675" s="23"/>
      <c r="D675" s="23"/>
      <c r="E675" s="23"/>
      <c r="F675" s="23"/>
    </row>
    <row r="676" spans="1:6" ht="15.75" customHeight="1">
      <c r="A676" s="23"/>
      <c r="B676" s="23"/>
      <c r="C676" s="23"/>
      <c r="D676" s="23"/>
      <c r="E676" s="23"/>
      <c r="F676" s="23"/>
    </row>
    <row r="677" spans="1:6" ht="15.75" customHeight="1">
      <c r="A677" s="23"/>
      <c r="B677" s="23"/>
      <c r="C677" s="23"/>
      <c r="D677" s="23"/>
      <c r="E677" s="23"/>
      <c r="F677" s="23"/>
    </row>
    <row r="678" spans="1:6" ht="15.75" customHeight="1">
      <c r="A678" s="23"/>
      <c r="B678" s="23"/>
      <c r="C678" s="23"/>
      <c r="D678" s="23"/>
      <c r="E678" s="23"/>
      <c r="F678" s="23"/>
    </row>
    <row r="679" spans="1:6" ht="15.75" customHeight="1">
      <c r="A679" s="23"/>
      <c r="B679" s="23"/>
      <c r="C679" s="23"/>
      <c r="D679" s="23"/>
      <c r="E679" s="23"/>
      <c r="F679" s="23"/>
    </row>
    <row r="680" spans="1:6" ht="15.75" customHeight="1">
      <c r="A680" s="23"/>
      <c r="B680" s="23"/>
      <c r="C680" s="23"/>
      <c r="D680" s="23"/>
      <c r="E680" s="23"/>
      <c r="F680" s="23"/>
    </row>
    <row r="681" spans="1:6" ht="15.75" customHeight="1">
      <c r="A681" s="23"/>
      <c r="B681" s="23"/>
      <c r="C681" s="23"/>
      <c r="D681" s="23"/>
      <c r="E681" s="23"/>
      <c r="F681" s="23"/>
    </row>
    <row r="682" spans="1:6" ht="15.75" customHeight="1">
      <c r="A682" s="23"/>
      <c r="B682" s="23"/>
      <c r="C682" s="23"/>
      <c r="D682" s="23"/>
      <c r="E682" s="23"/>
      <c r="F682" s="23"/>
    </row>
    <row r="683" spans="1:6" ht="15.75" customHeight="1">
      <c r="A683" s="23"/>
      <c r="B683" s="23"/>
      <c r="C683" s="23"/>
      <c r="D683" s="23"/>
      <c r="E683" s="23"/>
      <c r="F683" s="23"/>
    </row>
    <row r="684" spans="1:6" ht="15.75" customHeight="1">
      <c r="A684" s="23"/>
      <c r="B684" s="23"/>
      <c r="C684" s="23"/>
      <c r="D684" s="23"/>
      <c r="E684" s="23"/>
      <c r="F684" s="23"/>
    </row>
    <row r="685" spans="1:6" ht="15.75" customHeight="1">
      <c r="A685" s="23"/>
      <c r="B685" s="23"/>
      <c r="C685" s="23"/>
      <c r="D685" s="23"/>
      <c r="E685" s="23"/>
      <c r="F685" s="23"/>
    </row>
    <row r="686" spans="1:6" ht="15.75" customHeight="1">
      <c r="A686" s="23"/>
      <c r="B686" s="23"/>
      <c r="C686" s="23"/>
      <c r="D686" s="23"/>
      <c r="E686" s="23"/>
      <c r="F686" s="23"/>
    </row>
    <row r="687" spans="1:6" ht="15.75" customHeight="1">
      <c r="A687" s="23"/>
      <c r="B687" s="23"/>
      <c r="C687" s="23"/>
      <c r="D687" s="23"/>
      <c r="E687" s="23"/>
      <c r="F687" s="23"/>
    </row>
    <row r="688" spans="1:6" ht="15.75" customHeight="1">
      <c r="A688" s="23"/>
      <c r="B688" s="23"/>
      <c r="C688" s="23"/>
      <c r="D688" s="23"/>
      <c r="E688" s="23"/>
      <c r="F688" s="23"/>
    </row>
    <row r="689" spans="1:6" ht="15.75" customHeight="1">
      <c r="A689" s="23"/>
      <c r="B689" s="23"/>
      <c r="C689" s="23"/>
      <c r="D689" s="23"/>
      <c r="E689" s="23"/>
      <c r="F689" s="23"/>
    </row>
    <row r="690" spans="1:6" ht="15.75" customHeight="1">
      <c r="A690" s="23"/>
      <c r="B690" s="23"/>
      <c r="C690" s="23"/>
      <c r="D690" s="23"/>
      <c r="E690" s="23"/>
      <c r="F690" s="23"/>
    </row>
    <row r="691" spans="1:6" ht="15.75" customHeight="1">
      <c r="A691" s="23"/>
      <c r="B691" s="23"/>
      <c r="C691" s="23"/>
      <c r="D691" s="23"/>
      <c r="E691" s="23"/>
      <c r="F691" s="23"/>
    </row>
    <row r="692" spans="1:6" ht="15.75" customHeight="1">
      <c r="A692" s="23"/>
      <c r="B692" s="23"/>
      <c r="C692" s="23"/>
      <c r="D692" s="23"/>
      <c r="E692" s="23"/>
      <c r="F692" s="23"/>
    </row>
    <row r="693" spans="1:6" ht="15.75" customHeight="1">
      <c r="A693" s="23"/>
      <c r="B693" s="23"/>
      <c r="C693" s="23"/>
      <c r="D693" s="23"/>
      <c r="E693" s="23"/>
      <c r="F693" s="23"/>
    </row>
    <row r="694" spans="1:6" ht="15.75" customHeight="1">
      <c r="A694" s="23"/>
      <c r="B694" s="23"/>
      <c r="C694" s="23"/>
      <c r="D694" s="23"/>
      <c r="E694" s="23"/>
      <c r="F694" s="23"/>
    </row>
    <row r="695" spans="1:6" ht="15.75" customHeight="1">
      <c r="A695" s="23"/>
      <c r="B695" s="23"/>
      <c r="C695" s="23"/>
      <c r="D695" s="23"/>
      <c r="E695" s="23"/>
      <c r="F695" s="23"/>
    </row>
    <row r="696" spans="1:6" ht="15.75" customHeight="1">
      <c r="A696" s="23"/>
      <c r="B696" s="23"/>
      <c r="C696" s="23"/>
      <c r="D696" s="23"/>
      <c r="E696" s="23"/>
      <c r="F696" s="23"/>
    </row>
    <row r="697" spans="1:6" ht="15.75" customHeight="1">
      <c r="A697" s="23"/>
      <c r="B697" s="23"/>
      <c r="C697" s="23"/>
      <c r="D697" s="23"/>
      <c r="E697" s="23"/>
      <c r="F697" s="23"/>
    </row>
    <row r="698" spans="1:6" ht="15.75" customHeight="1">
      <c r="A698" s="23"/>
      <c r="B698" s="23"/>
      <c r="C698" s="23"/>
      <c r="D698" s="23"/>
      <c r="E698" s="23"/>
      <c r="F698" s="23"/>
    </row>
    <row r="699" spans="1:6" ht="15.75" customHeight="1">
      <c r="A699" s="23"/>
      <c r="B699" s="23"/>
      <c r="C699" s="23"/>
      <c r="D699" s="23"/>
      <c r="E699" s="23"/>
      <c r="F699" s="23"/>
    </row>
    <row r="700" spans="1:6" ht="15.75" customHeight="1">
      <c r="A700" s="23"/>
      <c r="B700" s="23"/>
      <c r="C700" s="23"/>
      <c r="D700" s="23"/>
      <c r="E700" s="23"/>
      <c r="F700" s="23"/>
    </row>
    <row r="701" spans="1:6" ht="15.75" customHeight="1">
      <c r="A701" s="23"/>
      <c r="B701" s="23"/>
      <c r="C701" s="23"/>
      <c r="D701" s="23"/>
      <c r="E701" s="23"/>
      <c r="F701" s="23"/>
    </row>
    <row r="702" spans="1:6" ht="15.75" customHeight="1">
      <c r="A702" s="23"/>
      <c r="B702" s="23"/>
      <c r="C702" s="23"/>
      <c r="D702" s="23"/>
      <c r="E702" s="23"/>
      <c r="F702" s="23"/>
    </row>
    <row r="703" spans="1:6" ht="15.75" customHeight="1">
      <c r="A703" s="23"/>
      <c r="B703" s="23"/>
      <c r="C703" s="23"/>
      <c r="D703" s="23"/>
      <c r="E703" s="23"/>
      <c r="F703" s="23"/>
    </row>
    <row r="704" spans="1:6" ht="15.75" customHeight="1">
      <c r="A704" s="23"/>
      <c r="B704" s="23"/>
      <c r="C704" s="23"/>
      <c r="D704" s="23"/>
      <c r="E704" s="23"/>
      <c r="F704" s="23"/>
    </row>
    <row r="705" spans="1:6" ht="15.75" customHeight="1">
      <c r="A705" s="23"/>
      <c r="B705" s="23"/>
      <c r="C705" s="23"/>
      <c r="D705" s="23"/>
      <c r="E705" s="23"/>
      <c r="F705" s="23"/>
    </row>
    <row r="706" spans="1:6" ht="15.75" customHeight="1">
      <c r="A706" s="23"/>
      <c r="B706" s="23"/>
      <c r="C706" s="23"/>
      <c r="D706" s="23"/>
      <c r="E706" s="23"/>
      <c r="F706" s="23"/>
    </row>
    <row r="707" spans="1:6" ht="15.75" customHeight="1">
      <c r="A707" s="23"/>
      <c r="B707" s="23"/>
      <c r="C707" s="23"/>
      <c r="D707" s="23"/>
      <c r="E707" s="23"/>
      <c r="F707" s="23"/>
    </row>
    <row r="708" spans="1:6" ht="15.75" customHeight="1">
      <c r="A708" s="23"/>
      <c r="B708" s="23"/>
      <c r="C708" s="23"/>
      <c r="D708" s="23"/>
      <c r="E708" s="23"/>
      <c r="F708" s="23"/>
    </row>
    <row r="709" spans="1:6" ht="15.75" customHeight="1">
      <c r="A709" s="23"/>
      <c r="B709" s="23"/>
      <c r="C709" s="23"/>
      <c r="D709" s="23"/>
      <c r="E709" s="23"/>
      <c r="F709" s="23"/>
    </row>
    <row r="710" spans="1:6" ht="15.75" customHeight="1">
      <c r="A710" s="23"/>
      <c r="B710" s="23"/>
      <c r="C710" s="23"/>
      <c r="D710" s="23"/>
      <c r="E710" s="23"/>
      <c r="F710" s="23"/>
    </row>
    <row r="711" spans="1:6" ht="15.75" customHeight="1">
      <c r="A711" s="23"/>
      <c r="B711" s="23"/>
      <c r="C711" s="23"/>
      <c r="D711" s="23"/>
      <c r="E711" s="23"/>
      <c r="F711" s="23"/>
    </row>
    <row r="712" spans="1:6" ht="15.75" customHeight="1">
      <c r="A712" s="23"/>
      <c r="B712" s="23"/>
      <c r="C712" s="23"/>
      <c r="D712" s="23"/>
      <c r="E712" s="23"/>
      <c r="F712" s="23"/>
    </row>
    <row r="713" spans="1:6" ht="15.75" customHeight="1">
      <c r="A713" s="23"/>
      <c r="B713" s="23"/>
      <c r="C713" s="23"/>
      <c r="D713" s="23"/>
      <c r="E713" s="23"/>
      <c r="F713" s="23"/>
    </row>
    <row r="714" spans="1:6" ht="15.75" customHeight="1">
      <c r="A714" s="23"/>
      <c r="B714" s="23"/>
      <c r="C714" s="23"/>
      <c r="D714" s="23"/>
      <c r="E714" s="23"/>
      <c r="F714" s="23"/>
    </row>
    <row r="715" spans="1:6" ht="15.75" customHeight="1">
      <c r="A715" s="23"/>
      <c r="B715" s="23"/>
      <c r="C715" s="23"/>
      <c r="D715" s="23"/>
      <c r="E715" s="23"/>
      <c r="F715" s="23"/>
    </row>
    <row r="716" spans="1:6" ht="15.75" customHeight="1">
      <c r="A716" s="23"/>
      <c r="B716" s="23"/>
      <c r="C716" s="23"/>
      <c r="D716" s="23"/>
      <c r="E716" s="23"/>
      <c r="F716" s="23"/>
    </row>
    <row r="717" spans="1:6" ht="15.75" customHeight="1">
      <c r="A717" s="23"/>
      <c r="B717" s="23"/>
      <c r="C717" s="23"/>
      <c r="D717" s="23"/>
      <c r="E717" s="23"/>
      <c r="F717" s="23"/>
    </row>
    <row r="718" spans="1:6" ht="15.75" customHeight="1">
      <c r="A718" s="23"/>
      <c r="B718" s="23"/>
      <c r="C718" s="23"/>
      <c r="D718" s="23"/>
      <c r="E718" s="23"/>
      <c r="F718" s="23"/>
    </row>
    <row r="719" spans="1:6" ht="15.75" customHeight="1">
      <c r="A719" s="23"/>
      <c r="B719" s="23"/>
      <c r="C719" s="23"/>
      <c r="D719" s="23"/>
      <c r="E719" s="23"/>
      <c r="F719" s="23"/>
    </row>
    <row r="720" spans="1:6" ht="15.75" customHeight="1">
      <c r="A720" s="23"/>
      <c r="B720" s="23"/>
      <c r="C720" s="23"/>
      <c r="D720" s="23"/>
      <c r="E720" s="23"/>
      <c r="F720" s="23"/>
    </row>
    <row r="721" spans="1:6" ht="15.75" customHeight="1">
      <c r="A721" s="23"/>
      <c r="B721" s="23"/>
      <c r="C721" s="23"/>
      <c r="D721" s="23"/>
      <c r="E721" s="23"/>
      <c r="F721" s="23"/>
    </row>
    <row r="722" spans="1:6" ht="15.75" customHeight="1">
      <c r="A722" s="23"/>
      <c r="B722" s="23"/>
      <c r="C722" s="23"/>
      <c r="D722" s="23"/>
      <c r="E722" s="23"/>
      <c r="F722" s="23"/>
    </row>
    <row r="723" spans="1:6" ht="15.75" customHeight="1">
      <c r="A723" s="23"/>
      <c r="B723" s="23"/>
      <c r="C723" s="23"/>
      <c r="D723" s="23"/>
      <c r="E723" s="23"/>
      <c r="F723" s="23"/>
    </row>
    <row r="724" spans="1:6" ht="15.75" customHeight="1">
      <c r="A724" s="23"/>
      <c r="B724" s="23"/>
      <c r="C724" s="23"/>
      <c r="D724" s="23"/>
      <c r="E724" s="23"/>
      <c r="F724" s="23"/>
    </row>
    <row r="725" spans="1:6" ht="15.75" customHeight="1">
      <c r="A725" s="23"/>
      <c r="B725" s="23"/>
      <c r="C725" s="23"/>
      <c r="D725" s="23"/>
      <c r="E725" s="23"/>
      <c r="F725" s="23"/>
    </row>
    <row r="726" spans="1:6" ht="15.75" customHeight="1">
      <c r="A726" s="23"/>
      <c r="B726" s="23"/>
      <c r="C726" s="23"/>
      <c r="D726" s="23"/>
      <c r="E726" s="23"/>
      <c r="F726" s="23"/>
    </row>
    <row r="727" spans="1:6" ht="15.75" customHeight="1">
      <c r="A727" s="23"/>
      <c r="B727" s="23"/>
      <c r="C727" s="23"/>
      <c r="D727" s="23"/>
      <c r="E727" s="23"/>
      <c r="F727" s="23"/>
    </row>
    <row r="728" spans="1:6" ht="15.75" customHeight="1">
      <c r="A728" s="23"/>
      <c r="B728" s="23"/>
      <c r="C728" s="23"/>
      <c r="D728" s="23"/>
      <c r="E728" s="23"/>
      <c r="F728" s="23"/>
    </row>
    <row r="729" spans="1:6" ht="15.75" customHeight="1">
      <c r="A729" s="23"/>
      <c r="B729" s="23"/>
      <c r="C729" s="23"/>
      <c r="D729" s="23"/>
      <c r="E729" s="23"/>
      <c r="F729" s="23"/>
    </row>
    <row r="730" spans="1:6" ht="15.75" customHeight="1">
      <c r="A730" s="23"/>
      <c r="B730" s="23"/>
      <c r="C730" s="23"/>
      <c r="D730" s="23"/>
      <c r="E730" s="23"/>
      <c r="F730" s="23"/>
    </row>
    <row r="731" spans="1:6" ht="15.75" customHeight="1">
      <c r="A731" s="23"/>
      <c r="B731" s="23"/>
      <c r="C731" s="23"/>
      <c r="D731" s="23"/>
      <c r="E731" s="23"/>
      <c r="F731" s="23"/>
    </row>
    <row r="732" spans="1:6" ht="15.75" customHeight="1">
      <c r="A732" s="23"/>
      <c r="B732" s="23"/>
      <c r="C732" s="23"/>
      <c r="D732" s="23"/>
      <c r="E732" s="23"/>
      <c r="F732" s="23"/>
    </row>
    <row r="733" spans="1:6" ht="15.75" customHeight="1">
      <c r="A733" s="23"/>
      <c r="B733" s="23"/>
      <c r="C733" s="23"/>
      <c r="D733" s="23"/>
      <c r="E733" s="23"/>
      <c r="F733" s="23"/>
    </row>
    <row r="734" spans="1:6" ht="15.75" customHeight="1">
      <c r="A734" s="23"/>
      <c r="B734" s="23"/>
      <c r="C734" s="23"/>
      <c r="D734" s="23"/>
      <c r="E734" s="23"/>
      <c r="F734" s="23"/>
    </row>
    <row r="735" spans="1:6" ht="15.75" customHeight="1">
      <c r="A735" s="23"/>
      <c r="B735" s="23"/>
      <c r="C735" s="23"/>
      <c r="D735" s="23"/>
      <c r="E735" s="23"/>
      <c r="F735" s="23"/>
    </row>
    <row r="736" spans="1:6" ht="15.75" customHeight="1">
      <c r="A736" s="23"/>
      <c r="B736" s="23"/>
      <c r="C736" s="23"/>
      <c r="D736" s="23"/>
      <c r="E736" s="23"/>
      <c r="F736" s="23"/>
    </row>
    <row r="737" spans="1:6" ht="15.75" customHeight="1">
      <c r="A737" s="23"/>
      <c r="B737" s="23"/>
      <c r="C737" s="23"/>
      <c r="D737" s="23"/>
      <c r="E737" s="23"/>
      <c r="F737" s="23"/>
    </row>
    <row r="738" spans="1:6" ht="15.75" customHeight="1">
      <c r="A738" s="23"/>
      <c r="B738" s="23"/>
      <c r="C738" s="23"/>
      <c r="D738" s="23"/>
      <c r="E738" s="23"/>
      <c r="F738" s="23"/>
    </row>
    <row r="739" spans="1:6" ht="15.75" customHeight="1">
      <c r="A739" s="23"/>
      <c r="B739" s="23"/>
      <c r="C739" s="23"/>
      <c r="D739" s="23"/>
      <c r="E739" s="23"/>
      <c r="F739" s="23"/>
    </row>
    <row r="740" spans="1:6" ht="15.75" customHeight="1">
      <c r="A740" s="23"/>
      <c r="B740" s="23"/>
      <c r="C740" s="23"/>
      <c r="D740" s="23"/>
      <c r="E740" s="23"/>
      <c r="F740" s="23"/>
    </row>
    <row r="741" spans="1:6" ht="15.75" customHeight="1">
      <c r="A741" s="23"/>
      <c r="B741" s="23"/>
      <c r="C741" s="23"/>
      <c r="D741" s="23"/>
      <c r="E741" s="23"/>
      <c r="F741" s="23"/>
    </row>
    <row r="742" spans="1:6" ht="15.75" customHeight="1">
      <c r="A742" s="23"/>
      <c r="B742" s="23"/>
      <c r="C742" s="23"/>
      <c r="D742" s="23"/>
      <c r="E742" s="23"/>
      <c r="F742" s="23"/>
    </row>
    <row r="743" spans="1:6" ht="15.75" customHeight="1">
      <c r="A743" s="23"/>
      <c r="B743" s="23"/>
      <c r="C743" s="23"/>
      <c r="D743" s="23"/>
      <c r="E743" s="23"/>
      <c r="F743" s="23"/>
    </row>
    <row r="744" spans="1:6" ht="15.75" customHeight="1">
      <c r="A744" s="23"/>
      <c r="B744" s="23"/>
      <c r="C744" s="23"/>
      <c r="D744" s="23"/>
      <c r="E744" s="23"/>
      <c r="F744" s="23"/>
    </row>
    <row r="745" spans="1:6" ht="15.75" customHeight="1">
      <c r="A745" s="23"/>
      <c r="B745" s="23"/>
      <c r="C745" s="23"/>
      <c r="D745" s="23"/>
      <c r="E745" s="23"/>
      <c r="F745" s="23"/>
    </row>
    <row r="746" spans="1:6" ht="15.75" customHeight="1">
      <c r="A746" s="23"/>
      <c r="B746" s="23"/>
      <c r="C746" s="23"/>
      <c r="D746" s="23"/>
      <c r="E746" s="23"/>
      <c r="F746" s="23"/>
    </row>
    <row r="747" spans="1:6" ht="15.75" customHeight="1">
      <c r="A747" s="23"/>
      <c r="B747" s="23"/>
      <c r="C747" s="23"/>
      <c r="D747" s="23"/>
      <c r="E747" s="23"/>
      <c r="F747" s="23"/>
    </row>
    <row r="748" spans="1:6" ht="15.75" customHeight="1">
      <c r="A748" s="23"/>
      <c r="B748" s="23"/>
      <c r="C748" s="23"/>
      <c r="D748" s="23"/>
      <c r="E748" s="23"/>
      <c r="F748" s="23"/>
    </row>
    <row r="749" spans="1:6" ht="15.75" customHeight="1">
      <c r="A749" s="23"/>
      <c r="B749" s="23"/>
      <c r="C749" s="23"/>
      <c r="D749" s="23"/>
      <c r="E749" s="23"/>
      <c r="F749" s="23"/>
    </row>
    <row r="750" spans="1:6" ht="15.75" customHeight="1">
      <c r="A750" s="23"/>
      <c r="B750" s="23"/>
      <c r="C750" s="23"/>
      <c r="D750" s="23"/>
      <c r="E750" s="23"/>
      <c r="F750" s="23"/>
    </row>
    <row r="751" spans="1:6" ht="15.75" customHeight="1">
      <c r="A751" s="23"/>
      <c r="B751" s="23"/>
      <c r="C751" s="23"/>
      <c r="D751" s="23"/>
      <c r="E751" s="23"/>
      <c r="F751" s="23"/>
    </row>
    <row r="752" spans="1:6" ht="15.75" customHeight="1">
      <c r="A752" s="23"/>
      <c r="B752" s="23"/>
      <c r="C752" s="23"/>
      <c r="D752" s="23"/>
      <c r="E752" s="23"/>
      <c r="F752" s="23"/>
    </row>
    <row r="753" spans="1:6" ht="15.75" customHeight="1">
      <c r="A753" s="23"/>
      <c r="B753" s="23"/>
      <c r="C753" s="23"/>
      <c r="D753" s="23"/>
      <c r="E753" s="23"/>
      <c r="F753" s="23"/>
    </row>
    <row r="754" spans="1:6" ht="15.75" customHeight="1">
      <c r="A754" s="23"/>
      <c r="B754" s="23"/>
      <c r="C754" s="23"/>
      <c r="D754" s="23"/>
      <c r="E754" s="23"/>
      <c r="F754" s="23"/>
    </row>
    <row r="755" spans="1:6" ht="15.75" customHeight="1">
      <c r="A755" s="23"/>
      <c r="B755" s="23"/>
      <c r="C755" s="23"/>
      <c r="D755" s="23"/>
      <c r="E755" s="23"/>
      <c r="F755" s="23"/>
    </row>
    <row r="756" spans="1:6" ht="15.75" customHeight="1">
      <c r="A756" s="23"/>
      <c r="B756" s="23"/>
      <c r="C756" s="23"/>
      <c r="D756" s="23"/>
      <c r="E756" s="23"/>
      <c r="F756" s="23"/>
    </row>
    <row r="757" spans="1:6" ht="15.75" customHeight="1">
      <c r="A757" s="23"/>
      <c r="B757" s="23"/>
      <c r="C757" s="23"/>
      <c r="D757" s="23"/>
      <c r="E757" s="23"/>
      <c r="F757" s="23"/>
    </row>
    <row r="758" spans="1:6" ht="15.75" customHeight="1">
      <c r="A758" s="23"/>
      <c r="B758" s="23"/>
      <c r="C758" s="23"/>
      <c r="D758" s="23"/>
      <c r="E758" s="23"/>
      <c r="F758" s="23"/>
    </row>
    <row r="759" spans="1:6" ht="15.75" customHeight="1">
      <c r="A759" s="23"/>
      <c r="B759" s="23"/>
      <c r="C759" s="23"/>
      <c r="D759" s="23"/>
      <c r="E759" s="23"/>
      <c r="F759" s="23"/>
    </row>
    <row r="760" spans="1:6" ht="15.75" customHeight="1">
      <c r="A760" s="23"/>
      <c r="B760" s="23"/>
      <c r="C760" s="23"/>
      <c r="D760" s="23"/>
      <c r="E760" s="23"/>
      <c r="F760" s="23"/>
    </row>
    <row r="761" spans="1:6" ht="15.75" customHeight="1">
      <c r="A761" s="23"/>
      <c r="B761" s="23"/>
      <c r="C761" s="23"/>
      <c r="D761" s="23"/>
      <c r="E761" s="23"/>
      <c r="F761" s="23"/>
    </row>
    <row r="762" spans="1:6" ht="15.75" customHeight="1">
      <c r="A762" s="23"/>
      <c r="B762" s="23"/>
      <c r="C762" s="23"/>
      <c r="D762" s="23"/>
      <c r="E762" s="23"/>
      <c r="F762" s="23"/>
    </row>
    <row r="763" spans="1:6" ht="15.75" customHeight="1">
      <c r="A763" s="23"/>
      <c r="B763" s="23"/>
      <c r="C763" s="23"/>
      <c r="D763" s="23"/>
      <c r="E763" s="23"/>
      <c r="F763" s="23"/>
    </row>
    <row r="764" spans="1:6" ht="15.75" customHeight="1">
      <c r="A764" s="23"/>
      <c r="B764" s="23"/>
      <c r="C764" s="23"/>
      <c r="D764" s="23"/>
      <c r="E764" s="23"/>
      <c r="F764" s="23"/>
    </row>
    <row r="765" spans="1:6" ht="15.75" customHeight="1">
      <c r="A765" s="23"/>
      <c r="B765" s="23"/>
      <c r="C765" s="23"/>
      <c r="D765" s="23"/>
      <c r="E765" s="23"/>
      <c r="F765" s="23"/>
    </row>
    <row r="766" spans="1:6" ht="15.75" customHeight="1">
      <c r="A766" s="23"/>
      <c r="B766" s="23"/>
      <c r="C766" s="23"/>
      <c r="D766" s="23"/>
      <c r="E766" s="23"/>
      <c r="F766" s="23"/>
    </row>
    <row r="767" spans="1:6" ht="15.75" customHeight="1">
      <c r="A767" s="23"/>
      <c r="B767" s="23"/>
      <c r="C767" s="23"/>
      <c r="D767" s="23"/>
      <c r="E767" s="23"/>
      <c r="F767" s="23"/>
    </row>
    <row r="768" spans="1:6" ht="15.75" customHeight="1">
      <c r="A768" s="23"/>
      <c r="B768" s="23"/>
      <c r="C768" s="23"/>
      <c r="D768" s="23"/>
      <c r="E768" s="23"/>
      <c r="F768" s="23"/>
    </row>
    <row r="769" spans="1:6" ht="15.75" customHeight="1">
      <c r="A769" s="23"/>
      <c r="B769" s="23"/>
      <c r="C769" s="23"/>
      <c r="D769" s="23"/>
      <c r="E769" s="23"/>
      <c r="F769" s="23"/>
    </row>
    <row r="770" spans="1:6" ht="15.75" customHeight="1">
      <c r="A770" s="23"/>
      <c r="B770" s="23"/>
      <c r="C770" s="23"/>
      <c r="D770" s="23"/>
      <c r="E770" s="23"/>
      <c r="F770" s="23"/>
    </row>
    <row r="771" spans="1:6" ht="15.75" customHeight="1">
      <c r="A771" s="23"/>
      <c r="B771" s="23"/>
      <c r="C771" s="23"/>
      <c r="D771" s="23"/>
      <c r="E771" s="23"/>
      <c r="F771" s="23"/>
    </row>
    <row r="772" spans="1:6" ht="15.75" customHeight="1">
      <c r="A772" s="23"/>
      <c r="B772" s="23"/>
      <c r="C772" s="23"/>
      <c r="D772" s="23"/>
      <c r="E772" s="23"/>
      <c r="F772" s="23"/>
    </row>
    <row r="773" spans="1:6" ht="15.75" customHeight="1">
      <c r="A773" s="23"/>
      <c r="B773" s="23"/>
      <c r="C773" s="23"/>
      <c r="D773" s="23"/>
      <c r="E773" s="23"/>
      <c r="F773" s="23"/>
    </row>
    <row r="774" spans="1:6" ht="15.75" customHeight="1">
      <c r="A774" s="23"/>
      <c r="B774" s="23"/>
      <c r="C774" s="23"/>
      <c r="D774" s="23"/>
      <c r="E774" s="23"/>
      <c r="F774" s="23"/>
    </row>
    <row r="775" spans="1:6" ht="15.75" customHeight="1">
      <c r="A775" s="23"/>
      <c r="B775" s="23"/>
      <c r="C775" s="23"/>
      <c r="D775" s="23"/>
      <c r="E775" s="23"/>
      <c r="F775" s="23"/>
    </row>
    <row r="776" spans="1:6" ht="15.75" customHeight="1">
      <c r="A776" s="23"/>
      <c r="B776" s="23"/>
      <c r="C776" s="23"/>
      <c r="D776" s="23"/>
      <c r="E776" s="23"/>
      <c r="F776" s="23"/>
    </row>
    <row r="777" spans="1:6" ht="15.75" customHeight="1">
      <c r="A777" s="23"/>
      <c r="B777" s="23"/>
      <c r="C777" s="23"/>
      <c r="D777" s="23"/>
      <c r="E777" s="23"/>
      <c r="F777" s="23"/>
    </row>
    <row r="778" spans="1:6" ht="15.75" customHeight="1">
      <c r="A778" s="23"/>
      <c r="B778" s="23"/>
      <c r="C778" s="23"/>
      <c r="D778" s="23"/>
      <c r="E778" s="23"/>
      <c r="F778" s="23"/>
    </row>
    <row r="779" spans="1:6" ht="15.75" customHeight="1">
      <c r="A779" s="23"/>
      <c r="B779" s="23"/>
      <c r="C779" s="23"/>
      <c r="D779" s="23"/>
      <c r="E779" s="23"/>
      <c r="F779" s="23"/>
    </row>
    <row r="780" spans="1:6" ht="15.75" customHeight="1">
      <c r="A780" s="23"/>
      <c r="B780" s="23"/>
      <c r="C780" s="23"/>
      <c r="D780" s="23"/>
      <c r="E780" s="23"/>
      <c r="F780" s="23"/>
    </row>
    <row r="781" spans="1:6" ht="15.75" customHeight="1">
      <c r="A781" s="23"/>
      <c r="B781" s="23"/>
      <c r="C781" s="23"/>
      <c r="D781" s="23"/>
      <c r="E781" s="23"/>
      <c r="F781" s="23"/>
    </row>
    <row r="782" spans="1:6" ht="15.75" customHeight="1">
      <c r="A782" s="23"/>
      <c r="B782" s="23"/>
      <c r="C782" s="23"/>
      <c r="D782" s="23"/>
      <c r="E782" s="23"/>
      <c r="F782" s="23"/>
    </row>
    <row r="783" spans="1:6" ht="15.75" customHeight="1">
      <c r="A783" s="23"/>
      <c r="B783" s="23"/>
      <c r="C783" s="23"/>
      <c r="D783" s="23"/>
      <c r="E783" s="23"/>
      <c r="F783" s="23"/>
    </row>
    <row r="784" spans="1:6" ht="15.75" customHeight="1">
      <c r="A784" s="23"/>
      <c r="B784" s="23"/>
      <c r="C784" s="23"/>
      <c r="D784" s="23"/>
      <c r="E784" s="23"/>
      <c r="F784" s="23"/>
    </row>
    <row r="785" spans="1:6" ht="15.75" customHeight="1">
      <c r="A785" s="23"/>
      <c r="B785" s="23"/>
      <c r="C785" s="23"/>
      <c r="D785" s="23"/>
      <c r="E785" s="23"/>
      <c r="F785" s="23"/>
    </row>
    <row r="786" spans="1:6" ht="15.75" customHeight="1">
      <c r="A786" s="23"/>
      <c r="B786" s="23"/>
      <c r="C786" s="23"/>
      <c r="D786" s="23"/>
      <c r="E786" s="23"/>
      <c r="F786" s="23"/>
    </row>
    <row r="787" spans="1:6" ht="15.75" customHeight="1">
      <c r="A787" s="23"/>
      <c r="B787" s="23"/>
      <c r="C787" s="23"/>
      <c r="D787" s="23"/>
      <c r="E787" s="23"/>
      <c r="F787" s="23"/>
    </row>
    <row r="788" spans="1:6" ht="15.75" customHeight="1">
      <c r="A788" s="23"/>
      <c r="B788" s="23"/>
      <c r="C788" s="23"/>
      <c r="D788" s="23"/>
      <c r="E788" s="23"/>
      <c r="F788" s="23"/>
    </row>
    <row r="789" spans="1:6" ht="15.75" customHeight="1">
      <c r="A789" s="23"/>
      <c r="B789" s="23"/>
      <c r="C789" s="23"/>
      <c r="D789" s="23"/>
      <c r="E789" s="23"/>
      <c r="F789" s="23"/>
    </row>
    <row r="790" spans="1:6" ht="15.75" customHeight="1">
      <c r="A790" s="23"/>
      <c r="B790" s="23"/>
      <c r="C790" s="23"/>
      <c r="D790" s="23"/>
      <c r="E790" s="23"/>
      <c r="F790" s="23"/>
    </row>
    <row r="791" spans="1:6" ht="15.75" customHeight="1">
      <c r="A791" s="23"/>
      <c r="B791" s="23"/>
      <c r="C791" s="23"/>
      <c r="D791" s="23"/>
      <c r="E791" s="23"/>
      <c r="F791" s="23"/>
    </row>
    <row r="792" spans="1:6" ht="15.75" customHeight="1">
      <c r="A792" s="23"/>
      <c r="B792" s="23"/>
      <c r="C792" s="23"/>
      <c r="D792" s="23"/>
      <c r="E792" s="23"/>
      <c r="F792" s="23"/>
    </row>
    <row r="793" spans="1:6" ht="15.75" customHeight="1">
      <c r="A793" s="23"/>
      <c r="B793" s="23"/>
      <c r="C793" s="23"/>
      <c r="D793" s="23"/>
      <c r="E793" s="23"/>
      <c r="F793" s="23"/>
    </row>
    <row r="794" spans="1:6" ht="15.75" customHeight="1">
      <c r="A794" s="23"/>
      <c r="B794" s="23"/>
      <c r="C794" s="23"/>
      <c r="D794" s="23"/>
      <c r="E794" s="23"/>
      <c r="F794" s="23"/>
    </row>
    <row r="795" spans="1:6" ht="15.75" customHeight="1">
      <c r="A795" s="23"/>
      <c r="B795" s="23"/>
      <c r="C795" s="23"/>
      <c r="D795" s="23"/>
      <c r="E795" s="23"/>
      <c r="F795" s="23"/>
    </row>
    <row r="796" spans="1:6" ht="15.75" customHeight="1">
      <c r="A796" s="23"/>
      <c r="B796" s="23"/>
      <c r="C796" s="23"/>
      <c r="D796" s="23"/>
      <c r="E796" s="23"/>
      <c r="F796" s="23"/>
    </row>
    <row r="797" spans="1:6" ht="15.75" customHeight="1">
      <c r="A797" s="23"/>
      <c r="B797" s="23"/>
      <c r="C797" s="23"/>
      <c r="D797" s="23"/>
      <c r="E797" s="23"/>
      <c r="F797" s="23"/>
    </row>
    <row r="798" spans="1:6" ht="15.75" customHeight="1">
      <c r="A798" s="23"/>
      <c r="B798" s="23"/>
      <c r="C798" s="23"/>
      <c r="D798" s="23"/>
      <c r="E798" s="23"/>
      <c r="F798" s="23"/>
    </row>
    <row r="799" spans="1:6" ht="15.75" customHeight="1">
      <c r="A799" s="23"/>
      <c r="B799" s="23"/>
      <c r="C799" s="23"/>
      <c r="D799" s="23"/>
      <c r="E799" s="23"/>
      <c r="F799" s="23"/>
    </row>
    <row r="800" spans="1:6" ht="15.75" customHeight="1">
      <c r="A800" s="23"/>
      <c r="B800" s="23"/>
      <c r="C800" s="23"/>
      <c r="D800" s="23"/>
      <c r="E800" s="23"/>
      <c r="F800" s="23"/>
    </row>
    <row r="801" spans="1:6" ht="15.75" customHeight="1">
      <c r="A801" s="23"/>
      <c r="B801" s="23"/>
      <c r="C801" s="23"/>
      <c r="D801" s="23"/>
      <c r="E801" s="23"/>
      <c r="F801" s="23"/>
    </row>
    <row r="802" spans="1:6" ht="15.75" customHeight="1">
      <c r="A802" s="23"/>
      <c r="B802" s="23"/>
      <c r="C802" s="23"/>
      <c r="D802" s="23"/>
      <c r="E802" s="23"/>
      <c r="F802" s="23"/>
    </row>
    <row r="803" spans="1:6" ht="15.75" customHeight="1">
      <c r="A803" s="23"/>
      <c r="B803" s="23"/>
      <c r="C803" s="23"/>
      <c r="D803" s="23"/>
      <c r="E803" s="23"/>
      <c r="F803" s="23"/>
    </row>
    <row r="804" spans="1:6" ht="15.75" customHeight="1">
      <c r="A804" s="23"/>
      <c r="B804" s="23"/>
      <c r="C804" s="23"/>
      <c r="D804" s="23"/>
      <c r="E804" s="23"/>
      <c r="F804" s="23"/>
    </row>
    <row r="805" spans="1:6" ht="15.75" customHeight="1">
      <c r="A805" s="23"/>
      <c r="B805" s="23"/>
      <c r="C805" s="23"/>
      <c r="D805" s="23"/>
      <c r="E805" s="23"/>
      <c r="F805" s="23"/>
    </row>
    <row r="806" spans="1:6" ht="15.75" customHeight="1">
      <c r="A806" s="23"/>
      <c r="B806" s="23"/>
      <c r="C806" s="23"/>
      <c r="D806" s="23"/>
      <c r="E806" s="23"/>
      <c r="F806" s="23"/>
    </row>
    <row r="807" spans="1:6" ht="15.75" customHeight="1">
      <c r="A807" s="23"/>
      <c r="B807" s="23"/>
      <c r="C807" s="23"/>
      <c r="D807" s="23"/>
      <c r="E807" s="23"/>
      <c r="F807" s="23"/>
    </row>
    <row r="808" spans="1:6" ht="15.75" customHeight="1">
      <c r="A808" s="23"/>
      <c r="B808" s="23"/>
      <c r="C808" s="23"/>
      <c r="D808" s="23"/>
      <c r="E808" s="23"/>
      <c r="F808" s="23"/>
    </row>
    <row r="809" spans="1:6" ht="15.75" customHeight="1">
      <c r="A809" s="23"/>
      <c r="B809" s="23"/>
      <c r="C809" s="23"/>
      <c r="D809" s="23"/>
      <c r="E809" s="23"/>
      <c r="F809" s="23"/>
    </row>
    <row r="810" spans="1:6" ht="15.75" customHeight="1">
      <c r="A810" s="23"/>
      <c r="B810" s="23"/>
      <c r="C810" s="23"/>
      <c r="D810" s="23"/>
      <c r="E810" s="23"/>
      <c r="F810" s="23"/>
    </row>
    <row r="811" spans="1:6" ht="15.75" customHeight="1">
      <c r="A811" s="23"/>
      <c r="B811" s="23"/>
      <c r="C811" s="23"/>
      <c r="D811" s="23"/>
      <c r="E811" s="23"/>
      <c r="F811" s="23"/>
    </row>
    <row r="812" spans="1:6" ht="15.75" customHeight="1">
      <c r="A812" s="23"/>
      <c r="B812" s="23"/>
      <c r="C812" s="23"/>
      <c r="D812" s="23"/>
      <c r="E812" s="23"/>
      <c r="F812" s="23"/>
    </row>
    <row r="813" spans="1:6" ht="15.75" customHeight="1">
      <c r="A813" s="23"/>
      <c r="B813" s="23"/>
      <c r="C813" s="23"/>
      <c r="D813" s="23"/>
      <c r="E813" s="23"/>
      <c r="F813" s="23"/>
    </row>
    <row r="814" spans="1:6" ht="15.75" customHeight="1">
      <c r="A814" s="23"/>
      <c r="B814" s="23"/>
      <c r="C814" s="23"/>
      <c r="D814" s="23"/>
      <c r="E814" s="23"/>
      <c r="F814" s="23"/>
    </row>
    <row r="815" spans="1:6" ht="15.75" customHeight="1">
      <c r="A815" s="23"/>
      <c r="B815" s="23"/>
      <c r="C815" s="23"/>
      <c r="D815" s="23"/>
      <c r="E815" s="23"/>
      <c r="F815" s="23"/>
    </row>
    <row r="816" spans="1:6" ht="15.75" customHeight="1">
      <c r="A816" s="23"/>
      <c r="B816" s="23"/>
      <c r="C816" s="23"/>
      <c r="D816" s="23"/>
      <c r="E816" s="23"/>
      <c r="F816" s="23"/>
    </row>
    <row r="817" spans="1:6" ht="15.75" customHeight="1">
      <c r="A817" s="23"/>
      <c r="B817" s="23"/>
      <c r="C817" s="23"/>
      <c r="D817" s="23"/>
      <c r="E817" s="23"/>
      <c r="F817" s="23"/>
    </row>
    <row r="818" spans="1:6" ht="15.75" customHeight="1">
      <c r="A818" s="23"/>
      <c r="B818" s="23"/>
      <c r="C818" s="23"/>
      <c r="D818" s="23"/>
      <c r="E818" s="23"/>
      <c r="F818" s="23"/>
    </row>
    <row r="819" spans="1:6" ht="15.75" customHeight="1">
      <c r="A819" s="23"/>
      <c r="B819" s="23"/>
      <c r="C819" s="23"/>
      <c r="D819" s="23"/>
      <c r="E819" s="23"/>
      <c r="F819" s="23"/>
    </row>
    <row r="820" spans="1:6" ht="15.75" customHeight="1">
      <c r="A820" s="23"/>
      <c r="B820" s="23"/>
      <c r="C820" s="23"/>
      <c r="D820" s="23"/>
      <c r="E820" s="23"/>
      <c r="F820" s="23"/>
    </row>
    <row r="821" spans="1:6" ht="15.75" customHeight="1">
      <c r="A821" s="23"/>
      <c r="B821" s="23"/>
      <c r="C821" s="23"/>
      <c r="D821" s="23"/>
      <c r="E821" s="23"/>
      <c r="F821" s="23"/>
    </row>
    <row r="822" spans="1:6" ht="15.75" customHeight="1">
      <c r="A822" s="23"/>
      <c r="B822" s="23"/>
      <c r="C822" s="23"/>
      <c r="D822" s="23"/>
      <c r="E822" s="23"/>
      <c r="F822" s="23"/>
    </row>
    <row r="823" spans="1:6" ht="15.75" customHeight="1">
      <c r="A823" s="23"/>
      <c r="B823" s="23"/>
      <c r="C823" s="23"/>
      <c r="D823" s="23"/>
      <c r="E823" s="23"/>
      <c r="F823" s="23"/>
    </row>
    <row r="824" spans="1:6" ht="15.75" customHeight="1">
      <c r="A824" s="23"/>
      <c r="B824" s="23"/>
      <c r="C824" s="23"/>
      <c r="D824" s="23"/>
      <c r="E824" s="23"/>
      <c r="F824" s="23"/>
    </row>
    <row r="825" spans="1:6" ht="15.75" customHeight="1">
      <c r="A825" s="23"/>
      <c r="B825" s="23"/>
      <c r="C825" s="23"/>
      <c r="D825" s="23"/>
      <c r="E825" s="23"/>
      <c r="F825" s="23"/>
    </row>
    <row r="826" spans="1:6" ht="15.75" customHeight="1">
      <c r="A826" s="23"/>
      <c r="B826" s="23"/>
      <c r="C826" s="23"/>
      <c r="D826" s="23"/>
      <c r="E826" s="23"/>
      <c r="F826" s="23"/>
    </row>
    <row r="827" spans="1:6" ht="15.75" customHeight="1">
      <c r="A827" s="23"/>
      <c r="B827" s="23"/>
      <c r="C827" s="23"/>
      <c r="D827" s="23"/>
      <c r="E827" s="23"/>
      <c r="F827" s="23"/>
    </row>
    <row r="828" spans="1:6" ht="15.75" customHeight="1">
      <c r="A828" s="23"/>
      <c r="B828" s="23"/>
      <c r="C828" s="23"/>
      <c r="D828" s="23"/>
      <c r="E828" s="23"/>
      <c r="F828" s="23"/>
    </row>
    <row r="829" spans="1:6" ht="15.75" customHeight="1">
      <c r="A829" s="23"/>
      <c r="B829" s="23"/>
      <c r="C829" s="23"/>
      <c r="D829" s="23"/>
      <c r="E829" s="23"/>
      <c r="F829" s="23"/>
    </row>
    <row r="830" spans="1:6" ht="15.75" customHeight="1">
      <c r="A830" s="23"/>
      <c r="B830" s="23"/>
      <c r="C830" s="23"/>
      <c r="D830" s="23"/>
      <c r="E830" s="23"/>
      <c r="F830" s="23"/>
    </row>
    <row r="831" spans="1:6" ht="15.75" customHeight="1">
      <c r="A831" s="23"/>
      <c r="B831" s="23"/>
      <c r="C831" s="23"/>
      <c r="D831" s="23"/>
      <c r="E831" s="23"/>
      <c r="F831" s="23"/>
    </row>
    <row r="832" spans="1:6" ht="15.75" customHeight="1">
      <c r="A832" s="23"/>
      <c r="B832" s="23"/>
      <c r="C832" s="23"/>
      <c r="D832" s="23"/>
      <c r="E832" s="23"/>
      <c r="F832" s="23"/>
    </row>
    <row r="833" spans="1:6" ht="15.75" customHeight="1">
      <c r="A833" s="23"/>
      <c r="B833" s="23"/>
      <c r="C833" s="23"/>
      <c r="D833" s="23"/>
      <c r="E833" s="23"/>
      <c r="F833" s="23"/>
    </row>
    <row r="834" spans="1:6" ht="15.75" customHeight="1">
      <c r="A834" s="23"/>
      <c r="B834" s="23"/>
      <c r="C834" s="23"/>
      <c r="D834" s="23"/>
      <c r="E834" s="23"/>
      <c r="F834" s="23"/>
    </row>
    <row r="835" spans="1:6" ht="15.75" customHeight="1">
      <c r="A835" s="23"/>
      <c r="B835" s="23"/>
      <c r="C835" s="23"/>
      <c r="D835" s="23"/>
      <c r="E835" s="23"/>
      <c r="F835" s="23"/>
    </row>
    <row r="836" spans="1:6" ht="15.75" customHeight="1">
      <c r="A836" s="23"/>
      <c r="B836" s="23"/>
      <c r="C836" s="23"/>
      <c r="D836" s="23"/>
      <c r="E836" s="23"/>
      <c r="F836" s="23"/>
    </row>
    <row r="837" spans="1:6" ht="15.75" customHeight="1">
      <c r="A837" s="23"/>
      <c r="B837" s="23"/>
      <c r="C837" s="23"/>
      <c r="D837" s="23"/>
      <c r="E837" s="23"/>
      <c r="F837" s="23"/>
    </row>
    <row r="838" spans="1:6" ht="15.75" customHeight="1">
      <c r="A838" s="23"/>
      <c r="B838" s="23"/>
      <c r="C838" s="23"/>
      <c r="D838" s="23"/>
      <c r="E838" s="23"/>
      <c r="F838" s="23"/>
    </row>
    <row r="839" spans="1:6" ht="15.75" customHeight="1">
      <c r="A839" s="23"/>
      <c r="B839" s="23"/>
      <c r="C839" s="23"/>
      <c r="D839" s="23"/>
      <c r="E839" s="23"/>
      <c r="F839" s="23"/>
    </row>
    <row r="840" spans="1:6" ht="15.75" customHeight="1">
      <c r="A840" s="23"/>
      <c r="B840" s="23"/>
      <c r="C840" s="23"/>
      <c r="D840" s="23"/>
      <c r="E840" s="23"/>
      <c r="F840" s="23"/>
    </row>
    <row r="841" spans="1:6" ht="15.75" customHeight="1">
      <c r="A841" s="23"/>
      <c r="B841" s="23"/>
      <c r="C841" s="23"/>
      <c r="D841" s="23"/>
      <c r="E841" s="23"/>
      <c r="F841" s="23"/>
    </row>
    <row r="842" spans="1:6" ht="15.75" customHeight="1">
      <c r="A842" s="23"/>
      <c r="B842" s="23"/>
      <c r="C842" s="23"/>
      <c r="D842" s="23"/>
      <c r="E842" s="23"/>
      <c r="F842" s="23"/>
    </row>
    <row r="843" spans="1:6" ht="15.75" customHeight="1">
      <c r="A843" s="23"/>
      <c r="B843" s="23"/>
      <c r="C843" s="23"/>
      <c r="D843" s="23"/>
      <c r="E843" s="23"/>
      <c r="F843" s="23"/>
    </row>
    <row r="844" spans="1:6" ht="15.75" customHeight="1">
      <c r="A844" s="23"/>
      <c r="B844" s="23"/>
      <c r="C844" s="23"/>
      <c r="D844" s="23"/>
      <c r="E844" s="23"/>
      <c r="F844" s="23"/>
    </row>
    <row r="845" spans="1:6" ht="15.75" customHeight="1">
      <c r="A845" s="23"/>
      <c r="B845" s="23"/>
      <c r="C845" s="23"/>
      <c r="D845" s="23"/>
      <c r="E845" s="23"/>
      <c r="F845" s="23"/>
    </row>
    <row r="846" spans="1:6" ht="15.75" customHeight="1">
      <c r="A846" s="23"/>
      <c r="B846" s="23"/>
      <c r="C846" s="23"/>
      <c r="D846" s="23"/>
      <c r="E846" s="23"/>
      <c r="F846" s="23"/>
    </row>
    <row r="847" spans="1:6" ht="15.75" customHeight="1">
      <c r="A847" s="23"/>
      <c r="B847" s="23"/>
      <c r="C847" s="23"/>
      <c r="D847" s="23"/>
      <c r="E847" s="23"/>
      <c r="F847" s="23"/>
    </row>
    <row r="848" spans="1:6" ht="15.75" customHeight="1">
      <c r="A848" s="23"/>
      <c r="B848" s="23"/>
      <c r="C848" s="23"/>
      <c r="D848" s="23"/>
      <c r="E848" s="23"/>
      <c r="F848" s="23"/>
    </row>
    <row r="849" spans="1:6" ht="15.75" customHeight="1">
      <c r="A849" s="23"/>
      <c r="B849" s="23"/>
      <c r="C849" s="23"/>
      <c r="D849" s="23"/>
      <c r="E849" s="23"/>
      <c r="F849" s="23"/>
    </row>
    <row r="850" spans="1:6" ht="15.75" customHeight="1">
      <c r="A850" s="23"/>
      <c r="B850" s="23"/>
      <c r="C850" s="23"/>
      <c r="D850" s="23"/>
      <c r="E850" s="23"/>
      <c r="F850" s="23"/>
    </row>
    <row r="851" spans="1:6" ht="15.75" customHeight="1">
      <c r="A851" s="23"/>
      <c r="B851" s="23"/>
      <c r="C851" s="23"/>
      <c r="D851" s="23"/>
      <c r="E851" s="23"/>
      <c r="F851" s="23"/>
    </row>
    <row r="852" spans="1:6" ht="15.75" customHeight="1">
      <c r="A852" s="23"/>
      <c r="B852" s="23"/>
      <c r="C852" s="23"/>
      <c r="D852" s="23"/>
      <c r="E852" s="23"/>
      <c r="F852" s="23"/>
    </row>
    <row r="853" spans="1:6" ht="15.75" customHeight="1">
      <c r="A853" s="23"/>
      <c r="B853" s="23"/>
      <c r="C853" s="23"/>
      <c r="D853" s="23"/>
      <c r="E853" s="23"/>
      <c r="F853" s="23"/>
    </row>
    <row r="854" spans="1:6" ht="15.75" customHeight="1">
      <c r="A854" s="23"/>
      <c r="B854" s="23"/>
      <c r="C854" s="23"/>
      <c r="D854" s="23"/>
      <c r="E854" s="23"/>
      <c r="F854" s="23"/>
    </row>
    <row r="855" spans="1:6" ht="15.75" customHeight="1">
      <c r="A855" s="23"/>
      <c r="B855" s="23"/>
      <c r="C855" s="23"/>
      <c r="D855" s="23"/>
      <c r="E855" s="23"/>
      <c r="F855" s="23"/>
    </row>
    <row r="856" spans="1:6" ht="15.75" customHeight="1">
      <c r="A856" s="23"/>
      <c r="B856" s="23"/>
      <c r="C856" s="23"/>
      <c r="D856" s="23"/>
      <c r="E856" s="23"/>
      <c r="F856" s="23"/>
    </row>
    <row r="857" spans="1:6" ht="15.75" customHeight="1">
      <c r="A857" s="23"/>
      <c r="B857" s="23"/>
      <c r="C857" s="23"/>
      <c r="D857" s="23"/>
      <c r="E857" s="23"/>
      <c r="F857" s="23"/>
    </row>
    <row r="858" spans="1:6" ht="15.75" customHeight="1">
      <c r="A858" s="23"/>
      <c r="B858" s="23"/>
      <c r="C858" s="23"/>
      <c r="D858" s="23"/>
      <c r="E858" s="23"/>
      <c r="F858" s="23"/>
    </row>
    <row r="859" spans="1:6" ht="15.75" customHeight="1">
      <c r="A859" s="23"/>
      <c r="B859" s="23"/>
      <c r="C859" s="23"/>
      <c r="D859" s="23"/>
      <c r="E859" s="23"/>
      <c r="F859" s="23"/>
    </row>
    <row r="860" spans="1:6" ht="15.75" customHeight="1">
      <c r="A860" s="23"/>
      <c r="B860" s="23"/>
      <c r="C860" s="23"/>
      <c r="D860" s="23"/>
      <c r="E860" s="23"/>
      <c r="F860" s="23"/>
    </row>
    <row r="861" spans="1:6" ht="15.75" customHeight="1">
      <c r="A861" s="23"/>
      <c r="B861" s="23"/>
      <c r="C861" s="23"/>
      <c r="D861" s="23"/>
      <c r="E861" s="23"/>
      <c r="F861" s="23"/>
    </row>
    <row r="862" spans="1:6" ht="15.75" customHeight="1">
      <c r="A862" s="23"/>
      <c r="B862" s="23"/>
      <c r="C862" s="23"/>
      <c r="D862" s="23"/>
      <c r="E862" s="23"/>
      <c r="F862" s="23"/>
    </row>
    <row r="863" spans="1:6" ht="15.75" customHeight="1">
      <c r="A863" s="23"/>
      <c r="B863" s="23"/>
      <c r="C863" s="23"/>
      <c r="D863" s="23"/>
      <c r="E863" s="23"/>
      <c r="F863" s="23"/>
    </row>
    <row r="864" spans="1:6" ht="15.75" customHeight="1">
      <c r="A864" s="23"/>
      <c r="B864" s="23"/>
      <c r="C864" s="23"/>
      <c r="D864" s="23"/>
      <c r="E864" s="23"/>
      <c r="F864" s="23"/>
    </row>
    <row r="865" spans="1:6" ht="15.75" customHeight="1">
      <c r="A865" s="23"/>
      <c r="B865" s="23"/>
      <c r="C865" s="23"/>
      <c r="D865" s="23"/>
      <c r="E865" s="23"/>
      <c r="F865" s="23"/>
    </row>
    <row r="866" spans="1:6" ht="15.75" customHeight="1">
      <c r="A866" s="23"/>
      <c r="B866" s="23"/>
      <c r="C866" s="23"/>
      <c r="D866" s="23"/>
      <c r="E866" s="23"/>
      <c r="F866" s="23"/>
    </row>
    <row r="867" spans="1:6" ht="15.75" customHeight="1">
      <c r="A867" s="23"/>
      <c r="B867" s="23"/>
      <c r="C867" s="23"/>
      <c r="D867" s="23"/>
      <c r="E867" s="23"/>
      <c r="F867" s="23"/>
    </row>
    <row r="868" spans="1:6" ht="15.75" customHeight="1">
      <c r="A868" s="23"/>
      <c r="B868" s="23"/>
      <c r="C868" s="23"/>
      <c r="D868" s="23"/>
      <c r="E868" s="23"/>
      <c r="F868" s="23"/>
    </row>
    <row r="869" spans="1:6" ht="15.75" customHeight="1">
      <c r="A869" s="23"/>
      <c r="B869" s="23"/>
      <c r="C869" s="23"/>
      <c r="D869" s="23"/>
      <c r="E869" s="23"/>
      <c r="F869" s="23"/>
    </row>
    <row r="870" spans="1:6" ht="15.75" customHeight="1">
      <c r="A870" s="23"/>
      <c r="B870" s="23"/>
      <c r="C870" s="23"/>
      <c r="D870" s="23"/>
      <c r="E870" s="23"/>
      <c r="F870" s="23"/>
    </row>
    <row r="871" spans="1:6" ht="15.75" customHeight="1">
      <c r="A871" s="23"/>
      <c r="B871" s="23"/>
      <c r="C871" s="23"/>
      <c r="D871" s="23"/>
      <c r="E871" s="23"/>
      <c r="F871" s="23"/>
    </row>
    <row r="872" spans="1:6" ht="15.75" customHeight="1">
      <c r="A872" s="23"/>
      <c r="B872" s="23"/>
      <c r="C872" s="23"/>
      <c r="D872" s="23"/>
      <c r="E872" s="23"/>
      <c r="F872" s="23"/>
    </row>
    <row r="873" spans="1:6" ht="15.75" customHeight="1">
      <c r="A873" s="23"/>
      <c r="B873" s="23"/>
      <c r="C873" s="23"/>
      <c r="D873" s="23"/>
      <c r="E873" s="23"/>
      <c r="F873" s="23"/>
    </row>
    <row r="874" spans="1:6" ht="15.75" customHeight="1">
      <c r="A874" s="23"/>
      <c r="B874" s="23"/>
      <c r="C874" s="23"/>
      <c r="D874" s="23"/>
      <c r="E874" s="23"/>
      <c r="F874" s="23"/>
    </row>
    <row r="875" spans="1:6" ht="15.75" customHeight="1">
      <c r="A875" s="23"/>
      <c r="B875" s="23"/>
      <c r="C875" s="23"/>
      <c r="D875" s="23"/>
      <c r="E875" s="23"/>
      <c r="F875" s="23"/>
    </row>
    <row r="876" spans="1:6" ht="15.75" customHeight="1">
      <c r="A876" s="23"/>
      <c r="B876" s="23"/>
      <c r="C876" s="23"/>
      <c r="D876" s="23"/>
      <c r="E876" s="23"/>
      <c r="F876" s="23"/>
    </row>
    <row r="877" spans="1:6" ht="15.75" customHeight="1">
      <c r="A877" s="23"/>
      <c r="B877" s="23"/>
      <c r="C877" s="23"/>
      <c r="D877" s="23"/>
      <c r="E877" s="23"/>
      <c r="F877" s="23"/>
    </row>
    <row r="878" spans="1:6" ht="15.75" customHeight="1">
      <c r="A878" s="23"/>
      <c r="B878" s="23"/>
      <c r="C878" s="23"/>
      <c r="D878" s="23"/>
      <c r="E878" s="23"/>
      <c r="F878" s="23"/>
    </row>
    <row r="879" spans="1:6" ht="15.75" customHeight="1">
      <c r="A879" s="23"/>
      <c r="B879" s="23"/>
      <c r="C879" s="23"/>
      <c r="D879" s="23"/>
      <c r="E879" s="23"/>
      <c r="F879" s="23"/>
    </row>
    <row r="880" spans="1:6" ht="15.75" customHeight="1">
      <c r="A880" s="23"/>
      <c r="B880" s="23"/>
      <c r="C880" s="23"/>
      <c r="D880" s="23"/>
      <c r="E880" s="23"/>
      <c r="F880" s="23"/>
    </row>
    <row r="881" spans="1:6" ht="15.75" customHeight="1">
      <c r="A881" s="23"/>
      <c r="B881" s="23"/>
      <c r="C881" s="23"/>
      <c r="D881" s="23"/>
      <c r="E881" s="23"/>
      <c r="F881" s="23"/>
    </row>
    <row r="882" spans="1:6" ht="15.75" customHeight="1">
      <c r="A882" s="23"/>
      <c r="B882" s="23"/>
      <c r="C882" s="23"/>
      <c r="D882" s="23"/>
      <c r="E882" s="23"/>
      <c r="F882" s="23"/>
    </row>
    <row r="883" spans="1:6" ht="15.75" customHeight="1">
      <c r="A883" s="23"/>
      <c r="B883" s="23"/>
      <c r="C883" s="23"/>
      <c r="D883" s="23"/>
      <c r="E883" s="23"/>
      <c r="F883" s="23"/>
    </row>
    <row r="884" spans="1:6" ht="15.75" customHeight="1">
      <c r="A884" s="23"/>
      <c r="B884" s="23"/>
      <c r="C884" s="23"/>
      <c r="D884" s="23"/>
      <c r="E884" s="23"/>
      <c r="F884" s="23"/>
    </row>
    <row r="885" spans="1:6" ht="15.75" customHeight="1">
      <c r="A885" s="23"/>
      <c r="B885" s="23"/>
      <c r="C885" s="23"/>
      <c r="D885" s="23"/>
      <c r="E885" s="23"/>
      <c r="F885" s="23"/>
    </row>
    <row r="886" spans="1:6" ht="15.75" customHeight="1">
      <c r="A886" s="23"/>
      <c r="B886" s="23"/>
      <c r="C886" s="23"/>
      <c r="D886" s="23"/>
      <c r="E886" s="23"/>
      <c r="F886" s="23"/>
    </row>
    <row r="887" spans="1:6" ht="15.75" customHeight="1">
      <c r="A887" s="23"/>
      <c r="B887" s="23"/>
      <c r="C887" s="23"/>
      <c r="D887" s="23"/>
      <c r="E887" s="23"/>
      <c r="F887" s="23"/>
    </row>
    <row r="888" spans="1:6" ht="15.75" customHeight="1">
      <c r="A888" s="23"/>
      <c r="B888" s="23"/>
      <c r="C888" s="23"/>
      <c r="D888" s="23"/>
      <c r="E888" s="23"/>
      <c r="F888" s="23"/>
    </row>
    <row r="889" spans="1:6" ht="15.75" customHeight="1">
      <c r="A889" s="23"/>
      <c r="B889" s="23"/>
      <c r="C889" s="23"/>
      <c r="D889" s="23"/>
      <c r="E889" s="23"/>
      <c r="F889" s="23"/>
    </row>
    <row r="890" spans="1:6" ht="15.75" customHeight="1">
      <c r="A890" s="23"/>
      <c r="B890" s="23"/>
      <c r="C890" s="23"/>
      <c r="D890" s="23"/>
      <c r="E890" s="23"/>
      <c r="F890" s="23"/>
    </row>
    <row r="891" spans="1:6" ht="15.75" customHeight="1">
      <c r="A891" s="23"/>
      <c r="B891" s="23"/>
      <c r="C891" s="23"/>
      <c r="D891" s="23"/>
      <c r="E891" s="23"/>
      <c r="F891" s="23"/>
    </row>
    <row r="892" spans="1:6" ht="15.75" customHeight="1">
      <c r="A892" s="23"/>
      <c r="B892" s="23"/>
      <c r="C892" s="23"/>
      <c r="D892" s="23"/>
      <c r="E892" s="23"/>
      <c r="F892" s="23"/>
    </row>
    <row r="893" spans="1:6" ht="15.75" customHeight="1">
      <c r="A893" s="23"/>
      <c r="B893" s="23"/>
      <c r="C893" s="23"/>
      <c r="D893" s="23"/>
      <c r="E893" s="23"/>
      <c r="F893" s="23"/>
    </row>
    <row r="894" spans="1:6" ht="15.75" customHeight="1">
      <c r="A894" s="23"/>
      <c r="B894" s="23"/>
      <c r="C894" s="23"/>
      <c r="D894" s="23"/>
      <c r="E894" s="23"/>
      <c r="F894" s="23"/>
    </row>
    <row r="895" spans="1:6" ht="15.75" customHeight="1">
      <c r="A895" s="23"/>
      <c r="B895" s="23"/>
      <c r="C895" s="23"/>
      <c r="D895" s="23"/>
      <c r="E895" s="23"/>
      <c r="F895" s="23"/>
    </row>
    <row r="896" spans="1:6" ht="15.75" customHeight="1">
      <c r="A896" s="23"/>
      <c r="B896" s="23"/>
      <c r="C896" s="23"/>
      <c r="D896" s="23"/>
      <c r="E896" s="23"/>
      <c r="F896" s="23"/>
    </row>
    <row r="897" spans="1:6" ht="15.75" customHeight="1">
      <c r="A897" s="23"/>
      <c r="B897" s="23"/>
      <c r="C897" s="23"/>
      <c r="D897" s="23"/>
      <c r="E897" s="23"/>
      <c r="F897" s="23"/>
    </row>
    <row r="898" spans="1:6" ht="15.75" customHeight="1">
      <c r="A898" s="23"/>
      <c r="B898" s="23"/>
      <c r="C898" s="23"/>
      <c r="D898" s="23"/>
      <c r="E898" s="23"/>
      <c r="F898" s="23"/>
    </row>
    <row r="899" spans="1:6" ht="15.75" customHeight="1">
      <c r="A899" s="23"/>
      <c r="B899" s="23"/>
      <c r="C899" s="23"/>
      <c r="D899" s="23"/>
      <c r="E899" s="23"/>
      <c r="F899" s="23"/>
    </row>
    <row r="900" spans="1:6" ht="15.75" customHeight="1">
      <c r="A900" s="23"/>
      <c r="B900" s="23"/>
      <c r="C900" s="23"/>
      <c r="D900" s="23"/>
      <c r="E900" s="23"/>
      <c r="F900" s="23"/>
    </row>
    <row r="901" spans="1:6" ht="15.75" customHeight="1">
      <c r="A901" s="23"/>
      <c r="B901" s="23"/>
      <c r="C901" s="23"/>
      <c r="D901" s="23"/>
      <c r="E901" s="23"/>
      <c r="F901" s="23"/>
    </row>
    <row r="902" spans="1:6" ht="15.75" customHeight="1">
      <c r="A902" s="23"/>
      <c r="B902" s="23"/>
      <c r="C902" s="23"/>
      <c r="D902" s="23"/>
      <c r="E902" s="23"/>
      <c r="F902" s="23"/>
    </row>
    <row r="903" spans="1:6" ht="15.75" customHeight="1">
      <c r="A903" s="23"/>
      <c r="B903" s="23"/>
      <c r="C903" s="23"/>
      <c r="D903" s="23"/>
      <c r="E903" s="23"/>
      <c r="F903" s="23"/>
    </row>
    <row r="904" spans="1:6" ht="15.75" customHeight="1">
      <c r="A904" s="23"/>
      <c r="B904" s="23"/>
      <c r="C904" s="23"/>
      <c r="D904" s="23"/>
      <c r="E904" s="23"/>
      <c r="F904" s="23"/>
    </row>
    <row r="905" spans="1:6" ht="15.75" customHeight="1">
      <c r="A905" s="23"/>
      <c r="B905" s="23"/>
      <c r="C905" s="23"/>
      <c r="D905" s="23"/>
      <c r="E905" s="23"/>
      <c r="F905" s="23"/>
    </row>
    <row r="906" spans="1:6" ht="15.75" customHeight="1">
      <c r="A906" s="23"/>
      <c r="B906" s="23"/>
      <c r="C906" s="23"/>
      <c r="D906" s="23"/>
      <c r="E906" s="23"/>
      <c r="F906" s="23"/>
    </row>
    <row r="907" spans="1:6" ht="15.75" customHeight="1">
      <c r="A907" s="23"/>
      <c r="B907" s="23"/>
      <c r="C907" s="23"/>
      <c r="D907" s="23"/>
      <c r="E907" s="23"/>
      <c r="F907" s="23"/>
    </row>
    <row r="908" spans="1:6" ht="15.75" customHeight="1">
      <c r="A908" s="23"/>
      <c r="B908" s="23"/>
      <c r="C908" s="23"/>
      <c r="D908" s="23"/>
      <c r="E908" s="23"/>
      <c r="F908" s="23"/>
    </row>
    <row r="909" spans="1:6" ht="15.75" customHeight="1">
      <c r="A909" s="23"/>
      <c r="B909" s="23"/>
      <c r="C909" s="23"/>
      <c r="D909" s="23"/>
      <c r="E909" s="23"/>
      <c r="F909" s="23"/>
    </row>
    <row r="910" spans="1:6" ht="15.75" customHeight="1">
      <c r="A910" s="23"/>
      <c r="B910" s="23"/>
      <c r="C910" s="23"/>
      <c r="D910" s="23"/>
      <c r="E910" s="23"/>
      <c r="F910" s="23"/>
    </row>
    <row r="911" spans="1:6" ht="15.75" customHeight="1">
      <c r="A911" s="23"/>
      <c r="B911" s="23"/>
      <c r="C911" s="23"/>
      <c r="D911" s="23"/>
      <c r="E911" s="23"/>
      <c r="F911" s="23"/>
    </row>
    <row r="912" spans="1:6" ht="15.75" customHeight="1">
      <c r="A912" s="23"/>
      <c r="B912" s="23"/>
      <c r="C912" s="23"/>
      <c r="D912" s="23"/>
      <c r="E912" s="23"/>
      <c r="F912" s="23"/>
    </row>
    <row r="913" spans="1:6" ht="15.75" customHeight="1">
      <c r="A913" s="23"/>
      <c r="B913" s="23"/>
      <c r="C913" s="23"/>
      <c r="D913" s="23"/>
      <c r="E913" s="23"/>
      <c r="F913" s="23"/>
    </row>
    <row r="914" spans="1:6" ht="15.75" customHeight="1">
      <c r="A914" s="23"/>
      <c r="B914" s="23"/>
      <c r="C914" s="23"/>
      <c r="D914" s="23"/>
      <c r="E914" s="23"/>
      <c r="F914" s="23"/>
    </row>
    <row r="915" spans="1:6" ht="15.75" customHeight="1">
      <c r="A915" s="23"/>
      <c r="B915" s="23"/>
      <c r="C915" s="23"/>
      <c r="D915" s="23"/>
      <c r="E915" s="23"/>
      <c r="F915" s="23"/>
    </row>
    <row r="916" spans="1:6" ht="15.75" customHeight="1">
      <c r="A916" s="23"/>
      <c r="B916" s="23"/>
      <c r="C916" s="23"/>
      <c r="D916" s="23"/>
      <c r="E916" s="23"/>
      <c r="F916" s="23"/>
    </row>
    <row r="917" spans="1:6" ht="15.75" customHeight="1">
      <c r="A917" s="23"/>
      <c r="B917" s="23"/>
      <c r="C917" s="23"/>
      <c r="D917" s="23"/>
      <c r="E917" s="23"/>
      <c r="F917" s="23"/>
    </row>
    <row r="918" spans="1:6" ht="15.75" customHeight="1">
      <c r="A918" s="23"/>
      <c r="B918" s="23"/>
      <c r="C918" s="23"/>
      <c r="D918" s="23"/>
      <c r="E918" s="23"/>
      <c r="F918" s="23"/>
    </row>
    <row r="919" spans="1:6" ht="15.75" customHeight="1">
      <c r="A919" s="23"/>
      <c r="B919" s="23"/>
      <c r="C919" s="23"/>
      <c r="D919" s="23"/>
      <c r="E919" s="23"/>
      <c r="F919" s="23"/>
    </row>
    <row r="920" spans="1:6" ht="15.75" customHeight="1">
      <c r="A920" s="23"/>
      <c r="B920" s="23"/>
      <c r="C920" s="23"/>
      <c r="D920" s="23"/>
      <c r="E920" s="23"/>
      <c r="F920" s="23"/>
    </row>
    <row r="921" spans="1:6" ht="15.75" customHeight="1">
      <c r="A921" s="23"/>
      <c r="B921" s="23"/>
      <c r="C921" s="23"/>
      <c r="D921" s="23"/>
      <c r="E921" s="23"/>
      <c r="F921" s="23"/>
    </row>
    <row r="922" spans="1:6" ht="15.75" customHeight="1">
      <c r="A922" s="23"/>
      <c r="B922" s="23"/>
      <c r="C922" s="23"/>
      <c r="D922" s="23"/>
      <c r="E922" s="23"/>
      <c r="F922" s="23"/>
    </row>
    <row r="923" spans="1:6" ht="15.75" customHeight="1">
      <c r="A923" s="23"/>
      <c r="B923" s="23"/>
      <c r="C923" s="23"/>
      <c r="D923" s="23"/>
      <c r="E923" s="23"/>
      <c r="F923" s="23"/>
    </row>
    <row r="924" spans="1:6" ht="15.75" customHeight="1">
      <c r="A924" s="23"/>
      <c r="B924" s="23"/>
      <c r="C924" s="23"/>
      <c r="D924" s="23"/>
      <c r="E924" s="23"/>
      <c r="F924" s="23"/>
    </row>
    <row r="925" spans="1:6" ht="15.75" customHeight="1">
      <c r="A925" s="23"/>
      <c r="B925" s="23"/>
      <c r="C925" s="23"/>
      <c r="D925" s="23"/>
      <c r="E925" s="23"/>
      <c r="F925" s="23"/>
    </row>
    <row r="926" spans="1:6" ht="15.75" customHeight="1">
      <c r="A926" s="23"/>
      <c r="B926" s="23"/>
      <c r="C926" s="23"/>
      <c r="D926" s="23"/>
      <c r="E926" s="23"/>
      <c r="F926" s="23"/>
    </row>
    <row r="927" spans="1:6" ht="15.75" customHeight="1">
      <c r="A927" s="23"/>
      <c r="B927" s="23"/>
      <c r="C927" s="23"/>
      <c r="D927" s="23"/>
      <c r="E927" s="23"/>
      <c r="F927" s="23"/>
    </row>
    <row r="928" spans="1:6" ht="15.75" customHeight="1">
      <c r="A928" s="23"/>
      <c r="B928" s="23"/>
      <c r="C928" s="23"/>
      <c r="D928" s="23"/>
      <c r="E928" s="23"/>
      <c r="F928" s="23"/>
    </row>
    <row r="929" spans="1:6" ht="15.75" customHeight="1">
      <c r="A929" s="23"/>
      <c r="B929" s="23"/>
      <c r="C929" s="23"/>
      <c r="D929" s="23"/>
      <c r="E929" s="23"/>
      <c r="F929" s="23"/>
    </row>
    <row r="930" spans="1:6" ht="15.75" customHeight="1">
      <c r="A930" s="23"/>
      <c r="B930" s="23"/>
      <c r="C930" s="23"/>
      <c r="D930" s="23"/>
      <c r="E930" s="23"/>
      <c r="F930" s="23"/>
    </row>
    <row r="931" spans="1:6" ht="15.75" customHeight="1">
      <c r="A931" s="23"/>
      <c r="B931" s="23"/>
      <c r="C931" s="23"/>
      <c r="D931" s="23"/>
      <c r="E931" s="23"/>
      <c r="F931" s="23"/>
    </row>
    <row r="932" spans="1:6" ht="15.75" customHeight="1">
      <c r="A932" s="23"/>
      <c r="B932" s="23"/>
      <c r="C932" s="23"/>
      <c r="D932" s="23"/>
      <c r="E932" s="23"/>
      <c r="F932" s="23"/>
    </row>
    <row r="933" spans="1:6" ht="15.75" customHeight="1">
      <c r="A933" s="23"/>
      <c r="B933" s="23"/>
      <c r="C933" s="23"/>
      <c r="D933" s="23"/>
      <c r="E933" s="23"/>
      <c r="F933" s="23"/>
    </row>
    <row r="934" spans="1:6" ht="15.75" customHeight="1">
      <c r="A934" s="23"/>
      <c r="B934" s="23"/>
      <c r="C934" s="23"/>
      <c r="D934" s="23"/>
      <c r="E934" s="23"/>
      <c r="F934" s="23"/>
    </row>
    <row r="935" spans="1:6" ht="15.75" customHeight="1">
      <c r="A935" s="23"/>
      <c r="B935" s="23"/>
      <c r="C935" s="23"/>
      <c r="D935" s="23"/>
      <c r="E935" s="23"/>
      <c r="F935" s="23"/>
    </row>
    <row r="936" spans="1:6" ht="15.75" customHeight="1">
      <c r="A936" s="23"/>
      <c r="B936" s="23"/>
      <c r="C936" s="23"/>
      <c r="D936" s="23"/>
      <c r="E936" s="23"/>
      <c r="F936" s="23"/>
    </row>
    <row r="937" spans="1:6" ht="15.75" customHeight="1">
      <c r="A937" s="23"/>
      <c r="B937" s="23"/>
      <c r="C937" s="23"/>
      <c r="D937" s="23"/>
      <c r="E937" s="23"/>
      <c r="F937" s="23"/>
    </row>
    <row r="938" spans="1:6" ht="15.75" customHeight="1">
      <c r="A938" s="23"/>
      <c r="B938" s="23"/>
      <c r="C938" s="23"/>
      <c r="D938" s="23"/>
      <c r="E938" s="23"/>
      <c r="F938" s="23"/>
    </row>
    <row r="939" spans="1:6" ht="15.75" customHeight="1">
      <c r="A939" s="23"/>
      <c r="B939" s="23"/>
      <c r="C939" s="23"/>
      <c r="D939" s="23"/>
      <c r="E939" s="23"/>
      <c r="F939" s="23"/>
    </row>
    <row r="940" spans="1:6" ht="15.75" customHeight="1">
      <c r="A940" s="23"/>
      <c r="B940" s="23"/>
      <c r="C940" s="23"/>
      <c r="D940" s="23"/>
      <c r="E940" s="23"/>
      <c r="F940" s="23"/>
    </row>
    <row r="941" spans="1:6" ht="15.75" customHeight="1">
      <c r="A941" s="23"/>
      <c r="B941" s="23"/>
      <c r="C941" s="23"/>
      <c r="D941" s="23"/>
      <c r="E941" s="23"/>
      <c r="F941" s="23"/>
    </row>
    <row r="942" spans="1:6" ht="15.75" customHeight="1">
      <c r="A942" s="23"/>
      <c r="B942" s="23"/>
      <c r="C942" s="23"/>
      <c r="D942" s="23"/>
      <c r="E942" s="23"/>
      <c r="F942" s="23"/>
    </row>
    <row r="943" spans="1:6" ht="15.75" customHeight="1">
      <c r="A943" s="23"/>
      <c r="B943" s="23"/>
      <c r="C943" s="23"/>
      <c r="D943" s="23"/>
      <c r="E943" s="23"/>
      <c r="F943" s="23"/>
    </row>
    <row r="944" spans="1:6" ht="15.75" customHeight="1">
      <c r="A944" s="23"/>
      <c r="B944" s="23"/>
      <c r="C944" s="23"/>
      <c r="D944" s="23"/>
      <c r="E944" s="23"/>
      <c r="F944" s="23"/>
    </row>
    <row r="945" spans="1:6" ht="15.75" customHeight="1">
      <c r="A945" s="23"/>
      <c r="B945" s="23"/>
      <c r="C945" s="23"/>
      <c r="D945" s="23"/>
      <c r="E945" s="23"/>
      <c r="F945" s="23"/>
    </row>
    <row r="946" spans="1:6" ht="15.75" customHeight="1">
      <c r="A946" s="23"/>
      <c r="B946" s="23"/>
      <c r="C946" s="23"/>
      <c r="D946" s="23"/>
      <c r="E946" s="23"/>
      <c r="F946" s="23"/>
    </row>
    <row r="947" spans="1:6" ht="15.75" customHeight="1">
      <c r="A947" s="23"/>
      <c r="B947" s="23"/>
      <c r="C947" s="23"/>
      <c r="D947" s="23"/>
      <c r="E947" s="23"/>
      <c r="F947" s="23"/>
    </row>
    <row r="948" spans="1:6" ht="15.75" customHeight="1">
      <c r="A948" s="23"/>
      <c r="B948" s="23"/>
      <c r="C948" s="23"/>
      <c r="D948" s="23"/>
      <c r="E948" s="23"/>
      <c r="F948" s="23"/>
    </row>
    <row r="949" spans="1:6" ht="15.75" customHeight="1">
      <c r="A949" s="23"/>
      <c r="B949" s="23"/>
      <c r="C949" s="23"/>
      <c r="D949" s="23"/>
      <c r="E949" s="23"/>
      <c r="F949" s="23"/>
    </row>
    <row r="950" spans="1:6" ht="15.75" customHeight="1">
      <c r="A950" s="23"/>
      <c r="B950" s="23"/>
      <c r="C950" s="23"/>
      <c r="D950" s="23"/>
      <c r="E950" s="23"/>
      <c r="F950" s="23"/>
    </row>
    <row r="951" spans="1:6" ht="15.75" customHeight="1">
      <c r="A951" s="23"/>
      <c r="B951" s="23"/>
      <c r="C951" s="23"/>
      <c r="D951" s="23"/>
      <c r="E951" s="23"/>
      <c r="F951" s="23"/>
    </row>
    <row r="952" spans="1:6" ht="15.75" customHeight="1">
      <c r="A952" s="23"/>
      <c r="B952" s="23"/>
      <c r="C952" s="23"/>
      <c r="D952" s="23"/>
      <c r="E952" s="23"/>
      <c r="F952" s="23"/>
    </row>
    <row r="953" spans="1:6" ht="15.75" customHeight="1">
      <c r="A953" s="23"/>
      <c r="B953" s="23"/>
      <c r="C953" s="23"/>
      <c r="D953" s="23"/>
      <c r="E953" s="23"/>
      <c r="F953" s="23"/>
    </row>
    <row r="954" spans="1:6" ht="15.75" customHeight="1">
      <c r="A954" s="23"/>
      <c r="B954" s="23"/>
      <c r="C954" s="23"/>
      <c r="D954" s="23"/>
      <c r="E954" s="23"/>
      <c r="F954" s="23"/>
    </row>
    <row r="955" spans="1:6" ht="15.75" customHeight="1">
      <c r="A955" s="23"/>
      <c r="B955" s="23"/>
      <c r="C955" s="23"/>
      <c r="D955" s="23"/>
      <c r="E955" s="23"/>
      <c r="F955" s="23"/>
    </row>
    <row r="956" spans="1:6" ht="15.75" customHeight="1">
      <c r="A956" s="23"/>
      <c r="B956" s="23"/>
      <c r="C956" s="23"/>
      <c r="D956" s="23"/>
      <c r="E956" s="23"/>
      <c r="F956" s="23"/>
    </row>
    <row r="957" spans="1:6" ht="15.75" customHeight="1">
      <c r="A957" s="23"/>
      <c r="B957" s="23"/>
      <c r="C957" s="23"/>
      <c r="D957" s="23"/>
      <c r="E957" s="23"/>
      <c r="F957" s="23"/>
    </row>
    <row r="958" spans="1:6" ht="15.75" customHeight="1">
      <c r="A958" s="23"/>
      <c r="B958" s="23"/>
      <c r="C958" s="23"/>
      <c r="D958" s="23"/>
      <c r="E958" s="23"/>
      <c r="F958" s="23"/>
    </row>
    <row r="959" spans="1:6" ht="15.75" customHeight="1">
      <c r="A959" s="23"/>
      <c r="B959" s="23"/>
      <c r="C959" s="23"/>
      <c r="D959" s="23"/>
      <c r="E959" s="23"/>
      <c r="F959" s="23"/>
    </row>
    <row r="960" spans="1:6" ht="15.75" customHeight="1">
      <c r="A960" s="23"/>
      <c r="B960" s="23"/>
      <c r="C960" s="23"/>
      <c r="D960" s="23"/>
      <c r="E960" s="23"/>
      <c r="F960" s="23"/>
    </row>
    <row r="961" spans="1:6" ht="15.75" customHeight="1">
      <c r="A961" s="23"/>
      <c r="B961" s="23"/>
      <c r="C961" s="23"/>
      <c r="D961" s="23"/>
      <c r="E961" s="23"/>
      <c r="F961" s="23"/>
    </row>
    <row r="962" spans="1:6" ht="15.75" customHeight="1">
      <c r="A962" s="23"/>
      <c r="B962" s="23"/>
      <c r="C962" s="23"/>
      <c r="D962" s="23"/>
      <c r="E962" s="23"/>
      <c r="F962" s="23"/>
    </row>
    <row r="963" spans="1:6" ht="15.75" customHeight="1">
      <c r="A963" s="23"/>
      <c r="B963" s="23"/>
      <c r="C963" s="23"/>
      <c r="D963" s="23"/>
      <c r="E963" s="23"/>
      <c r="F963" s="23"/>
    </row>
    <row r="964" spans="1:6" ht="15.75" customHeight="1">
      <c r="A964" s="23"/>
      <c r="B964" s="23"/>
      <c r="C964" s="23"/>
      <c r="D964" s="23"/>
      <c r="E964" s="23"/>
      <c r="F964" s="23"/>
    </row>
    <row r="965" spans="1:6" ht="15.75" customHeight="1">
      <c r="A965" s="23"/>
      <c r="B965" s="23"/>
      <c r="C965" s="23"/>
      <c r="D965" s="23"/>
      <c r="E965" s="23"/>
      <c r="F965" s="23"/>
    </row>
    <row r="966" spans="1:6" ht="15.75" customHeight="1">
      <c r="A966" s="23"/>
      <c r="B966" s="23"/>
      <c r="C966" s="23"/>
      <c r="D966" s="23"/>
      <c r="E966" s="23"/>
      <c r="F966" s="23"/>
    </row>
    <row r="967" spans="1:6" ht="15.75" customHeight="1">
      <c r="A967" s="23"/>
      <c r="B967" s="23"/>
      <c r="C967" s="23"/>
      <c r="D967" s="23"/>
      <c r="E967" s="23"/>
      <c r="F967" s="23"/>
    </row>
    <row r="968" spans="1:6" ht="15.75" customHeight="1">
      <c r="A968" s="23"/>
      <c r="B968" s="23"/>
      <c r="C968" s="23"/>
      <c r="D968" s="23"/>
      <c r="E968" s="23"/>
      <c r="F968" s="23"/>
    </row>
    <row r="969" spans="1:6" ht="15.75" customHeight="1">
      <c r="A969" s="23"/>
      <c r="B969" s="23"/>
      <c r="C969" s="23"/>
      <c r="D969" s="23"/>
      <c r="E969" s="23"/>
      <c r="F969" s="23"/>
    </row>
    <row r="970" spans="1:6" ht="15.75" customHeight="1">
      <c r="A970" s="23"/>
      <c r="B970" s="23"/>
      <c r="C970" s="23"/>
      <c r="D970" s="23"/>
      <c r="E970" s="23"/>
      <c r="F970" s="23"/>
    </row>
    <row r="971" spans="1:6" ht="15.75" customHeight="1">
      <c r="A971" s="23"/>
      <c r="B971" s="23"/>
      <c r="C971" s="23"/>
      <c r="D971" s="23"/>
      <c r="E971" s="23"/>
      <c r="F971" s="23"/>
    </row>
    <row r="972" spans="1:6" ht="15.75" customHeight="1">
      <c r="A972" s="23"/>
      <c r="B972" s="23"/>
      <c r="C972" s="23"/>
      <c r="D972" s="23"/>
      <c r="E972" s="23"/>
      <c r="F972" s="23"/>
    </row>
    <row r="973" spans="1:6" ht="15.75" customHeight="1">
      <c r="A973" s="23"/>
      <c r="B973" s="23"/>
      <c r="C973" s="23"/>
      <c r="D973" s="23"/>
      <c r="E973" s="23"/>
      <c r="F973" s="23"/>
    </row>
    <row r="974" spans="1:6" ht="15.75" customHeight="1">
      <c r="A974" s="23"/>
      <c r="B974" s="23"/>
      <c r="C974" s="23"/>
      <c r="D974" s="23"/>
      <c r="E974" s="23"/>
      <c r="F974" s="23"/>
    </row>
    <row r="975" spans="1:6" ht="15.75" customHeight="1">
      <c r="A975" s="23"/>
      <c r="B975" s="23"/>
      <c r="C975" s="23"/>
      <c r="D975" s="23"/>
      <c r="E975" s="23"/>
      <c r="F975" s="23"/>
    </row>
    <row r="976" spans="1:6" ht="15.75" customHeight="1">
      <c r="A976" s="23"/>
      <c r="B976" s="23"/>
      <c r="C976" s="23"/>
      <c r="D976" s="23"/>
      <c r="E976" s="23"/>
      <c r="F976" s="23"/>
    </row>
    <row r="977" spans="1:6" ht="15.75" customHeight="1">
      <c r="A977" s="23"/>
      <c r="B977" s="23"/>
      <c r="C977" s="23"/>
      <c r="D977" s="23"/>
      <c r="E977" s="23"/>
      <c r="F977" s="23"/>
    </row>
    <row r="978" spans="1:6" ht="15.75" customHeight="1">
      <c r="A978" s="23"/>
      <c r="B978" s="23"/>
      <c r="C978" s="23"/>
      <c r="D978" s="23"/>
      <c r="E978" s="23"/>
      <c r="F978" s="23"/>
    </row>
    <row r="979" spans="1:6" ht="15.75" customHeight="1">
      <c r="A979" s="23"/>
      <c r="B979" s="23"/>
      <c r="C979" s="23"/>
      <c r="D979" s="23"/>
      <c r="E979" s="23"/>
      <c r="F979" s="23"/>
    </row>
    <row r="980" spans="1:6" ht="15.75" customHeight="1">
      <c r="A980" s="23"/>
      <c r="B980" s="23"/>
      <c r="C980" s="23"/>
      <c r="D980" s="23"/>
      <c r="E980" s="23"/>
      <c r="F980" s="23"/>
    </row>
    <row r="981" spans="1:6" ht="15.75" customHeight="1">
      <c r="A981" s="23"/>
      <c r="B981" s="23"/>
      <c r="C981" s="23"/>
      <c r="D981" s="23"/>
      <c r="E981" s="23"/>
      <c r="F981" s="23"/>
    </row>
    <row r="982" spans="1:6" ht="15.75" customHeight="1">
      <c r="A982" s="23"/>
      <c r="B982" s="23"/>
      <c r="C982" s="23"/>
      <c r="D982" s="23"/>
      <c r="E982" s="23"/>
      <c r="F982" s="23"/>
    </row>
    <row r="983" spans="1:6" ht="15.75" customHeight="1">
      <c r="A983" s="23"/>
      <c r="B983" s="23"/>
      <c r="C983" s="23"/>
      <c r="D983" s="23"/>
      <c r="E983" s="23"/>
      <c r="F983" s="23"/>
    </row>
    <row r="984" spans="1:6" ht="15.75" customHeight="1">
      <c r="A984" s="23"/>
      <c r="B984" s="23"/>
      <c r="C984" s="23"/>
      <c r="D984" s="23"/>
      <c r="E984" s="23"/>
      <c r="F984" s="23"/>
    </row>
    <row r="985" spans="1:6" ht="15.75" customHeight="1">
      <c r="A985" s="23"/>
      <c r="B985" s="23"/>
      <c r="C985" s="23"/>
      <c r="D985" s="23"/>
      <c r="E985" s="23"/>
      <c r="F985" s="23"/>
    </row>
    <row r="986" spans="1:6" ht="15.75" customHeight="1">
      <c r="A986" s="23"/>
      <c r="B986" s="23"/>
      <c r="C986" s="23"/>
      <c r="D986" s="23"/>
      <c r="E986" s="23"/>
      <c r="F986" s="23"/>
    </row>
    <row r="987" spans="1:6" ht="15.75" customHeight="1">
      <c r="A987" s="23"/>
      <c r="B987" s="23"/>
      <c r="C987" s="23"/>
      <c r="D987" s="23"/>
      <c r="E987" s="23"/>
      <c r="F987" s="23"/>
    </row>
    <row r="988" spans="1:6" ht="15.75" customHeight="1">
      <c r="A988" s="23"/>
      <c r="B988" s="23"/>
      <c r="C988" s="23"/>
      <c r="D988" s="23"/>
      <c r="E988" s="23"/>
      <c r="F988" s="23"/>
    </row>
    <row r="989" spans="1:6" ht="15.75" customHeight="1">
      <c r="A989" s="23"/>
      <c r="B989" s="23"/>
      <c r="C989" s="23"/>
      <c r="D989" s="23"/>
      <c r="E989" s="23"/>
      <c r="F989" s="23"/>
    </row>
    <row r="990" spans="1:6" ht="15.75" customHeight="1">
      <c r="A990" s="23"/>
      <c r="B990" s="23"/>
      <c r="C990" s="23"/>
      <c r="D990" s="23"/>
      <c r="E990" s="23"/>
      <c r="F990" s="23"/>
    </row>
    <row r="991" spans="1:6" ht="15.75" customHeight="1">
      <c r="A991" s="23"/>
      <c r="B991" s="23"/>
      <c r="C991" s="23"/>
      <c r="D991" s="23"/>
      <c r="E991" s="23"/>
      <c r="F991" s="23"/>
    </row>
    <row r="992" spans="1:6" ht="15.75" customHeight="1">
      <c r="A992" s="23"/>
      <c r="B992" s="23"/>
      <c r="C992" s="23"/>
      <c r="D992" s="23"/>
      <c r="E992" s="23"/>
      <c r="F992" s="23"/>
    </row>
    <row r="993" spans="1:6" ht="15.75" customHeight="1">
      <c r="A993" s="23"/>
      <c r="B993" s="23"/>
      <c r="C993" s="23"/>
      <c r="D993" s="23"/>
      <c r="E993" s="23"/>
      <c r="F993" s="23"/>
    </row>
    <row r="994" spans="1:6" ht="15.75" customHeight="1">
      <c r="A994" s="23"/>
      <c r="B994" s="23"/>
      <c r="C994" s="23"/>
      <c r="D994" s="23"/>
      <c r="E994" s="23"/>
      <c r="F994" s="23"/>
    </row>
    <row r="995" spans="1:6" ht="15.75" customHeight="1">
      <c r="A995" s="23"/>
      <c r="B995" s="23"/>
      <c r="C995" s="23"/>
      <c r="D995" s="23"/>
      <c r="E995" s="23"/>
      <c r="F995" s="23"/>
    </row>
    <row r="996" spans="1:6" ht="15.75" customHeight="1">
      <c r="A996" s="23"/>
      <c r="B996" s="23"/>
      <c r="C996" s="23"/>
      <c r="D996" s="23"/>
      <c r="E996" s="23"/>
      <c r="F996" s="23"/>
    </row>
    <row r="997" spans="1:6" ht="15.75" customHeight="1">
      <c r="A997" s="23"/>
      <c r="B997" s="23"/>
      <c r="C997" s="23"/>
      <c r="D997" s="23"/>
      <c r="E997" s="23"/>
      <c r="F997" s="23"/>
    </row>
    <row r="998" spans="1:6" ht="15.75" customHeight="1">
      <c r="A998" s="23"/>
      <c r="B998" s="23"/>
      <c r="C998" s="23"/>
      <c r="D998" s="23"/>
      <c r="E998" s="23"/>
      <c r="F998" s="23"/>
    </row>
    <row r="999" spans="1:6" ht="15.75" customHeight="1">
      <c r="A999" s="23"/>
      <c r="B999" s="23"/>
      <c r="C999" s="23"/>
      <c r="D999" s="23"/>
      <c r="E999" s="23"/>
      <c r="F999" s="23"/>
    </row>
    <row r="1000" spans="1:6" ht="15.75" customHeight="1">
      <c r="A1000" s="23"/>
      <c r="B1000" s="23"/>
      <c r="C1000" s="23"/>
      <c r="D1000" s="23"/>
      <c r="E1000" s="23"/>
      <c r="F1000" s="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5"/>
  <sheetViews>
    <sheetView zoomScaleNormal="100" workbookViewId="0">
      <pane ySplit="1" topLeftCell="A104" activePane="bottomLeft" state="frozen"/>
      <selection pane="bottomLeft" activeCell="D122" sqref="D122"/>
    </sheetView>
  </sheetViews>
  <sheetFormatPr defaultColWidth="12.5703125" defaultRowHeight="12.75"/>
  <cols>
    <col min="5" max="5" width="20.42578125" bestFit="1" customWidth="1"/>
  </cols>
  <sheetData>
    <row r="1" spans="1:10" ht="15.75" customHeight="1">
      <c r="A1" s="23" t="s">
        <v>894</v>
      </c>
      <c r="B1" s="23" t="s">
        <v>895</v>
      </c>
      <c r="C1" s="23" t="s">
        <v>4</v>
      </c>
      <c r="D1" s="23" t="s">
        <v>6</v>
      </c>
      <c r="E1" s="23" t="s">
        <v>896</v>
      </c>
      <c r="F1" s="23" t="s">
        <v>897</v>
      </c>
      <c r="G1" s="23" t="s">
        <v>898</v>
      </c>
      <c r="H1" s="23" t="s">
        <v>899</v>
      </c>
      <c r="I1" s="23" t="s">
        <v>900</v>
      </c>
      <c r="J1" s="23" t="s">
        <v>901</v>
      </c>
    </row>
    <row r="2" spans="1:10" ht="15.75" customHeight="1">
      <c r="A2" s="23" t="s">
        <v>902</v>
      </c>
      <c r="B2" s="23" t="s">
        <v>903</v>
      </c>
      <c r="C2" s="23" t="s">
        <v>904</v>
      </c>
      <c r="D2" s="23" t="s">
        <v>905</v>
      </c>
      <c r="E2" s="72">
        <v>44595.647800925901</v>
      </c>
      <c r="F2" s="23" t="s">
        <v>906</v>
      </c>
      <c r="G2" s="23" t="s">
        <v>829</v>
      </c>
      <c r="H2" s="23" t="s">
        <v>829</v>
      </c>
      <c r="I2" s="23" t="s">
        <v>829</v>
      </c>
      <c r="J2" s="23" t="s">
        <v>829</v>
      </c>
    </row>
    <row r="3" spans="1:10" ht="15.75" customHeight="1">
      <c r="A3" s="23" t="s">
        <v>137</v>
      </c>
      <c r="B3" s="23" t="s">
        <v>907</v>
      </c>
      <c r="C3" s="23" t="s">
        <v>138</v>
      </c>
      <c r="D3" s="23" t="s">
        <v>139</v>
      </c>
      <c r="E3" s="72">
        <v>45433.461678240703</v>
      </c>
      <c r="F3" s="23" t="s">
        <v>906</v>
      </c>
      <c r="G3" s="23" t="s">
        <v>829</v>
      </c>
      <c r="H3" s="23" t="s">
        <v>829</v>
      </c>
      <c r="I3" s="23" t="s">
        <v>829</v>
      </c>
      <c r="J3" s="23" t="s">
        <v>829</v>
      </c>
    </row>
    <row r="4" spans="1:10" ht="15.75" customHeight="1">
      <c r="A4" s="23" t="s">
        <v>88</v>
      </c>
      <c r="B4" s="23" t="s">
        <v>910</v>
      </c>
      <c r="C4" s="23" t="s">
        <v>89</v>
      </c>
      <c r="D4" s="23" t="s">
        <v>90</v>
      </c>
      <c r="E4" s="72">
        <v>44752.804340277798</v>
      </c>
      <c r="F4" s="23" t="s">
        <v>908</v>
      </c>
      <c r="G4" s="23" t="s">
        <v>909</v>
      </c>
      <c r="H4" s="23" t="s">
        <v>909</v>
      </c>
      <c r="I4" s="23" t="s">
        <v>909</v>
      </c>
      <c r="J4" s="23" t="s">
        <v>909</v>
      </c>
    </row>
    <row r="5" spans="1:10" ht="15.75" customHeight="1">
      <c r="A5" s="23" t="s">
        <v>388</v>
      </c>
      <c r="B5" s="23" t="s">
        <v>739</v>
      </c>
      <c r="C5" s="23" t="s">
        <v>389</v>
      </c>
      <c r="D5" s="23" t="s">
        <v>390</v>
      </c>
      <c r="E5" s="72">
        <v>45348.448379629597</v>
      </c>
      <c r="F5" s="23" t="s">
        <v>908</v>
      </c>
      <c r="G5" s="23" t="s">
        <v>909</v>
      </c>
      <c r="H5" s="23" t="s">
        <v>909</v>
      </c>
      <c r="I5" s="23" t="s">
        <v>909</v>
      </c>
      <c r="J5" s="23" t="s">
        <v>909</v>
      </c>
    </row>
    <row r="6" spans="1:10" ht="15.75" customHeight="1">
      <c r="A6" s="23" t="s">
        <v>725</v>
      </c>
      <c r="B6" s="23" t="s">
        <v>518</v>
      </c>
      <c r="C6" s="23" t="s">
        <v>726</v>
      </c>
      <c r="D6" s="23" t="s">
        <v>727</v>
      </c>
      <c r="E6" s="72">
        <v>45390.624664351897</v>
      </c>
      <c r="F6" s="23" t="s">
        <v>908</v>
      </c>
      <c r="G6" s="23" t="s">
        <v>909</v>
      </c>
      <c r="H6" s="23" t="s">
        <v>909</v>
      </c>
      <c r="I6" s="23" t="s">
        <v>909</v>
      </c>
      <c r="J6" s="23" t="s">
        <v>909</v>
      </c>
    </row>
    <row r="7" spans="1:10" ht="15.75" customHeight="1">
      <c r="A7" s="23" t="s">
        <v>640</v>
      </c>
      <c r="B7" s="23" t="s">
        <v>654</v>
      </c>
      <c r="C7" s="23" t="s">
        <v>641</v>
      </c>
      <c r="D7" s="23" t="s">
        <v>642</v>
      </c>
      <c r="E7" s="72">
        <v>45334.552372685197</v>
      </c>
      <c r="F7" s="23" t="s">
        <v>908</v>
      </c>
      <c r="G7" s="23" t="s">
        <v>909</v>
      </c>
      <c r="H7" s="23" t="s">
        <v>909</v>
      </c>
      <c r="I7" s="23" t="s">
        <v>909</v>
      </c>
      <c r="J7" s="23" t="s">
        <v>909</v>
      </c>
    </row>
    <row r="8" spans="1:10" ht="15.75" customHeight="1">
      <c r="A8" s="23" t="s">
        <v>428</v>
      </c>
      <c r="B8" s="23" t="s">
        <v>361</v>
      </c>
      <c r="C8" s="23" t="s">
        <v>429</v>
      </c>
      <c r="D8" s="23" t="s">
        <v>430</v>
      </c>
      <c r="E8" s="72">
        <v>45412.5788425926</v>
      </c>
      <c r="F8" s="23" t="s">
        <v>908</v>
      </c>
      <c r="G8" s="23" t="s">
        <v>909</v>
      </c>
      <c r="H8" s="23" t="s">
        <v>909</v>
      </c>
      <c r="I8" s="23" t="s">
        <v>909</v>
      </c>
      <c r="J8" s="23" t="s">
        <v>909</v>
      </c>
    </row>
    <row r="9" spans="1:10" ht="15.75" customHeight="1">
      <c r="A9" s="23" t="s">
        <v>499</v>
      </c>
      <c r="B9" s="23" t="s">
        <v>668</v>
      </c>
      <c r="C9" s="23" t="s">
        <v>500</v>
      </c>
      <c r="D9" s="23" t="s">
        <v>501</v>
      </c>
      <c r="E9" s="72">
        <v>45444.740162037</v>
      </c>
      <c r="F9" s="23" t="s">
        <v>908</v>
      </c>
      <c r="G9" s="23" t="s">
        <v>909</v>
      </c>
      <c r="H9" s="23" t="s">
        <v>909</v>
      </c>
      <c r="I9" s="23" t="s">
        <v>909</v>
      </c>
      <c r="J9" s="23" t="s">
        <v>909</v>
      </c>
    </row>
    <row r="10" spans="1:10" ht="15.75" customHeight="1">
      <c r="A10" s="23" t="s">
        <v>217</v>
      </c>
      <c r="B10" s="23" t="s">
        <v>37</v>
      </c>
      <c r="C10" s="23" t="s">
        <v>218</v>
      </c>
      <c r="D10" s="23" t="s">
        <v>219</v>
      </c>
      <c r="E10" s="72">
        <v>45356.8265046296</v>
      </c>
      <c r="F10" s="23" t="s">
        <v>908</v>
      </c>
      <c r="G10" s="23" t="s">
        <v>909</v>
      </c>
      <c r="H10" s="23" t="s">
        <v>909</v>
      </c>
      <c r="I10" s="23" t="s">
        <v>909</v>
      </c>
      <c r="J10" s="23" t="s">
        <v>909</v>
      </c>
    </row>
    <row r="11" spans="1:10" ht="15.75" customHeight="1">
      <c r="A11" s="23" t="s">
        <v>672</v>
      </c>
      <c r="B11" s="23" t="s">
        <v>675</v>
      </c>
      <c r="C11" s="23" t="s">
        <v>673</v>
      </c>
      <c r="D11" s="23" t="s">
        <v>674</v>
      </c>
      <c r="E11" s="72">
        <v>45443.476122685199</v>
      </c>
      <c r="F11" s="23" t="s">
        <v>908</v>
      </c>
      <c r="G11" s="23" t="s">
        <v>909</v>
      </c>
      <c r="H11" s="23" t="s">
        <v>909</v>
      </c>
      <c r="I11" s="23" t="s">
        <v>909</v>
      </c>
      <c r="J11" s="23" t="s">
        <v>909</v>
      </c>
    </row>
    <row r="12" spans="1:10" ht="15.75" customHeight="1">
      <c r="A12" s="23" t="s">
        <v>682</v>
      </c>
      <c r="B12" s="23" t="s">
        <v>183</v>
      </c>
      <c r="C12" s="23" t="s">
        <v>683</v>
      </c>
      <c r="D12" s="23" t="s">
        <v>684</v>
      </c>
      <c r="E12" s="72">
        <v>45428.402789351901</v>
      </c>
      <c r="F12" s="23" t="s">
        <v>908</v>
      </c>
      <c r="G12" s="23" t="s">
        <v>909</v>
      </c>
      <c r="H12" s="23" t="s">
        <v>909</v>
      </c>
      <c r="I12" s="23" t="s">
        <v>909</v>
      </c>
      <c r="J12" s="23" t="s">
        <v>909</v>
      </c>
    </row>
    <row r="13" spans="1:10" ht="15.75" customHeight="1">
      <c r="A13" s="23" t="s">
        <v>911</v>
      </c>
      <c r="B13" s="23" t="s">
        <v>189</v>
      </c>
      <c r="C13" s="23" t="s">
        <v>912</v>
      </c>
      <c r="D13" s="23" t="s">
        <v>913</v>
      </c>
      <c r="E13" s="72">
        <v>45406.8201736111</v>
      </c>
      <c r="F13" s="23" t="s">
        <v>908</v>
      </c>
      <c r="G13" s="23" t="s">
        <v>909</v>
      </c>
      <c r="H13" s="23" t="s">
        <v>909</v>
      </c>
      <c r="I13" s="23" t="s">
        <v>909</v>
      </c>
      <c r="J13" s="23" t="s">
        <v>909</v>
      </c>
    </row>
    <row r="14" spans="1:10" ht="15.75" customHeight="1">
      <c r="A14" s="23" t="s">
        <v>293</v>
      </c>
      <c r="B14" s="23" t="s">
        <v>44</v>
      </c>
      <c r="C14" s="23" t="s">
        <v>294</v>
      </c>
      <c r="D14" s="23" t="s">
        <v>295</v>
      </c>
      <c r="E14" s="72">
        <v>45424.547453703701</v>
      </c>
      <c r="F14" s="23" t="s">
        <v>908</v>
      </c>
      <c r="G14" s="23" t="s">
        <v>909</v>
      </c>
      <c r="H14" s="23" t="s">
        <v>909</v>
      </c>
      <c r="I14" s="23" t="s">
        <v>909</v>
      </c>
      <c r="J14" s="23" t="s">
        <v>909</v>
      </c>
    </row>
    <row r="15" spans="1:10" ht="15.75" customHeight="1">
      <c r="A15" s="23" t="s">
        <v>142</v>
      </c>
      <c r="B15" s="23" t="s">
        <v>145</v>
      </c>
      <c r="C15" s="23" t="s">
        <v>143</v>
      </c>
      <c r="D15" s="23" t="s">
        <v>144</v>
      </c>
      <c r="E15" s="72">
        <v>45415.758391203701</v>
      </c>
      <c r="F15" s="23" t="s">
        <v>908</v>
      </c>
      <c r="G15" s="23" t="s">
        <v>909</v>
      </c>
      <c r="H15" s="23" t="s">
        <v>909</v>
      </c>
      <c r="I15" s="23" t="s">
        <v>909</v>
      </c>
      <c r="J15" s="23" t="s">
        <v>909</v>
      </c>
    </row>
    <row r="16" spans="1:10" ht="15.75" customHeight="1">
      <c r="A16" s="23" t="s">
        <v>494</v>
      </c>
      <c r="B16" s="23" t="s">
        <v>914</v>
      </c>
      <c r="C16" s="23" t="s">
        <v>495</v>
      </c>
      <c r="D16" s="23" t="s">
        <v>496</v>
      </c>
      <c r="E16" s="72">
        <v>45361.895706018498</v>
      </c>
      <c r="F16" s="23" t="s">
        <v>906</v>
      </c>
      <c r="G16" s="23" t="s">
        <v>829</v>
      </c>
      <c r="H16" s="23" t="s">
        <v>829</v>
      </c>
      <c r="I16" s="23" t="s">
        <v>829</v>
      </c>
      <c r="J16" s="23" t="s">
        <v>829</v>
      </c>
    </row>
    <row r="17" spans="1:10" ht="15.75" customHeight="1">
      <c r="A17" s="23" t="s">
        <v>540</v>
      </c>
      <c r="B17" s="23" t="s">
        <v>513</v>
      </c>
      <c r="C17" s="23" t="s">
        <v>541</v>
      </c>
      <c r="D17" s="23" t="s">
        <v>542</v>
      </c>
      <c r="E17" s="72">
        <v>45439.650474536997</v>
      </c>
      <c r="F17" s="23" t="s">
        <v>908</v>
      </c>
      <c r="G17" s="23" t="s">
        <v>909</v>
      </c>
      <c r="H17" s="23" t="s">
        <v>909</v>
      </c>
      <c r="I17" s="23" t="s">
        <v>909</v>
      </c>
      <c r="J17" s="23" t="s">
        <v>909</v>
      </c>
    </row>
    <row r="18" spans="1:10" ht="15.75" customHeight="1">
      <c r="A18" s="23" t="s">
        <v>149</v>
      </c>
      <c r="B18" s="23" t="s">
        <v>915</v>
      </c>
      <c r="C18" s="23" t="s">
        <v>150</v>
      </c>
      <c r="D18" s="23" t="s">
        <v>151</v>
      </c>
      <c r="E18" s="72">
        <v>45449.771527777797</v>
      </c>
      <c r="F18" s="23" t="s">
        <v>908</v>
      </c>
      <c r="G18" s="23" t="s">
        <v>909</v>
      </c>
      <c r="H18" s="23" t="s">
        <v>909</v>
      </c>
      <c r="I18" s="23" t="s">
        <v>909</v>
      </c>
      <c r="J18" s="23" t="s">
        <v>909</v>
      </c>
    </row>
    <row r="19" spans="1:10" ht="15.75" customHeight="1">
      <c r="A19" s="23" t="s">
        <v>916</v>
      </c>
      <c r="B19" s="23" t="s">
        <v>680</v>
      </c>
      <c r="C19" s="23" t="s">
        <v>917</v>
      </c>
      <c r="D19" s="23" t="s">
        <v>918</v>
      </c>
      <c r="E19" s="72">
        <v>45438.659131944398</v>
      </c>
      <c r="F19" s="23" t="s">
        <v>908</v>
      </c>
      <c r="G19" s="23" t="s">
        <v>909</v>
      </c>
      <c r="H19" s="23" t="s">
        <v>909</v>
      </c>
      <c r="I19" s="23" t="s">
        <v>909</v>
      </c>
      <c r="J19" s="23" t="s">
        <v>909</v>
      </c>
    </row>
    <row r="20" spans="1:10" ht="15.75" customHeight="1">
      <c r="A20" s="23" t="s">
        <v>919</v>
      </c>
      <c r="B20" s="23" t="s">
        <v>685</v>
      </c>
      <c r="C20" s="23" t="s">
        <v>920</v>
      </c>
      <c r="D20" s="23" t="s">
        <v>921</v>
      </c>
      <c r="E20" s="72">
        <v>45415.406851851898</v>
      </c>
      <c r="F20" s="23" t="s">
        <v>908</v>
      </c>
      <c r="G20" s="23" t="s">
        <v>909</v>
      </c>
      <c r="H20" s="23" t="s">
        <v>909</v>
      </c>
      <c r="I20" s="23" t="s">
        <v>909</v>
      </c>
      <c r="J20" s="23" t="s">
        <v>909</v>
      </c>
    </row>
    <row r="21" spans="1:10" ht="15.75" customHeight="1">
      <c r="A21" s="23" t="s">
        <v>383</v>
      </c>
      <c r="B21" s="23" t="s">
        <v>52</v>
      </c>
      <c r="C21" s="23" t="s">
        <v>384</v>
      </c>
      <c r="D21" s="23" t="s">
        <v>385</v>
      </c>
      <c r="E21" s="72">
        <v>45365.690694444398</v>
      </c>
      <c r="F21" s="23" t="s">
        <v>908</v>
      </c>
      <c r="G21" s="23" t="s">
        <v>909</v>
      </c>
      <c r="H21" s="23" t="s">
        <v>909</v>
      </c>
      <c r="I21" s="23" t="s">
        <v>909</v>
      </c>
      <c r="J21" s="23" t="s">
        <v>909</v>
      </c>
    </row>
    <row r="22" spans="1:10" ht="15.75" customHeight="1">
      <c r="A22" s="23" t="s">
        <v>119</v>
      </c>
      <c r="B22" s="23" t="s">
        <v>323</v>
      </c>
      <c r="C22" s="23" t="s">
        <v>120</v>
      </c>
      <c r="D22" s="23" t="s">
        <v>121</v>
      </c>
      <c r="E22" s="72">
        <v>45432.562673611101</v>
      </c>
      <c r="F22" s="23" t="s">
        <v>908</v>
      </c>
      <c r="G22" s="23" t="s">
        <v>909</v>
      </c>
      <c r="H22" s="23" t="s">
        <v>909</v>
      </c>
      <c r="I22" s="23" t="s">
        <v>909</v>
      </c>
      <c r="J22" s="23" t="s">
        <v>909</v>
      </c>
    </row>
    <row r="23" spans="1:10" ht="15.75" customHeight="1">
      <c r="A23" s="23" t="s">
        <v>463</v>
      </c>
      <c r="B23" s="23" t="s">
        <v>922</v>
      </c>
      <c r="C23" s="23" t="s">
        <v>464</v>
      </c>
      <c r="D23" s="23" t="s">
        <v>465</v>
      </c>
      <c r="E23" s="72">
        <v>44854.286099536999</v>
      </c>
      <c r="F23" s="23" t="s">
        <v>908</v>
      </c>
      <c r="G23" s="23" t="s">
        <v>909</v>
      </c>
      <c r="H23" s="23" t="s">
        <v>909</v>
      </c>
      <c r="I23" s="23" t="s">
        <v>909</v>
      </c>
      <c r="J23" s="23" t="s">
        <v>909</v>
      </c>
    </row>
    <row r="24" spans="1:10" ht="15.75" customHeight="1">
      <c r="A24" s="23" t="s">
        <v>736</v>
      </c>
      <c r="B24" s="23" t="s">
        <v>194</v>
      </c>
      <c r="C24" s="23" t="s">
        <v>737</v>
      </c>
      <c r="D24" s="23" t="s">
        <v>738</v>
      </c>
      <c r="E24" s="72">
        <v>45334.543414351901</v>
      </c>
      <c r="F24" s="23" t="s">
        <v>908</v>
      </c>
      <c r="G24" s="23" t="s">
        <v>909</v>
      </c>
      <c r="H24" s="23" t="s">
        <v>909</v>
      </c>
      <c r="I24" s="23" t="s">
        <v>909</v>
      </c>
      <c r="J24" s="23" t="s">
        <v>909</v>
      </c>
    </row>
    <row r="25" spans="1:10" ht="15.75" customHeight="1">
      <c r="A25" s="23" t="s">
        <v>222</v>
      </c>
      <c r="B25" s="23" t="s">
        <v>117</v>
      </c>
      <c r="C25" s="23" t="s">
        <v>223</v>
      </c>
      <c r="D25" s="23" t="s">
        <v>224</v>
      </c>
      <c r="E25" s="72">
        <v>45328.441006944398</v>
      </c>
      <c r="F25" s="23" t="s">
        <v>908</v>
      </c>
      <c r="G25" s="23" t="s">
        <v>909</v>
      </c>
      <c r="H25" s="23" t="s">
        <v>909</v>
      </c>
      <c r="I25" s="23" t="s">
        <v>909</v>
      </c>
      <c r="J25" s="23" t="s">
        <v>909</v>
      </c>
    </row>
    <row r="26" spans="1:10" ht="15.75" customHeight="1">
      <c r="A26" s="23" t="s">
        <v>378</v>
      </c>
      <c r="B26" s="23" t="s">
        <v>527</v>
      </c>
      <c r="C26" s="23" t="s">
        <v>379</v>
      </c>
      <c r="D26" s="23" t="s">
        <v>380</v>
      </c>
      <c r="E26" s="72">
        <v>45389.336307870399</v>
      </c>
      <c r="F26" s="23" t="s">
        <v>908</v>
      </c>
      <c r="G26" s="23" t="s">
        <v>909</v>
      </c>
      <c r="H26" s="23" t="s">
        <v>909</v>
      </c>
      <c r="I26" s="23" t="s">
        <v>909</v>
      </c>
      <c r="J26" s="23" t="s">
        <v>909</v>
      </c>
    </row>
    <row r="27" spans="1:10" ht="15.75" customHeight="1">
      <c r="A27" s="23" t="s">
        <v>165</v>
      </c>
      <c r="B27" s="23" t="s">
        <v>923</v>
      </c>
      <c r="C27" s="23" t="s">
        <v>166</v>
      </c>
      <c r="D27" s="23" t="s">
        <v>167</v>
      </c>
      <c r="E27" s="72">
        <v>45439.857928240701</v>
      </c>
      <c r="F27" s="23" t="s">
        <v>908</v>
      </c>
      <c r="G27" s="23" t="s">
        <v>909</v>
      </c>
      <c r="H27" s="23" t="s">
        <v>909</v>
      </c>
      <c r="I27" s="23" t="s">
        <v>909</v>
      </c>
      <c r="J27" s="23" t="s">
        <v>909</v>
      </c>
    </row>
    <row r="28" spans="1:10" ht="15.75" customHeight="1">
      <c r="A28" s="23" t="s">
        <v>665</v>
      </c>
      <c r="B28" s="23" t="s">
        <v>157</v>
      </c>
      <c r="C28" s="23" t="s">
        <v>666</v>
      </c>
      <c r="D28" s="23" t="s">
        <v>667</v>
      </c>
      <c r="E28" s="72">
        <v>45336.481504629599</v>
      </c>
      <c r="F28" s="23" t="s">
        <v>908</v>
      </c>
      <c r="G28" s="23" t="s">
        <v>909</v>
      </c>
      <c r="H28" s="23" t="s">
        <v>909</v>
      </c>
      <c r="I28" s="23" t="s">
        <v>909</v>
      </c>
      <c r="J28" s="23" t="s">
        <v>909</v>
      </c>
    </row>
    <row r="29" spans="1:10" ht="15.75" customHeight="1">
      <c r="A29" s="23" t="s">
        <v>326</v>
      </c>
      <c r="B29" s="23" t="s">
        <v>178</v>
      </c>
      <c r="C29" s="23" t="s">
        <v>327</v>
      </c>
      <c r="D29" s="23" t="s">
        <v>328</v>
      </c>
      <c r="E29" s="72">
        <v>45446.844548611101</v>
      </c>
      <c r="F29" s="23" t="s">
        <v>908</v>
      </c>
      <c r="G29" s="23" t="s">
        <v>909</v>
      </c>
      <c r="H29" s="23" t="s">
        <v>909</v>
      </c>
      <c r="I29" s="23" t="s">
        <v>909</v>
      </c>
      <c r="J29" s="23" t="s">
        <v>909</v>
      </c>
    </row>
    <row r="30" spans="1:10" ht="15.75" customHeight="1">
      <c r="A30" s="23" t="s">
        <v>442</v>
      </c>
      <c r="B30" s="23" t="s">
        <v>445</v>
      </c>
      <c r="C30" s="23" t="s">
        <v>443</v>
      </c>
      <c r="D30" s="23" t="s">
        <v>444</v>
      </c>
      <c r="E30" s="72">
        <v>45433.987777777802</v>
      </c>
      <c r="F30" s="23" t="s">
        <v>908</v>
      </c>
      <c r="G30" s="23" t="s">
        <v>909</v>
      </c>
      <c r="H30" s="23" t="s">
        <v>909</v>
      </c>
      <c r="I30" s="23" t="s">
        <v>909</v>
      </c>
      <c r="J30" s="23" t="s">
        <v>909</v>
      </c>
    </row>
    <row r="31" spans="1:10" ht="15.75" customHeight="1">
      <c r="A31" s="23" t="s">
        <v>170</v>
      </c>
      <c r="B31" s="23" t="s">
        <v>719</v>
      </c>
      <c r="C31" s="23" t="s">
        <v>171</v>
      </c>
      <c r="D31" s="23" t="s">
        <v>172</v>
      </c>
      <c r="E31" s="72">
        <v>45431.586319444497</v>
      </c>
      <c r="F31" s="23" t="s">
        <v>908</v>
      </c>
      <c r="G31" s="23" t="s">
        <v>909</v>
      </c>
      <c r="H31" s="23" t="s">
        <v>909</v>
      </c>
      <c r="I31" s="23" t="s">
        <v>909</v>
      </c>
      <c r="J31" s="23" t="s">
        <v>909</v>
      </c>
    </row>
    <row r="32" spans="1:10" ht="15.75" customHeight="1">
      <c r="A32" s="23" t="s">
        <v>651</v>
      </c>
      <c r="B32" s="23" t="s">
        <v>335</v>
      </c>
      <c r="C32" s="23" t="s">
        <v>652</v>
      </c>
      <c r="D32" s="23" t="s">
        <v>653</v>
      </c>
      <c r="E32" s="72">
        <v>45442.442418981504</v>
      </c>
      <c r="F32" s="23" t="s">
        <v>908</v>
      </c>
      <c r="G32" s="23" t="s">
        <v>909</v>
      </c>
      <c r="H32" s="23" t="s">
        <v>909</v>
      </c>
      <c r="I32" s="23" t="s">
        <v>909</v>
      </c>
      <c r="J32" s="23" t="s">
        <v>909</v>
      </c>
    </row>
    <row r="33" spans="1:10" ht="15.75" customHeight="1">
      <c r="A33" s="23" t="s">
        <v>363</v>
      </c>
      <c r="B33" s="23" t="s">
        <v>340</v>
      </c>
      <c r="C33" s="23" t="s">
        <v>364</v>
      </c>
      <c r="D33" s="23" t="s">
        <v>365</v>
      </c>
      <c r="E33" s="72">
        <v>45425.417106481502</v>
      </c>
      <c r="F33" s="23" t="s">
        <v>908</v>
      </c>
      <c r="G33" s="23" t="s">
        <v>909</v>
      </c>
      <c r="H33" s="23" t="s">
        <v>909</v>
      </c>
      <c r="I33" s="23" t="s">
        <v>909</v>
      </c>
      <c r="J33" s="23" t="s">
        <v>909</v>
      </c>
    </row>
    <row r="34" spans="1:10" ht="15.75" customHeight="1">
      <c r="A34" s="23" t="s">
        <v>490</v>
      </c>
      <c r="B34" s="23" t="s">
        <v>168</v>
      </c>
      <c r="C34" s="23" t="s">
        <v>491</v>
      </c>
      <c r="D34" s="23" t="s">
        <v>492</v>
      </c>
      <c r="E34" s="72">
        <v>45349.568171296298</v>
      </c>
      <c r="F34" s="23" t="s">
        <v>908</v>
      </c>
      <c r="G34" s="23" t="s">
        <v>909</v>
      </c>
      <c r="H34" s="23" t="s">
        <v>909</v>
      </c>
      <c r="I34" s="23" t="s">
        <v>909</v>
      </c>
      <c r="J34" s="23" t="s">
        <v>909</v>
      </c>
    </row>
    <row r="35" spans="1:10" ht="15.75" customHeight="1">
      <c r="A35" s="23" t="s">
        <v>268</v>
      </c>
      <c r="B35" s="23" t="s">
        <v>924</v>
      </c>
      <c r="C35" s="23" t="s">
        <v>269</v>
      </c>
      <c r="D35" s="23" t="s">
        <v>270</v>
      </c>
      <c r="E35" s="72">
        <v>45373.990243055603</v>
      </c>
      <c r="F35" s="23" t="s">
        <v>908</v>
      </c>
      <c r="G35" s="23" t="s">
        <v>909</v>
      </c>
      <c r="H35" s="23" t="s">
        <v>909</v>
      </c>
      <c r="I35" s="23" t="s">
        <v>909</v>
      </c>
      <c r="J35" s="23" t="s">
        <v>909</v>
      </c>
    </row>
    <row r="36" spans="1:10" ht="15.75" customHeight="1">
      <c r="A36" s="23" t="s">
        <v>436</v>
      </c>
      <c r="B36" s="23" t="s">
        <v>199</v>
      </c>
      <c r="C36" s="23" t="s">
        <v>437</v>
      </c>
      <c r="D36" s="23" t="s">
        <v>438</v>
      </c>
      <c r="E36" s="72">
        <v>45434.534502314797</v>
      </c>
      <c r="F36" s="23" t="s">
        <v>908</v>
      </c>
      <c r="G36" s="23" t="s">
        <v>909</v>
      </c>
      <c r="H36" s="23" t="s">
        <v>909</v>
      </c>
      <c r="I36" s="23" t="s">
        <v>909</v>
      </c>
      <c r="J36" s="23" t="s">
        <v>909</v>
      </c>
    </row>
    <row r="37" spans="1:10" ht="15.75" customHeight="1">
      <c r="A37" s="23" t="s">
        <v>457</v>
      </c>
      <c r="B37" s="23" t="s">
        <v>460</v>
      </c>
      <c r="C37" s="23" t="s">
        <v>458</v>
      </c>
      <c r="D37" s="23" t="s">
        <v>459</v>
      </c>
      <c r="E37" s="72">
        <v>44752.894803240699</v>
      </c>
      <c r="F37" s="23" t="s">
        <v>908</v>
      </c>
      <c r="G37" s="23" t="s">
        <v>909</v>
      </c>
      <c r="H37" s="23" t="s">
        <v>909</v>
      </c>
      <c r="I37" s="23" t="s">
        <v>909</v>
      </c>
      <c r="J37" s="23" t="s">
        <v>909</v>
      </c>
    </row>
    <row r="38" spans="1:10" ht="15.75" customHeight="1">
      <c r="A38" s="23" t="s">
        <v>191</v>
      </c>
      <c r="B38" s="23" t="s">
        <v>204</v>
      </c>
      <c r="C38" s="23" t="s">
        <v>192</v>
      </c>
      <c r="D38" s="23" t="s">
        <v>193</v>
      </c>
      <c r="E38" s="72">
        <v>45426.829768518503</v>
      </c>
      <c r="F38" s="23" t="s">
        <v>908</v>
      </c>
      <c r="G38" s="23" t="s">
        <v>909</v>
      </c>
      <c r="H38" s="23" t="s">
        <v>909</v>
      </c>
      <c r="I38" s="23" t="s">
        <v>909</v>
      </c>
      <c r="J38" s="23" t="s">
        <v>909</v>
      </c>
    </row>
    <row r="39" spans="1:10" ht="15.75" customHeight="1">
      <c r="A39" s="23" t="s">
        <v>925</v>
      </c>
      <c r="B39" s="23" t="s">
        <v>296</v>
      </c>
      <c r="C39" s="23" t="s">
        <v>926</v>
      </c>
      <c r="D39" s="23" t="s">
        <v>927</v>
      </c>
      <c r="E39" s="72">
        <v>45379.804907407401</v>
      </c>
      <c r="F39" s="23" t="s">
        <v>908</v>
      </c>
      <c r="G39" s="23" t="s">
        <v>909</v>
      </c>
      <c r="H39" s="23" t="s">
        <v>909</v>
      </c>
      <c r="I39" s="23" t="s">
        <v>909</v>
      </c>
      <c r="J39" s="23" t="s">
        <v>909</v>
      </c>
    </row>
    <row r="40" spans="1:10" ht="15.75" customHeight="1">
      <c r="A40" s="23" t="s">
        <v>305</v>
      </c>
      <c r="B40" s="23" t="s">
        <v>624</v>
      </c>
      <c r="C40" s="23" t="s">
        <v>306</v>
      </c>
      <c r="D40" s="23" t="s">
        <v>307</v>
      </c>
      <c r="E40" s="72">
        <v>45394.870567129597</v>
      </c>
      <c r="F40" s="23" t="s">
        <v>908</v>
      </c>
      <c r="G40" s="23" t="s">
        <v>909</v>
      </c>
      <c r="H40" s="23" t="s">
        <v>909</v>
      </c>
      <c r="I40" s="23" t="s">
        <v>909</v>
      </c>
      <c r="J40" s="23" t="s">
        <v>909</v>
      </c>
    </row>
    <row r="41" spans="1:10" ht="15.75" customHeight="1">
      <c r="A41" s="23" t="s">
        <v>34</v>
      </c>
      <c r="B41" s="23" t="s">
        <v>928</v>
      </c>
      <c r="C41" s="23" t="s">
        <v>35</v>
      </c>
      <c r="D41" s="23" t="s">
        <v>36</v>
      </c>
      <c r="E41" s="72">
        <v>45328.623622685198</v>
      </c>
      <c r="F41" s="23" t="s">
        <v>906</v>
      </c>
      <c r="G41" s="23" t="s">
        <v>829</v>
      </c>
      <c r="H41" s="23" t="s">
        <v>829</v>
      </c>
      <c r="I41" s="23" t="s">
        <v>829</v>
      </c>
      <c r="J41" s="23" t="s">
        <v>829</v>
      </c>
    </row>
    <row r="42" spans="1:10" ht="15.75" customHeight="1">
      <c r="A42" s="23" t="s">
        <v>227</v>
      </c>
      <c r="B42" s="23" t="s">
        <v>929</v>
      </c>
      <c r="C42" s="23" t="s">
        <v>228</v>
      </c>
      <c r="D42" s="23" t="s">
        <v>229</v>
      </c>
      <c r="E42" s="72">
        <v>45444.743020833303</v>
      </c>
      <c r="F42" s="23" t="s">
        <v>906</v>
      </c>
      <c r="G42" s="23" t="s">
        <v>829</v>
      </c>
      <c r="H42" s="23" t="s">
        <v>829</v>
      </c>
      <c r="I42" s="23" t="s">
        <v>829</v>
      </c>
      <c r="J42" s="23" t="s">
        <v>829</v>
      </c>
    </row>
    <row r="43" spans="1:10" ht="15.75" customHeight="1">
      <c r="A43" s="23" t="s">
        <v>300</v>
      </c>
      <c r="B43" s="23" t="s">
        <v>549</v>
      </c>
      <c r="C43" s="23" t="s">
        <v>301</v>
      </c>
      <c r="D43" s="23" t="s">
        <v>302</v>
      </c>
      <c r="E43" s="72">
        <v>45357.534027777801</v>
      </c>
      <c r="F43" s="23" t="s">
        <v>908</v>
      </c>
      <c r="G43" s="23" t="s">
        <v>909</v>
      </c>
      <c r="H43" s="23" t="s">
        <v>909</v>
      </c>
      <c r="I43" s="23" t="s">
        <v>909</v>
      </c>
      <c r="J43" s="23" t="s">
        <v>909</v>
      </c>
    </row>
    <row r="44" spans="1:10" ht="15.75" customHeight="1">
      <c r="A44" s="23" t="s">
        <v>418</v>
      </c>
      <c r="B44" s="23" t="s">
        <v>421</v>
      </c>
      <c r="C44" s="23" t="s">
        <v>419</v>
      </c>
      <c r="D44" s="23" t="s">
        <v>420</v>
      </c>
      <c r="E44" s="72">
        <v>45541.746064814797</v>
      </c>
      <c r="F44" s="23" t="s">
        <v>908</v>
      </c>
      <c r="G44" s="23" t="s">
        <v>909</v>
      </c>
      <c r="H44" s="23" t="s">
        <v>909</v>
      </c>
      <c r="I44" s="23" t="s">
        <v>909</v>
      </c>
      <c r="J44" s="23" t="s">
        <v>909</v>
      </c>
    </row>
    <row r="45" spans="1:10" ht="15.75" customHeight="1">
      <c r="A45" s="23" t="s">
        <v>930</v>
      </c>
      <c r="B45" s="23" t="s">
        <v>215</v>
      </c>
      <c r="C45" s="23" t="s">
        <v>931</v>
      </c>
      <c r="D45" s="23" t="s">
        <v>932</v>
      </c>
      <c r="E45" s="72">
        <v>45376.589363425897</v>
      </c>
      <c r="F45" s="23" t="s">
        <v>908</v>
      </c>
      <c r="G45" s="23" t="s">
        <v>909</v>
      </c>
      <c r="H45" s="23" t="s">
        <v>909</v>
      </c>
      <c r="I45" s="23" t="s">
        <v>909</v>
      </c>
      <c r="J45" s="23" t="s">
        <v>909</v>
      </c>
    </row>
    <row r="46" spans="1:10" ht="15.75" customHeight="1">
      <c r="A46" s="23" t="s">
        <v>206</v>
      </c>
      <c r="B46" s="23" t="s">
        <v>209</v>
      </c>
      <c r="C46" s="23" t="s">
        <v>207</v>
      </c>
      <c r="D46" s="23" t="s">
        <v>208</v>
      </c>
      <c r="E46" s="72">
        <v>44400.506469907399</v>
      </c>
      <c r="F46" s="23" t="s">
        <v>908</v>
      </c>
      <c r="G46" s="23" t="s">
        <v>909</v>
      </c>
      <c r="H46" s="23" t="s">
        <v>909</v>
      </c>
      <c r="I46" s="23" t="s">
        <v>909</v>
      </c>
      <c r="J46" s="23" t="s">
        <v>909</v>
      </c>
    </row>
    <row r="47" spans="1:10" ht="15.75" customHeight="1">
      <c r="A47" s="23" t="s">
        <v>78</v>
      </c>
      <c r="B47" s="23" t="s">
        <v>286</v>
      </c>
      <c r="C47" s="23" t="s">
        <v>79</v>
      </c>
      <c r="D47" s="23" t="s">
        <v>80</v>
      </c>
      <c r="E47" s="72">
        <v>45445.903009259302</v>
      </c>
      <c r="F47" s="23" t="s">
        <v>908</v>
      </c>
      <c r="G47" s="23" t="s">
        <v>909</v>
      </c>
      <c r="H47" s="23" t="s">
        <v>909</v>
      </c>
      <c r="I47" s="23" t="s">
        <v>909</v>
      </c>
      <c r="J47" s="23" t="s">
        <v>909</v>
      </c>
    </row>
    <row r="48" spans="1:10" ht="15.75" customHeight="1">
      <c r="A48" s="23" t="s">
        <v>707</v>
      </c>
      <c r="B48" s="23" t="s">
        <v>933</v>
      </c>
      <c r="C48" s="23" t="s">
        <v>708</v>
      </c>
      <c r="D48" s="23" t="s">
        <v>709</v>
      </c>
      <c r="E48" s="72">
        <v>45330.762951388897</v>
      </c>
      <c r="F48" s="23" t="s">
        <v>934</v>
      </c>
      <c r="G48" s="23" t="s">
        <v>909</v>
      </c>
      <c r="H48" s="23" t="s">
        <v>909</v>
      </c>
      <c r="I48" s="23" t="s">
        <v>935</v>
      </c>
      <c r="J48" s="23" t="s">
        <v>936</v>
      </c>
    </row>
    <row r="49" spans="1:10" ht="15.75" customHeight="1">
      <c r="A49" s="23" t="s">
        <v>721</v>
      </c>
      <c r="B49" s="23" t="s">
        <v>439</v>
      </c>
      <c r="C49" s="23" t="s">
        <v>722</v>
      </c>
      <c r="D49" s="23" t="s">
        <v>723</v>
      </c>
      <c r="E49" s="72">
        <v>45236.928310185198</v>
      </c>
      <c r="F49" s="23" t="s">
        <v>908</v>
      </c>
      <c r="G49" s="23" t="s">
        <v>909</v>
      </c>
      <c r="H49" s="23" t="s">
        <v>909</v>
      </c>
      <c r="I49" s="23" t="s">
        <v>909</v>
      </c>
      <c r="J49" s="23" t="s">
        <v>909</v>
      </c>
    </row>
    <row r="50" spans="1:10" ht="15.75" customHeight="1">
      <c r="A50" s="23" t="s">
        <v>180</v>
      </c>
      <c r="B50" s="23" t="s">
        <v>140</v>
      </c>
      <c r="C50" s="23" t="s">
        <v>181</v>
      </c>
      <c r="D50" s="23" t="s">
        <v>182</v>
      </c>
      <c r="E50" s="72">
        <v>45419.887314814798</v>
      </c>
      <c r="F50" s="23" t="s">
        <v>908</v>
      </c>
      <c r="G50" s="23" t="s">
        <v>909</v>
      </c>
      <c r="H50" s="23" t="s">
        <v>909</v>
      </c>
      <c r="I50" s="23" t="s">
        <v>909</v>
      </c>
      <c r="J50" s="23" t="s">
        <v>909</v>
      </c>
    </row>
    <row r="51" spans="1:10" ht="15.75" customHeight="1">
      <c r="A51" s="23" t="s">
        <v>505</v>
      </c>
      <c r="B51" s="23" t="s">
        <v>561</v>
      </c>
      <c r="C51" s="23" t="s">
        <v>506</v>
      </c>
      <c r="D51" s="23" t="s">
        <v>507</v>
      </c>
      <c r="E51" s="72">
        <v>45363.449456018498</v>
      </c>
      <c r="F51" s="23" t="s">
        <v>908</v>
      </c>
      <c r="G51" s="23" t="s">
        <v>909</v>
      </c>
      <c r="H51" s="23" t="s">
        <v>909</v>
      </c>
      <c r="I51" s="23" t="s">
        <v>909</v>
      </c>
      <c r="J51" s="23" t="s">
        <v>909</v>
      </c>
    </row>
    <row r="52" spans="1:10" ht="15.75" customHeight="1">
      <c r="A52" s="23" t="s">
        <v>98</v>
      </c>
      <c r="B52" s="23" t="s">
        <v>152</v>
      </c>
      <c r="C52" s="23" t="s">
        <v>99</v>
      </c>
      <c r="D52" s="23" t="s">
        <v>100</v>
      </c>
      <c r="E52" s="72">
        <v>45396.405069444401</v>
      </c>
      <c r="F52" s="23" t="s">
        <v>908</v>
      </c>
      <c r="G52" s="23" t="s">
        <v>909</v>
      </c>
      <c r="H52" s="23" t="s">
        <v>909</v>
      </c>
      <c r="I52" s="23" t="s">
        <v>909</v>
      </c>
      <c r="J52" s="23" t="s">
        <v>909</v>
      </c>
    </row>
    <row r="53" spans="1:10" ht="15.75" customHeight="1">
      <c r="A53" s="23" t="s">
        <v>243</v>
      </c>
      <c r="B53" s="23" t="s">
        <v>487</v>
      </c>
      <c r="C53" s="23" t="s">
        <v>244</v>
      </c>
      <c r="D53" s="23" t="s">
        <v>245</v>
      </c>
      <c r="E53" s="72">
        <v>45431.609502314801</v>
      </c>
      <c r="F53" s="23" t="s">
        <v>908</v>
      </c>
      <c r="G53" s="23" t="s">
        <v>909</v>
      </c>
      <c r="H53" s="23" t="s">
        <v>909</v>
      </c>
      <c r="I53" s="23" t="s">
        <v>909</v>
      </c>
      <c r="J53" s="23" t="s">
        <v>909</v>
      </c>
    </row>
    <row r="54" spans="1:10" ht="15.75" customHeight="1">
      <c r="A54" s="23" t="s">
        <v>408</v>
      </c>
      <c r="B54" s="23" t="s">
        <v>937</v>
      </c>
      <c r="C54" s="23" t="s">
        <v>409</v>
      </c>
      <c r="D54" s="23" t="s">
        <v>410</v>
      </c>
      <c r="E54" s="72">
        <v>45332.686770833301</v>
      </c>
      <c r="F54" s="23" t="s">
        <v>906</v>
      </c>
      <c r="G54" s="23" t="s">
        <v>829</v>
      </c>
      <c r="H54" s="23" t="s">
        <v>829</v>
      </c>
      <c r="I54" s="23" t="s">
        <v>829</v>
      </c>
      <c r="J54" s="23" t="s">
        <v>829</v>
      </c>
    </row>
    <row r="55" spans="1:10" ht="15.75" customHeight="1">
      <c r="A55" s="23" t="s">
        <v>238</v>
      </c>
      <c r="B55" s="23" t="s">
        <v>698</v>
      </c>
      <c r="C55" s="23" t="s">
        <v>239</v>
      </c>
      <c r="D55" s="23" t="s">
        <v>240</v>
      </c>
      <c r="E55" s="72">
        <v>45437.785474536999</v>
      </c>
      <c r="F55" s="23" t="s">
        <v>908</v>
      </c>
      <c r="G55" s="23" t="s">
        <v>909</v>
      </c>
      <c r="H55" s="23" t="s">
        <v>909</v>
      </c>
      <c r="I55" s="23" t="s">
        <v>909</v>
      </c>
      <c r="J55" s="23" t="s">
        <v>909</v>
      </c>
    </row>
    <row r="56" spans="1:10" ht="15.75" customHeight="1">
      <c r="A56" s="23" t="s">
        <v>342</v>
      </c>
      <c r="B56" s="23" t="s">
        <v>345</v>
      </c>
      <c r="C56" s="23" t="s">
        <v>343</v>
      </c>
      <c r="D56" s="23" t="s">
        <v>344</v>
      </c>
      <c r="E56" s="72">
        <v>45393.5718865741</v>
      </c>
      <c r="F56" s="23" t="s">
        <v>908</v>
      </c>
      <c r="G56" s="23" t="s">
        <v>909</v>
      </c>
      <c r="H56" s="23" t="s">
        <v>909</v>
      </c>
      <c r="I56" s="23" t="s">
        <v>909</v>
      </c>
      <c r="J56" s="23" t="s">
        <v>909</v>
      </c>
    </row>
    <row r="57" spans="1:10" ht="15.75" customHeight="1">
      <c r="A57" s="23" t="s">
        <v>571</v>
      </c>
      <c r="B57" s="23" t="s">
        <v>220</v>
      </c>
      <c r="C57" s="23" t="s">
        <v>572</v>
      </c>
      <c r="D57" s="23" t="s">
        <v>573</v>
      </c>
      <c r="E57" s="72">
        <v>45416.739212963003</v>
      </c>
      <c r="F57" s="23" t="s">
        <v>908</v>
      </c>
      <c r="G57" s="23" t="s">
        <v>909</v>
      </c>
      <c r="H57" s="23" t="s">
        <v>909</v>
      </c>
      <c r="I57" s="23" t="s">
        <v>909</v>
      </c>
      <c r="J57" s="23" t="s">
        <v>909</v>
      </c>
    </row>
    <row r="58" spans="1:10" ht="15.75" customHeight="1">
      <c r="A58" s="23" t="s">
        <v>175</v>
      </c>
      <c r="B58" s="23" t="s">
        <v>569</v>
      </c>
      <c r="C58" s="23" t="s">
        <v>176</v>
      </c>
      <c r="D58" s="23" t="s">
        <v>177</v>
      </c>
      <c r="E58" s="72">
        <v>45425.869062500002</v>
      </c>
      <c r="F58" s="23" t="s">
        <v>908</v>
      </c>
      <c r="G58" s="23" t="s">
        <v>909</v>
      </c>
      <c r="H58" s="23" t="s">
        <v>909</v>
      </c>
      <c r="I58" s="23" t="s">
        <v>909</v>
      </c>
      <c r="J58" s="23" t="s">
        <v>909</v>
      </c>
    </row>
    <row r="59" spans="1:10" ht="15.75" customHeight="1">
      <c r="A59" s="23" t="s">
        <v>592</v>
      </c>
      <c r="B59" s="23" t="s">
        <v>75</v>
      </c>
      <c r="C59" s="23" t="s">
        <v>593</v>
      </c>
      <c r="D59" s="23" t="s">
        <v>594</v>
      </c>
      <c r="E59" s="72">
        <v>45408.888449074097</v>
      </c>
      <c r="F59" s="23" t="s">
        <v>908</v>
      </c>
      <c r="G59" s="23" t="s">
        <v>909</v>
      </c>
      <c r="H59" s="23" t="s">
        <v>909</v>
      </c>
      <c r="I59" s="23" t="s">
        <v>909</v>
      </c>
      <c r="J59" s="23" t="s">
        <v>909</v>
      </c>
    </row>
    <row r="60" spans="1:10" ht="15.75" customHeight="1">
      <c r="A60" s="23" t="s">
        <v>584</v>
      </c>
      <c r="B60" s="23" t="s">
        <v>938</v>
      </c>
      <c r="C60" s="23" t="s">
        <v>585</v>
      </c>
      <c r="D60" s="23" t="s">
        <v>586</v>
      </c>
      <c r="E60" s="72">
        <v>45316.7347337963</v>
      </c>
      <c r="F60" s="23" t="s">
        <v>906</v>
      </c>
      <c r="G60" s="23" t="s">
        <v>829</v>
      </c>
      <c r="H60" s="23" t="s">
        <v>829</v>
      </c>
      <c r="I60" s="23" t="s">
        <v>829</v>
      </c>
      <c r="J60" s="23" t="s">
        <v>829</v>
      </c>
    </row>
    <row r="61" spans="1:10" ht="15.75" customHeight="1">
      <c r="A61" s="23" t="s">
        <v>186</v>
      </c>
      <c r="B61" s="23" t="s">
        <v>710</v>
      </c>
      <c r="C61" s="23" t="s">
        <v>187</v>
      </c>
      <c r="D61" s="23" t="s">
        <v>188</v>
      </c>
      <c r="E61" s="72">
        <v>45411.535393518498</v>
      </c>
      <c r="F61" s="23" t="s">
        <v>908</v>
      </c>
      <c r="G61" s="23" t="s">
        <v>909</v>
      </c>
      <c r="H61" s="23" t="s">
        <v>909</v>
      </c>
      <c r="I61" s="23" t="s">
        <v>909</v>
      </c>
      <c r="J61" s="23" t="s">
        <v>909</v>
      </c>
    </row>
    <row r="62" spans="1:10" ht="15.75" customHeight="1">
      <c r="A62" s="23" t="s">
        <v>729</v>
      </c>
      <c r="B62" s="23" t="s">
        <v>574</v>
      </c>
      <c r="C62" s="23" t="s">
        <v>730</v>
      </c>
      <c r="D62" s="23" t="s">
        <v>731</v>
      </c>
      <c r="E62" s="72">
        <v>45361.5171064815</v>
      </c>
      <c r="F62" s="23" t="s">
        <v>908</v>
      </c>
      <c r="G62" s="23" t="s">
        <v>909</v>
      </c>
      <c r="H62" s="23" t="s">
        <v>909</v>
      </c>
      <c r="I62" s="23" t="s">
        <v>909</v>
      </c>
      <c r="J62" s="23" t="s">
        <v>909</v>
      </c>
    </row>
    <row r="63" spans="1:10" ht="15.75" customHeight="1">
      <c r="A63" s="23" t="s">
        <v>939</v>
      </c>
      <c r="B63" s="23" t="s">
        <v>940</v>
      </c>
      <c r="C63" s="23" t="s">
        <v>941</v>
      </c>
      <c r="D63" s="23" t="s">
        <v>942</v>
      </c>
      <c r="E63" s="72">
        <v>45429.776909722197</v>
      </c>
      <c r="F63" s="23" t="s">
        <v>908</v>
      </c>
      <c r="G63" s="23" t="s">
        <v>909</v>
      </c>
      <c r="H63" s="23" t="s">
        <v>909</v>
      </c>
      <c r="I63" s="23" t="s">
        <v>909</v>
      </c>
      <c r="J63" s="23" t="s">
        <v>909</v>
      </c>
    </row>
    <row r="64" spans="1:10" ht="15.75" customHeight="1">
      <c r="A64" s="23" t="s">
        <v>233</v>
      </c>
      <c r="B64" s="23" t="s">
        <v>225</v>
      </c>
      <c r="C64" s="23" t="s">
        <v>234</v>
      </c>
      <c r="D64" s="23" t="s">
        <v>235</v>
      </c>
      <c r="E64" s="72">
        <v>45338.712233796301</v>
      </c>
      <c r="F64" s="23" t="s">
        <v>908</v>
      </c>
      <c r="G64" s="23" t="s">
        <v>909</v>
      </c>
      <c r="H64" s="23" t="s">
        <v>909</v>
      </c>
      <c r="I64" s="23" t="s">
        <v>909</v>
      </c>
      <c r="J64" s="23" t="s">
        <v>909</v>
      </c>
    </row>
    <row r="65" spans="1:10" ht="15.75" customHeight="1">
      <c r="A65" s="23" t="s">
        <v>943</v>
      </c>
      <c r="B65" s="23" t="s">
        <v>313</v>
      </c>
      <c r="C65" s="23" t="s">
        <v>944</v>
      </c>
      <c r="D65" s="23" t="s">
        <v>945</v>
      </c>
      <c r="E65" s="72">
        <v>45348.586238425902</v>
      </c>
      <c r="F65" s="23" t="s">
        <v>908</v>
      </c>
      <c r="G65" s="23" t="s">
        <v>909</v>
      </c>
      <c r="H65" s="23" t="s">
        <v>909</v>
      </c>
      <c r="I65" s="23" t="s">
        <v>909</v>
      </c>
      <c r="J65" s="23" t="s">
        <v>909</v>
      </c>
    </row>
    <row r="66" spans="1:10" ht="15.75" customHeight="1">
      <c r="A66" s="23" t="s">
        <v>277</v>
      </c>
      <c r="B66" s="23" t="s">
        <v>303</v>
      </c>
      <c r="C66" s="23" t="s">
        <v>278</v>
      </c>
      <c r="D66" s="23" t="s">
        <v>279</v>
      </c>
      <c r="E66" s="72">
        <v>45438.7971875</v>
      </c>
      <c r="F66" s="23" t="s">
        <v>908</v>
      </c>
      <c r="G66" s="23" t="s">
        <v>909</v>
      </c>
      <c r="H66" s="23" t="s">
        <v>909</v>
      </c>
      <c r="I66" s="23" t="s">
        <v>909</v>
      </c>
      <c r="J66" s="23" t="s">
        <v>909</v>
      </c>
    </row>
    <row r="67" spans="1:10" ht="15.75" customHeight="1">
      <c r="A67" s="23" t="s">
        <v>677</v>
      </c>
      <c r="B67" s="23" t="s">
        <v>391</v>
      </c>
      <c r="C67" s="23" t="s">
        <v>678</v>
      </c>
      <c r="D67" s="23" t="s">
        <v>679</v>
      </c>
      <c r="E67" s="72">
        <v>45434.807997685202</v>
      </c>
      <c r="F67" s="23" t="s">
        <v>908</v>
      </c>
      <c r="G67" s="23" t="s">
        <v>909</v>
      </c>
      <c r="H67" s="23" t="s">
        <v>909</v>
      </c>
      <c r="I67" s="23" t="s">
        <v>909</v>
      </c>
      <c r="J67" s="23" t="s">
        <v>909</v>
      </c>
    </row>
    <row r="68" spans="1:10" ht="15.75" customHeight="1">
      <c r="A68" s="23" t="s">
        <v>599</v>
      </c>
      <c r="B68" s="23" t="s">
        <v>371</v>
      </c>
      <c r="C68" s="23" t="s">
        <v>600</v>
      </c>
      <c r="D68" s="23" t="s">
        <v>601</v>
      </c>
      <c r="E68" s="72">
        <v>45434.338888888902</v>
      </c>
      <c r="F68" s="23" t="s">
        <v>908</v>
      </c>
      <c r="G68" s="23" t="s">
        <v>909</v>
      </c>
      <c r="H68" s="23" t="s">
        <v>909</v>
      </c>
      <c r="I68" s="23" t="s">
        <v>909</v>
      </c>
      <c r="J68" s="23" t="s">
        <v>909</v>
      </c>
    </row>
    <row r="69" spans="1:10" ht="15.75" customHeight="1">
      <c r="A69" s="23" t="s">
        <v>373</v>
      </c>
      <c r="B69" s="23" t="s">
        <v>587</v>
      </c>
      <c r="C69" s="23" t="s">
        <v>374</v>
      </c>
      <c r="D69" s="23" t="s">
        <v>375</v>
      </c>
      <c r="E69" s="72">
        <v>45423.9603935185</v>
      </c>
      <c r="F69" s="23" t="s">
        <v>908</v>
      </c>
      <c r="G69" s="23" t="s">
        <v>909</v>
      </c>
      <c r="H69" s="23" t="s">
        <v>909</v>
      </c>
      <c r="I69" s="23" t="s">
        <v>909</v>
      </c>
      <c r="J69" s="23" t="s">
        <v>909</v>
      </c>
    </row>
    <row r="70" spans="1:10" ht="15.75" customHeight="1">
      <c r="A70" s="23" t="s">
        <v>742</v>
      </c>
      <c r="B70" s="23" t="s">
        <v>946</v>
      </c>
      <c r="C70" s="23" t="s">
        <v>743</v>
      </c>
      <c r="D70" s="23" t="s">
        <v>744</v>
      </c>
      <c r="E70" s="72">
        <v>45211.8136689815</v>
      </c>
      <c r="F70" s="23" t="s">
        <v>947</v>
      </c>
      <c r="G70" s="23" t="s">
        <v>909</v>
      </c>
      <c r="H70" s="23" t="s">
        <v>909</v>
      </c>
      <c r="I70" s="23" t="s">
        <v>948</v>
      </c>
      <c r="J70" s="23" t="s">
        <v>909</v>
      </c>
    </row>
    <row r="71" spans="1:10" ht="15.75" customHeight="1">
      <c r="A71" s="23" t="s">
        <v>93</v>
      </c>
      <c r="B71" s="23" t="s">
        <v>246</v>
      </c>
      <c r="C71" s="23" t="s">
        <v>94</v>
      </c>
      <c r="D71" s="23" t="s">
        <v>95</v>
      </c>
      <c r="E71" s="72">
        <v>45414.782581018502</v>
      </c>
      <c r="F71" s="23" t="s">
        <v>908</v>
      </c>
      <c r="G71" s="23" t="s">
        <v>909</v>
      </c>
      <c r="H71" s="23" t="s">
        <v>909</v>
      </c>
      <c r="I71" s="23" t="s">
        <v>909</v>
      </c>
      <c r="J71" s="23" t="s">
        <v>909</v>
      </c>
    </row>
    <row r="72" spans="1:10" ht="15.75" customHeight="1">
      <c r="A72" s="23" t="s">
        <v>160</v>
      </c>
      <c r="B72" s="23" t="s">
        <v>949</v>
      </c>
      <c r="C72" s="23" t="s">
        <v>161</v>
      </c>
      <c r="D72" s="23" t="s">
        <v>162</v>
      </c>
      <c r="E72" s="72">
        <v>44753.2572685185</v>
      </c>
      <c r="F72" s="23" t="s">
        <v>950</v>
      </c>
      <c r="G72" s="23" t="s">
        <v>909</v>
      </c>
      <c r="H72" s="23" t="s">
        <v>909</v>
      </c>
      <c r="I72" s="23" t="s">
        <v>909</v>
      </c>
      <c r="J72" s="23" t="s">
        <v>951</v>
      </c>
    </row>
    <row r="73" spans="1:10" ht="15.75" customHeight="1">
      <c r="A73" s="23" t="s">
        <v>748</v>
      </c>
      <c r="B73" s="23" t="s">
        <v>638</v>
      </c>
      <c r="C73" s="23" t="s">
        <v>749</v>
      </c>
      <c r="D73" s="23" t="s">
        <v>750</v>
      </c>
      <c r="E73" s="72">
        <v>45389.410185185203</v>
      </c>
      <c r="F73" s="23" t="s">
        <v>908</v>
      </c>
      <c r="G73" s="23" t="s">
        <v>909</v>
      </c>
      <c r="H73" s="23" t="s">
        <v>909</v>
      </c>
      <c r="I73" s="23" t="s">
        <v>909</v>
      </c>
      <c r="J73" s="23" t="s">
        <v>909</v>
      </c>
    </row>
    <row r="74" spans="1:10" ht="15.75" customHeight="1">
      <c r="A74" s="23" t="s">
        <v>687</v>
      </c>
      <c r="B74" s="23" t="s">
        <v>236</v>
      </c>
      <c r="C74" s="23" t="s">
        <v>688</v>
      </c>
      <c r="D74" s="23" t="s">
        <v>689</v>
      </c>
      <c r="E74" s="72">
        <v>45381.352314814802</v>
      </c>
      <c r="F74" s="23" t="s">
        <v>908</v>
      </c>
      <c r="G74" s="23" t="s">
        <v>909</v>
      </c>
      <c r="H74" s="23" t="s">
        <v>909</v>
      </c>
      <c r="I74" s="23" t="s">
        <v>909</v>
      </c>
      <c r="J74" s="23" t="s">
        <v>909</v>
      </c>
    </row>
    <row r="75" spans="1:10" ht="15.75" customHeight="1">
      <c r="A75" s="23" t="s">
        <v>515</v>
      </c>
      <c r="B75" s="23" t="s">
        <v>450</v>
      </c>
      <c r="C75" s="23" t="s">
        <v>516</v>
      </c>
      <c r="D75" s="23" t="s">
        <v>517</v>
      </c>
      <c r="E75" s="72">
        <v>45434.776041666701</v>
      </c>
      <c r="F75" s="23" t="s">
        <v>908</v>
      </c>
      <c r="G75" s="23" t="s">
        <v>909</v>
      </c>
      <c r="H75" s="23" t="s">
        <v>909</v>
      </c>
      <c r="I75" s="23" t="s">
        <v>909</v>
      </c>
      <c r="J75" s="23" t="s">
        <v>909</v>
      </c>
    </row>
    <row r="76" spans="1:10" ht="15.75" customHeight="1">
      <c r="A76" s="23" t="s">
        <v>393</v>
      </c>
      <c r="B76" s="23" t="s">
        <v>396</v>
      </c>
      <c r="C76" s="23" t="s">
        <v>394</v>
      </c>
      <c r="D76" s="23" t="s">
        <v>395</v>
      </c>
      <c r="E76" s="72">
        <v>45403.538715277798</v>
      </c>
      <c r="F76" s="23" t="s">
        <v>908</v>
      </c>
      <c r="G76" s="23" t="s">
        <v>909</v>
      </c>
      <c r="H76" s="23" t="s">
        <v>909</v>
      </c>
      <c r="I76" s="23" t="s">
        <v>909</v>
      </c>
      <c r="J76" s="23" t="s">
        <v>909</v>
      </c>
    </row>
    <row r="77" spans="1:10" ht="15.75" customHeight="1">
      <c r="A77" s="23" t="s">
        <v>952</v>
      </c>
      <c r="B77" s="23" t="s">
        <v>81</v>
      </c>
      <c r="C77" s="23" t="s">
        <v>953</v>
      </c>
      <c r="D77" s="23" t="s">
        <v>954</v>
      </c>
      <c r="E77" s="72">
        <v>45339.282997685201</v>
      </c>
      <c r="F77" s="23" t="s">
        <v>908</v>
      </c>
      <c r="G77" s="23" t="s">
        <v>909</v>
      </c>
      <c r="H77" s="23" t="s">
        <v>909</v>
      </c>
      <c r="I77" s="23" t="s">
        <v>909</v>
      </c>
      <c r="J77" s="23" t="s">
        <v>909</v>
      </c>
    </row>
    <row r="78" spans="1:10" ht="15.75" customHeight="1">
      <c r="A78" s="23" t="s">
        <v>468</v>
      </c>
      <c r="B78" s="23" t="s">
        <v>416</v>
      </c>
      <c r="C78" s="23" t="s">
        <v>469</v>
      </c>
      <c r="D78" s="23" t="s">
        <v>470</v>
      </c>
      <c r="E78" s="72">
        <v>45416.570590277799</v>
      </c>
      <c r="F78" s="23" t="s">
        <v>908</v>
      </c>
      <c r="G78" s="23" t="s">
        <v>909</v>
      </c>
      <c r="H78" s="23" t="s">
        <v>909</v>
      </c>
      <c r="I78" s="23" t="s">
        <v>909</v>
      </c>
      <c r="J78" s="23" t="s">
        <v>909</v>
      </c>
    </row>
    <row r="79" spans="1:10" ht="15.75" customHeight="1">
      <c r="A79" s="23" t="s">
        <v>553</v>
      </c>
      <c r="B79" s="23" t="s">
        <v>955</v>
      </c>
      <c r="C79" s="23" t="s">
        <v>554</v>
      </c>
      <c r="D79" s="23" t="s">
        <v>555</v>
      </c>
      <c r="E79" s="72">
        <v>44861.661354166703</v>
      </c>
      <c r="F79" s="23" t="s">
        <v>908</v>
      </c>
      <c r="G79" s="23" t="s">
        <v>909</v>
      </c>
      <c r="H79" s="23" t="s">
        <v>909</v>
      </c>
      <c r="I79" s="23" t="s">
        <v>909</v>
      </c>
      <c r="J79" s="23" t="s">
        <v>909</v>
      </c>
    </row>
    <row r="80" spans="1:10" ht="15.75" customHeight="1">
      <c r="A80" s="23" t="s">
        <v>358</v>
      </c>
      <c r="B80" s="23" t="s">
        <v>163</v>
      </c>
      <c r="C80" s="23" t="s">
        <v>359</v>
      </c>
      <c r="D80" s="23" t="s">
        <v>360</v>
      </c>
      <c r="E80" s="72">
        <v>45432.571493055599</v>
      </c>
      <c r="F80" s="23" t="s">
        <v>908</v>
      </c>
      <c r="G80" s="23" t="s">
        <v>909</v>
      </c>
      <c r="H80" s="23" t="s">
        <v>909</v>
      </c>
      <c r="I80" s="23" t="s">
        <v>909</v>
      </c>
      <c r="J80" s="23" t="s">
        <v>909</v>
      </c>
    </row>
    <row r="81" spans="1:10" ht="15.75" customHeight="1">
      <c r="A81" s="23" t="s">
        <v>398</v>
      </c>
      <c r="B81" s="23" t="s">
        <v>455</v>
      </c>
      <c r="C81" s="23" t="s">
        <v>399</v>
      </c>
      <c r="D81" s="23" t="s">
        <v>400</v>
      </c>
      <c r="E81" s="72">
        <v>45417.5624537037</v>
      </c>
      <c r="F81" s="23" t="s">
        <v>908</v>
      </c>
      <c r="G81" s="23" t="s">
        <v>909</v>
      </c>
      <c r="H81" s="23" t="s">
        <v>909</v>
      </c>
      <c r="I81" s="23" t="s">
        <v>909</v>
      </c>
      <c r="J81" s="23" t="s">
        <v>909</v>
      </c>
    </row>
    <row r="82" spans="1:10" ht="15.75" customHeight="1">
      <c r="A82" s="23" t="s">
        <v>315</v>
      </c>
      <c r="B82" s="23" t="s">
        <v>629</v>
      </c>
      <c r="C82" s="23" t="s">
        <v>316</v>
      </c>
      <c r="D82" s="23" t="s">
        <v>317</v>
      </c>
      <c r="E82" s="72">
        <v>45390.500486111101</v>
      </c>
      <c r="F82" s="23" t="s">
        <v>908</v>
      </c>
      <c r="G82" s="23" t="s">
        <v>909</v>
      </c>
      <c r="H82" s="23" t="s">
        <v>909</v>
      </c>
      <c r="I82" s="23" t="s">
        <v>909</v>
      </c>
      <c r="J82" s="23" t="s">
        <v>909</v>
      </c>
    </row>
    <row r="83" spans="1:10" ht="15.75" customHeight="1">
      <c r="A83" s="23" t="s">
        <v>60</v>
      </c>
      <c r="B83" s="23" t="s">
        <v>251</v>
      </c>
      <c r="C83" s="23" t="s">
        <v>61</v>
      </c>
      <c r="D83" s="23" t="s">
        <v>62</v>
      </c>
      <c r="E83" s="72">
        <v>45440.849120370403</v>
      </c>
      <c r="F83" s="23" t="s">
        <v>908</v>
      </c>
      <c r="G83" s="23" t="s">
        <v>909</v>
      </c>
      <c r="H83" s="23" t="s">
        <v>909</v>
      </c>
      <c r="I83" s="23" t="s">
        <v>909</v>
      </c>
      <c r="J83" s="23" t="s">
        <v>909</v>
      </c>
    </row>
    <row r="84" spans="1:10" ht="15.75" customHeight="1">
      <c r="A84" s="23" t="s">
        <v>196</v>
      </c>
      <c r="B84" s="23" t="s">
        <v>956</v>
      </c>
      <c r="C84" s="23" t="s">
        <v>197</v>
      </c>
      <c r="D84" s="23" t="s">
        <v>198</v>
      </c>
      <c r="E84" s="72">
        <v>45060.845567129603</v>
      </c>
      <c r="F84" s="23" t="s">
        <v>908</v>
      </c>
      <c r="G84" s="23" t="s">
        <v>909</v>
      </c>
      <c r="H84" s="23" t="s">
        <v>909</v>
      </c>
      <c r="I84" s="23" t="s">
        <v>909</v>
      </c>
      <c r="J84" s="23" t="s">
        <v>909</v>
      </c>
    </row>
    <row r="85" spans="1:10" ht="15.75" customHeight="1">
      <c r="A85" s="23" t="s">
        <v>626</v>
      </c>
      <c r="B85" s="23" t="s">
        <v>957</v>
      </c>
      <c r="C85" s="23" t="s">
        <v>627</v>
      </c>
      <c r="D85" s="23" t="s">
        <v>628</v>
      </c>
      <c r="E85" s="72">
        <v>45433.503981481503</v>
      </c>
      <c r="F85" s="23" t="s">
        <v>908</v>
      </c>
      <c r="G85" s="23" t="s">
        <v>909</v>
      </c>
      <c r="H85" s="23" t="s">
        <v>909</v>
      </c>
      <c r="I85" s="23" t="s">
        <v>909</v>
      </c>
      <c r="J85" s="23" t="s">
        <v>909</v>
      </c>
    </row>
    <row r="86" spans="1:10" ht="15.75" customHeight="1">
      <c r="A86" s="23" t="s">
        <v>352</v>
      </c>
      <c r="B86" s="23" t="s">
        <v>958</v>
      </c>
      <c r="C86" s="23" t="s">
        <v>353</v>
      </c>
      <c r="D86" s="23" t="s">
        <v>354</v>
      </c>
      <c r="E86" s="72">
        <v>45271.427152777796</v>
      </c>
      <c r="F86" s="23" t="s">
        <v>959</v>
      </c>
      <c r="G86" s="23" t="s">
        <v>909</v>
      </c>
      <c r="H86" s="23" t="s">
        <v>909</v>
      </c>
      <c r="I86" s="23" t="s">
        <v>960</v>
      </c>
      <c r="J86" s="23" t="s">
        <v>829</v>
      </c>
    </row>
    <row r="87" spans="1:10" ht="15.75" customHeight="1">
      <c r="A87" s="23" t="s">
        <v>473</v>
      </c>
      <c r="B87" s="23" t="s">
        <v>86</v>
      </c>
      <c r="C87" s="23" t="s">
        <v>474</v>
      </c>
      <c r="D87" s="23" t="s">
        <v>475</v>
      </c>
      <c r="E87" s="72">
        <v>45427.475555555597</v>
      </c>
      <c r="F87" s="23" t="s">
        <v>908</v>
      </c>
      <c r="G87" s="23" t="s">
        <v>909</v>
      </c>
      <c r="H87" s="23" t="s">
        <v>909</v>
      </c>
      <c r="I87" s="23" t="s">
        <v>909</v>
      </c>
      <c r="J87" s="23" t="s">
        <v>909</v>
      </c>
    </row>
    <row r="88" spans="1:10" ht="15.75" customHeight="1">
      <c r="A88" s="23" t="s">
        <v>610</v>
      </c>
      <c r="B88" s="23" t="s">
        <v>256</v>
      </c>
      <c r="C88" s="23" t="s">
        <v>611</v>
      </c>
      <c r="D88" s="23" t="s">
        <v>612</v>
      </c>
      <c r="E88" s="72">
        <v>45441.383553240703</v>
      </c>
      <c r="F88" s="23" t="s">
        <v>908</v>
      </c>
      <c r="G88" s="23" t="s">
        <v>909</v>
      </c>
      <c r="H88" s="23" t="s">
        <v>909</v>
      </c>
      <c r="I88" s="23" t="s">
        <v>909</v>
      </c>
      <c r="J88" s="23" t="s">
        <v>909</v>
      </c>
    </row>
    <row r="89" spans="1:10" ht="15.75" customHeight="1">
      <c r="A89" s="23" t="s">
        <v>403</v>
      </c>
      <c r="B89" s="23" t="s">
        <v>732</v>
      </c>
      <c r="C89" s="23" t="s">
        <v>404</v>
      </c>
      <c r="D89" s="23" t="s">
        <v>405</v>
      </c>
      <c r="E89" s="72">
        <v>45433.482511574097</v>
      </c>
      <c r="F89" s="23" t="s">
        <v>908</v>
      </c>
      <c r="G89" s="23" t="s">
        <v>909</v>
      </c>
      <c r="H89" s="23" t="s">
        <v>909</v>
      </c>
      <c r="I89" s="23" t="s">
        <v>909</v>
      </c>
      <c r="J89" s="23" t="s">
        <v>909</v>
      </c>
    </row>
    <row r="90" spans="1:10" ht="15.75" customHeight="1">
      <c r="A90" s="23" t="s">
        <v>635</v>
      </c>
      <c r="B90" s="23" t="s">
        <v>497</v>
      </c>
      <c r="C90" s="23" t="s">
        <v>636</v>
      </c>
      <c r="D90" s="23" t="s">
        <v>637</v>
      </c>
      <c r="E90" s="72">
        <v>45420.294837963003</v>
      </c>
      <c r="F90" s="23" t="s">
        <v>908</v>
      </c>
      <c r="G90" s="23" t="s">
        <v>909</v>
      </c>
      <c r="H90" s="23" t="s">
        <v>909</v>
      </c>
      <c r="I90" s="23" t="s">
        <v>909</v>
      </c>
      <c r="J90" s="23" t="s">
        <v>909</v>
      </c>
    </row>
    <row r="91" spans="1:10" ht="15.75" customHeight="1">
      <c r="A91" s="23" t="s">
        <v>606</v>
      </c>
      <c r="B91" s="23" t="s">
        <v>595</v>
      </c>
      <c r="C91" s="23" t="s">
        <v>607</v>
      </c>
      <c r="D91" s="23" t="s">
        <v>608</v>
      </c>
      <c r="E91" s="72">
        <v>45388.485925925903</v>
      </c>
      <c r="F91" s="23" t="s">
        <v>908</v>
      </c>
      <c r="G91" s="23" t="s">
        <v>909</v>
      </c>
      <c r="H91" s="23" t="s">
        <v>909</v>
      </c>
      <c r="I91" s="23" t="s">
        <v>909</v>
      </c>
      <c r="J91" s="23" t="s">
        <v>909</v>
      </c>
    </row>
    <row r="92" spans="1:10" ht="15.75" customHeight="1">
      <c r="A92" s="23" t="s">
        <v>432</v>
      </c>
      <c r="B92" s="23" t="s">
        <v>602</v>
      </c>
      <c r="C92" s="23" t="s">
        <v>433</v>
      </c>
      <c r="D92" s="23" t="s">
        <v>434</v>
      </c>
      <c r="E92" s="72">
        <v>45438.558969907397</v>
      </c>
      <c r="F92" s="23" t="s">
        <v>908</v>
      </c>
      <c r="G92" s="23" t="s">
        <v>909</v>
      </c>
      <c r="H92" s="23" t="s">
        <v>909</v>
      </c>
      <c r="I92" s="23" t="s">
        <v>909</v>
      </c>
      <c r="J92" s="23" t="s">
        <v>909</v>
      </c>
    </row>
    <row r="93" spans="1:10" ht="15.75" customHeight="1">
      <c r="A93" s="23" t="s">
        <v>529</v>
      </c>
      <c r="B93" s="23" t="s">
        <v>355</v>
      </c>
      <c r="C93" s="23" t="s">
        <v>530</v>
      </c>
      <c r="D93" s="23" t="s">
        <v>531</v>
      </c>
      <c r="E93" s="72">
        <v>45412.582812499997</v>
      </c>
      <c r="F93" s="23" t="s">
        <v>908</v>
      </c>
      <c r="G93" s="23" t="s">
        <v>909</v>
      </c>
      <c r="H93" s="23" t="s">
        <v>909</v>
      </c>
      <c r="I93" s="23" t="s">
        <v>909</v>
      </c>
      <c r="J93" s="23" t="s">
        <v>909</v>
      </c>
    </row>
    <row r="94" spans="1:10" ht="15.75" customHeight="1">
      <c r="A94" s="23" t="s">
        <v>125</v>
      </c>
      <c r="B94" s="23" t="s">
        <v>961</v>
      </c>
      <c r="C94" s="23" t="s">
        <v>126</v>
      </c>
      <c r="D94" s="23" t="s">
        <v>127</v>
      </c>
      <c r="E94" s="72">
        <v>44392.8047800926</v>
      </c>
      <c r="F94" s="23" t="s">
        <v>962</v>
      </c>
      <c r="G94" s="23" t="s">
        <v>909</v>
      </c>
      <c r="H94" s="23" t="s">
        <v>909</v>
      </c>
      <c r="I94" s="23" t="s">
        <v>909</v>
      </c>
      <c r="J94" s="23" t="s">
        <v>829</v>
      </c>
    </row>
    <row r="95" spans="1:10" ht="15.75" customHeight="1">
      <c r="A95" s="23" t="s">
        <v>49</v>
      </c>
      <c r="B95" s="23" t="s">
        <v>963</v>
      </c>
      <c r="C95" s="23" t="s">
        <v>50</v>
      </c>
      <c r="D95" s="23" t="s">
        <v>51</v>
      </c>
      <c r="E95" s="72">
        <v>44949.566157407397</v>
      </c>
      <c r="F95" s="23" t="s">
        <v>964</v>
      </c>
      <c r="G95" s="23" t="s">
        <v>909</v>
      </c>
      <c r="H95" s="23" t="s">
        <v>909</v>
      </c>
      <c r="I95" s="23" t="s">
        <v>935</v>
      </c>
      <c r="J95" s="23" t="s">
        <v>909</v>
      </c>
    </row>
    <row r="96" spans="1:10" ht="15.75" customHeight="1">
      <c r="A96" s="23" t="s">
        <v>659</v>
      </c>
      <c r="B96" s="23" t="s">
        <v>91</v>
      </c>
      <c r="C96" s="23" t="s">
        <v>660</v>
      </c>
      <c r="D96" s="23" t="s">
        <v>661</v>
      </c>
      <c r="E96" s="72">
        <v>45418.753240740698</v>
      </c>
      <c r="F96" s="23" t="s">
        <v>908</v>
      </c>
      <c r="G96" s="23" t="s">
        <v>909</v>
      </c>
      <c r="H96" s="23" t="s">
        <v>909</v>
      </c>
      <c r="I96" s="23" t="s">
        <v>909</v>
      </c>
      <c r="J96" s="23" t="s">
        <v>909</v>
      </c>
    </row>
    <row r="97" spans="1:10" ht="15.75" customHeight="1">
      <c r="A97" s="23" t="s">
        <v>965</v>
      </c>
      <c r="B97" s="23" t="s">
        <v>643</v>
      </c>
      <c r="C97" s="23" t="s">
        <v>966</v>
      </c>
      <c r="D97" s="23" t="s">
        <v>967</v>
      </c>
      <c r="E97" s="72">
        <v>45398.374027777798</v>
      </c>
      <c r="F97" s="23" t="s">
        <v>908</v>
      </c>
      <c r="G97" s="23" t="s">
        <v>909</v>
      </c>
      <c r="H97" s="23" t="s">
        <v>909</v>
      </c>
      <c r="I97" s="23" t="s">
        <v>909</v>
      </c>
      <c r="J97" s="23" t="s">
        <v>909</v>
      </c>
    </row>
    <row r="98" spans="1:10" ht="15.75" customHeight="1">
      <c r="A98" s="23" t="s">
        <v>114</v>
      </c>
      <c r="B98" s="23" t="s">
        <v>968</v>
      </c>
      <c r="C98" s="23" t="s">
        <v>115</v>
      </c>
      <c r="D98" s="23" t="s">
        <v>116</v>
      </c>
      <c r="E98" s="72">
        <v>44742.645208333299</v>
      </c>
      <c r="F98" s="23" t="s">
        <v>908</v>
      </c>
      <c r="G98" s="23" t="s">
        <v>909</v>
      </c>
      <c r="H98" s="23" t="s">
        <v>909</v>
      </c>
      <c r="I98" s="23" t="s">
        <v>909</v>
      </c>
      <c r="J98" s="23" t="s">
        <v>909</v>
      </c>
    </row>
    <row r="99" spans="1:10" ht="15.75" customHeight="1">
      <c r="A99" s="23" t="s">
        <v>621</v>
      </c>
      <c r="B99" s="23" t="s">
        <v>745</v>
      </c>
      <c r="C99" s="23" t="s">
        <v>622</v>
      </c>
      <c r="D99" s="23" t="s">
        <v>623</v>
      </c>
      <c r="E99" s="72">
        <v>45431.649618055599</v>
      </c>
      <c r="F99" s="23" t="s">
        <v>908</v>
      </c>
      <c r="G99" s="23" t="s">
        <v>909</v>
      </c>
      <c r="H99" s="23" t="s">
        <v>909</v>
      </c>
      <c r="I99" s="23" t="s">
        <v>909</v>
      </c>
      <c r="J99" s="23" t="s">
        <v>909</v>
      </c>
    </row>
    <row r="100" spans="1:10" ht="15.75" customHeight="1">
      <c r="A100" s="23" t="s">
        <v>212</v>
      </c>
      <c r="B100" s="23" t="s">
        <v>173</v>
      </c>
      <c r="C100" s="23" t="s">
        <v>213</v>
      </c>
      <c r="D100" s="23" t="s">
        <v>214</v>
      </c>
      <c r="E100" s="72">
        <v>45390.492337962998</v>
      </c>
      <c r="F100" s="23" t="s">
        <v>908</v>
      </c>
      <c r="G100" s="23" t="s">
        <v>909</v>
      </c>
      <c r="H100" s="23" t="s">
        <v>909</v>
      </c>
      <c r="I100" s="23" t="s">
        <v>909</v>
      </c>
      <c r="J100" s="23" t="s">
        <v>909</v>
      </c>
    </row>
    <row r="101" spans="1:10" ht="15.75" customHeight="1">
      <c r="A101" s="23" t="s">
        <v>579</v>
      </c>
      <c r="B101" s="23" t="s">
        <v>582</v>
      </c>
      <c r="C101" s="23" t="s">
        <v>580</v>
      </c>
      <c r="D101" s="23" t="s">
        <v>581</v>
      </c>
      <c r="E101" s="72">
        <v>45426.608078703699</v>
      </c>
      <c r="F101" s="23" t="s">
        <v>908</v>
      </c>
      <c r="G101" s="23" t="s">
        <v>909</v>
      </c>
      <c r="H101" s="23" t="s">
        <v>909</v>
      </c>
      <c r="I101" s="23" t="s">
        <v>909</v>
      </c>
      <c r="J101" s="23" t="s">
        <v>909</v>
      </c>
    </row>
    <row r="102" spans="1:10" ht="15.75" customHeight="1">
      <c r="A102" s="23" t="s">
        <v>109</v>
      </c>
      <c r="B102" s="23" t="s">
        <v>648</v>
      </c>
      <c r="C102" s="23" t="s">
        <v>110</v>
      </c>
      <c r="D102" s="23" t="s">
        <v>111</v>
      </c>
      <c r="E102" s="72">
        <v>45354.478310185201</v>
      </c>
      <c r="F102" s="23" t="s">
        <v>908</v>
      </c>
      <c r="G102" s="23" t="s">
        <v>909</v>
      </c>
      <c r="H102" s="23" t="s">
        <v>909</v>
      </c>
      <c r="I102" s="23" t="s">
        <v>909</v>
      </c>
      <c r="J102" s="23" t="s">
        <v>909</v>
      </c>
    </row>
    <row r="103" spans="1:10" ht="15.75" customHeight="1">
      <c r="A103" s="23" t="s">
        <v>283</v>
      </c>
      <c r="B103" s="23" t="s">
        <v>471</v>
      </c>
      <c r="C103" s="23" t="s">
        <v>284</v>
      </c>
      <c r="D103" s="23" t="s">
        <v>285</v>
      </c>
      <c r="E103" s="72">
        <v>45389.906481481499</v>
      </c>
      <c r="F103" s="23" t="s">
        <v>908</v>
      </c>
      <c r="G103" s="23" t="s">
        <v>909</v>
      </c>
      <c r="H103" s="23" t="s">
        <v>909</v>
      </c>
      <c r="I103" s="23" t="s">
        <v>909</v>
      </c>
      <c r="J103" s="23" t="s">
        <v>909</v>
      </c>
    </row>
    <row r="104" spans="1:10" ht="15.75" customHeight="1">
      <c r="A104" s="23" t="s">
        <v>615</v>
      </c>
      <c r="B104" s="23" t="s">
        <v>291</v>
      </c>
      <c r="C104" s="23" t="s">
        <v>616</v>
      </c>
      <c r="D104" s="23" t="s">
        <v>617</v>
      </c>
      <c r="E104" s="72">
        <v>45431.668634259302</v>
      </c>
      <c r="F104" s="23" t="s">
        <v>908</v>
      </c>
      <c r="G104" s="23" t="s">
        <v>909</v>
      </c>
      <c r="H104" s="23" t="s">
        <v>909</v>
      </c>
      <c r="I104" s="23" t="s">
        <v>909</v>
      </c>
      <c r="J104" s="23" t="s">
        <v>909</v>
      </c>
    </row>
    <row r="105" spans="1:10" ht="15.75" customHeight="1">
      <c r="A105" s="23" t="s">
        <v>273</v>
      </c>
      <c r="B105" s="23" t="s">
        <v>96</v>
      </c>
      <c r="C105" s="23" t="s">
        <v>274</v>
      </c>
      <c r="D105" s="23" t="s">
        <v>275</v>
      </c>
      <c r="E105" s="72">
        <v>45408.898680555598</v>
      </c>
      <c r="F105" s="23" t="s">
        <v>908</v>
      </c>
      <c r="G105" s="23" t="s">
        <v>909</v>
      </c>
      <c r="H105" s="23" t="s">
        <v>909</v>
      </c>
      <c r="I105" s="23" t="s">
        <v>909</v>
      </c>
      <c r="J105" s="23" t="s">
        <v>909</v>
      </c>
    </row>
    <row r="106" spans="1:10" ht="15.75" customHeight="1">
      <c r="A106" s="23" t="s">
        <v>310</v>
      </c>
      <c r="B106" s="23" t="s">
        <v>969</v>
      </c>
      <c r="C106" s="23" t="s">
        <v>311</v>
      </c>
      <c r="D106" s="23" t="s">
        <v>312</v>
      </c>
      <c r="E106" s="72">
        <v>45466.454641203702</v>
      </c>
      <c r="F106" s="23" t="s">
        <v>906</v>
      </c>
      <c r="G106" s="23" t="s">
        <v>829</v>
      </c>
      <c r="H106" s="23" t="s">
        <v>829</v>
      </c>
      <c r="I106" s="23" t="s">
        <v>829</v>
      </c>
      <c r="J106" s="23" t="s">
        <v>829</v>
      </c>
    </row>
    <row r="107" spans="1:10" ht="15.75" customHeight="1">
      <c r="A107" s="23" t="s">
        <v>970</v>
      </c>
      <c r="B107" s="23" t="s">
        <v>502</v>
      </c>
      <c r="C107" s="23" t="s">
        <v>971</v>
      </c>
      <c r="D107" s="23" t="s">
        <v>972</v>
      </c>
      <c r="E107" s="72">
        <v>45418.733622685198</v>
      </c>
      <c r="F107" s="23" t="s">
        <v>908</v>
      </c>
      <c r="G107" s="23" t="s">
        <v>909</v>
      </c>
      <c r="H107" s="23" t="s">
        <v>909</v>
      </c>
      <c r="I107" s="23" t="s">
        <v>909</v>
      </c>
      <c r="J107" s="23" t="s">
        <v>909</v>
      </c>
    </row>
    <row r="108" spans="1:10" ht="15.75" customHeight="1">
      <c r="A108" s="23" t="s">
        <v>973</v>
      </c>
      <c r="B108" s="23" t="s">
        <v>974</v>
      </c>
      <c r="C108" s="23" t="s">
        <v>975</v>
      </c>
      <c r="D108" s="23" t="s">
        <v>976</v>
      </c>
      <c r="E108" s="72">
        <v>44067.638472222199</v>
      </c>
      <c r="F108" s="23" t="s">
        <v>906</v>
      </c>
      <c r="G108" s="23" t="s">
        <v>829</v>
      </c>
      <c r="H108" s="23" t="s">
        <v>829</v>
      </c>
      <c r="I108" s="23" t="s">
        <v>829</v>
      </c>
      <c r="J108" s="23" t="s">
        <v>829</v>
      </c>
    </row>
    <row r="109" spans="1:10" ht="15.75" customHeight="1">
      <c r="A109" s="23" t="s">
        <v>977</v>
      </c>
      <c r="B109" s="23" t="s">
        <v>101</v>
      </c>
      <c r="C109" s="23" t="s">
        <v>978</v>
      </c>
      <c r="D109" s="23" t="s">
        <v>979</v>
      </c>
      <c r="E109" s="72">
        <v>45432.710509259297</v>
      </c>
      <c r="F109" s="23" t="s">
        <v>908</v>
      </c>
      <c r="G109" s="23" t="s">
        <v>909</v>
      </c>
      <c r="H109" s="23" t="s">
        <v>909</v>
      </c>
      <c r="I109" s="23" t="s">
        <v>909</v>
      </c>
      <c r="J109" s="23" t="s">
        <v>909</v>
      </c>
    </row>
    <row r="110" spans="1:10" ht="15.75" customHeight="1">
      <c r="A110" s="23" t="s">
        <v>691</v>
      </c>
      <c r="B110" s="23" t="s">
        <v>476</v>
      </c>
      <c r="C110" s="23" t="s">
        <v>692</v>
      </c>
      <c r="D110" s="23" t="s">
        <v>693</v>
      </c>
      <c r="E110" s="72">
        <v>45432.860694444498</v>
      </c>
      <c r="F110" s="23" t="s">
        <v>908</v>
      </c>
      <c r="G110" s="23" t="s">
        <v>909</v>
      </c>
      <c r="H110" s="23" t="s">
        <v>909</v>
      </c>
      <c r="I110" s="23" t="s">
        <v>909</v>
      </c>
      <c r="J110" s="23" t="s">
        <v>909</v>
      </c>
    </row>
    <row r="111" spans="1:10" ht="15.75" customHeight="1">
      <c r="A111" s="23" t="s">
        <v>980</v>
      </c>
      <c r="B111" s="23" t="s">
        <v>406</v>
      </c>
      <c r="C111" s="23" t="s">
        <v>981</v>
      </c>
      <c r="D111" s="23" t="s">
        <v>982</v>
      </c>
      <c r="E111" s="72">
        <v>45441.769768518498</v>
      </c>
      <c r="F111" s="23" t="s">
        <v>906</v>
      </c>
      <c r="G111" s="23" t="s">
        <v>829</v>
      </c>
      <c r="H111" s="23" t="s">
        <v>829</v>
      </c>
      <c r="I111" s="23" t="s">
        <v>829</v>
      </c>
      <c r="J111" s="23" t="s">
        <v>829</v>
      </c>
    </row>
    <row r="112" spans="1:10" ht="15.75" customHeight="1">
      <c r="A112" s="23" t="s">
        <v>423</v>
      </c>
      <c r="B112" s="23" t="s">
        <v>426</v>
      </c>
      <c r="C112" s="23" t="s">
        <v>424</v>
      </c>
      <c r="D112" s="23" t="s">
        <v>425</v>
      </c>
      <c r="E112" s="72">
        <v>45396.497395833299</v>
      </c>
      <c r="F112" s="23" t="s">
        <v>908</v>
      </c>
      <c r="G112" s="23" t="s">
        <v>909</v>
      </c>
      <c r="H112" s="23" t="s">
        <v>909</v>
      </c>
      <c r="I112" s="23" t="s">
        <v>909</v>
      </c>
      <c r="J112" s="23" t="s">
        <v>909</v>
      </c>
    </row>
    <row r="113" spans="1:10" ht="15.75" customHeight="1">
      <c r="A113" s="23" t="s">
        <v>65</v>
      </c>
      <c r="B113" s="23" t="s">
        <v>983</v>
      </c>
      <c r="C113" s="23" t="s">
        <v>66</v>
      </c>
      <c r="D113" s="23" t="s">
        <v>67</v>
      </c>
      <c r="E113" s="72">
        <v>44394.345810185201</v>
      </c>
      <c r="F113" s="23" t="s">
        <v>909</v>
      </c>
      <c r="G113" s="23" t="s">
        <v>829</v>
      </c>
      <c r="H113" s="23" t="s">
        <v>909</v>
      </c>
      <c r="I113" s="23" t="s">
        <v>829</v>
      </c>
      <c r="J113" s="23" t="s">
        <v>829</v>
      </c>
    </row>
    <row r="114" spans="1:10" ht="15.75" customHeight="1">
      <c r="A114" s="23" t="s">
        <v>41</v>
      </c>
      <c r="B114" s="23" t="s">
        <v>984</v>
      </c>
      <c r="C114" s="23" t="s">
        <v>42</v>
      </c>
      <c r="D114" s="23" t="s">
        <v>43</v>
      </c>
      <c r="E114" s="72">
        <v>45391.804629629602</v>
      </c>
      <c r="F114" s="23" t="s">
        <v>908</v>
      </c>
      <c r="G114" s="23" t="s">
        <v>909</v>
      </c>
      <c r="H114" s="23" t="s">
        <v>909</v>
      </c>
      <c r="I114" s="23" t="s">
        <v>909</v>
      </c>
      <c r="J114" s="23" t="s">
        <v>909</v>
      </c>
    </row>
    <row r="115" spans="1:10" ht="15.75" customHeight="1">
      <c r="A115" s="23" t="s">
        <v>645</v>
      </c>
      <c r="B115" s="23" t="s">
        <v>411</v>
      </c>
      <c r="C115" s="23" t="s">
        <v>646</v>
      </c>
      <c r="D115" s="23" t="s">
        <v>647</v>
      </c>
      <c r="E115" s="72">
        <v>45432.7707407407</v>
      </c>
      <c r="F115" s="23" t="s">
        <v>908</v>
      </c>
      <c r="G115" s="23" t="s">
        <v>909</v>
      </c>
      <c r="H115" s="23" t="s">
        <v>909</v>
      </c>
      <c r="I115" s="23" t="s">
        <v>909</v>
      </c>
      <c r="J115" s="23" t="s">
        <v>909</v>
      </c>
    </row>
    <row r="116" spans="1:10" ht="15.75" customHeight="1">
      <c r="A116" s="23" t="s">
        <v>985</v>
      </c>
      <c r="B116" s="23" t="s">
        <v>613</v>
      </c>
      <c r="C116" s="23" t="s">
        <v>986</v>
      </c>
      <c r="D116" s="23" t="s">
        <v>987</v>
      </c>
      <c r="E116" s="72">
        <v>45429.944317129601</v>
      </c>
      <c r="F116" s="23" t="s">
        <v>988</v>
      </c>
      <c r="G116" s="23" t="s">
        <v>909</v>
      </c>
      <c r="H116" s="23" t="s">
        <v>909</v>
      </c>
      <c r="I116" s="23" t="s">
        <v>989</v>
      </c>
      <c r="J116" s="23" t="s">
        <v>990</v>
      </c>
    </row>
    <row r="117" spans="1:10" ht="15.75" customHeight="1">
      <c r="A117" s="23" t="s">
        <v>288</v>
      </c>
      <c r="B117" s="23" t="s">
        <v>112</v>
      </c>
      <c r="C117" s="23" t="s">
        <v>289</v>
      </c>
      <c r="D117" s="23" t="s">
        <v>290</v>
      </c>
      <c r="E117" s="72">
        <v>45389.965949074103</v>
      </c>
      <c r="F117" s="23" t="s">
        <v>908</v>
      </c>
      <c r="G117" s="23" t="s">
        <v>909</v>
      </c>
      <c r="H117" s="23" t="s">
        <v>909</v>
      </c>
      <c r="I117" s="23" t="s">
        <v>909</v>
      </c>
      <c r="J117" s="23" t="s">
        <v>909</v>
      </c>
    </row>
    <row r="118" spans="1:10" ht="15.75" customHeight="1">
      <c r="A118" s="23" t="s">
        <v>991</v>
      </c>
      <c r="B118" s="23" t="s">
        <v>662</v>
      </c>
      <c r="C118" s="23" t="s">
        <v>992</v>
      </c>
      <c r="D118" s="23" t="s">
        <v>993</v>
      </c>
      <c r="E118" s="72">
        <v>45366.381215277797</v>
      </c>
      <c r="F118" s="23" t="s">
        <v>908</v>
      </c>
      <c r="G118" s="23" t="s">
        <v>909</v>
      </c>
      <c r="H118" s="23" t="s">
        <v>909</v>
      </c>
      <c r="I118" s="23" t="s">
        <v>909</v>
      </c>
      <c r="J118" s="23" t="s">
        <v>909</v>
      </c>
    </row>
    <row r="119" spans="1:10" ht="15.75" customHeight="1">
      <c r="A119" s="23" t="s">
        <v>337</v>
      </c>
      <c r="B119" s="23" t="s">
        <v>308</v>
      </c>
      <c r="C119" s="23" t="s">
        <v>338</v>
      </c>
      <c r="D119" s="23" t="s">
        <v>339</v>
      </c>
      <c r="E119" s="72">
        <v>45439.901747685202</v>
      </c>
      <c r="F119" s="23" t="s">
        <v>908</v>
      </c>
      <c r="G119" s="23" t="s">
        <v>909</v>
      </c>
      <c r="H119" s="23" t="s">
        <v>909</v>
      </c>
      <c r="I119" s="23" t="s">
        <v>909</v>
      </c>
      <c r="J119" s="23" t="s">
        <v>909</v>
      </c>
    </row>
    <row r="120" spans="1:10" ht="15.75" customHeight="1">
      <c r="A120" s="23" t="s">
        <v>994</v>
      </c>
      <c r="B120" s="23" t="s">
        <v>266</v>
      </c>
      <c r="C120" s="23" t="s">
        <v>995</v>
      </c>
      <c r="D120" s="23" t="s">
        <v>996</v>
      </c>
      <c r="E120" s="72">
        <v>45434.533310185201</v>
      </c>
      <c r="F120" s="23" t="s">
        <v>908</v>
      </c>
      <c r="G120" s="23" t="s">
        <v>909</v>
      </c>
      <c r="H120" s="23" t="s">
        <v>909</v>
      </c>
      <c r="I120" s="23" t="s">
        <v>909</v>
      </c>
      <c r="J120" s="23" t="s">
        <v>909</v>
      </c>
    </row>
    <row r="121" spans="1:10" ht="15.75" customHeight="1">
      <c r="A121" s="23" t="s">
        <v>546</v>
      </c>
      <c r="B121" s="23" t="s">
        <v>122</v>
      </c>
      <c r="C121" s="23" t="s">
        <v>547</v>
      </c>
      <c r="D121" s="23" t="s">
        <v>548</v>
      </c>
      <c r="E121" s="72">
        <v>45400.654074074097</v>
      </c>
      <c r="F121" s="23" t="s">
        <v>908</v>
      </c>
      <c r="G121" s="23" t="s">
        <v>909</v>
      </c>
      <c r="H121" s="23" t="s">
        <v>909</v>
      </c>
      <c r="I121" s="23" t="s">
        <v>909</v>
      </c>
      <c r="J121" s="23" t="s">
        <v>909</v>
      </c>
    </row>
    <row r="122" spans="1:10" ht="15.75" customHeight="1">
      <c r="A122" s="23" t="s">
        <v>55</v>
      </c>
      <c r="B122" s="23" t="s">
        <v>271</v>
      </c>
      <c r="C122" s="23" t="s">
        <v>56</v>
      </c>
      <c r="D122" s="23" t="s">
        <v>57</v>
      </c>
      <c r="E122" s="72">
        <v>45416.312534722201</v>
      </c>
      <c r="F122" s="23" t="s">
        <v>908</v>
      </c>
      <c r="G122" s="23" t="s">
        <v>909</v>
      </c>
      <c r="H122" s="23" t="s">
        <v>909</v>
      </c>
      <c r="I122" s="23" t="s">
        <v>909</v>
      </c>
      <c r="J122" s="23" t="s">
        <v>909</v>
      </c>
    </row>
    <row r="123" spans="1:10" ht="15.75" customHeight="1">
      <c r="A123" s="23" t="s">
        <v>997</v>
      </c>
      <c r="B123" s="23" t="s">
        <v>482</v>
      </c>
      <c r="C123" s="23" t="s">
        <v>998</v>
      </c>
      <c r="D123" s="23" t="s">
        <v>999</v>
      </c>
      <c r="E123" s="72">
        <v>45434.7739814815</v>
      </c>
      <c r="F123" s="23" t="s">
        <v>908</v>
      </c>
      <c r="G123" s="23" t="s">
        <v>909</v>
      </c>
      <c r="H123" s="23" t="s">
        <v>909</v>
      </c>
      <c r="I123" s="23" t="s">
        <v>909</v>
      </c>
      <c r="J123" s="23" t="s">
        <v>909</v>
      </c>
    </row>
    <row r="124" spans="1:10" ht="15.75" customHeight="1">
      <c r="A124" s="23" t="s">
        <v>754</v>
      </c>
      <c r="B124" s="23" t="s">
        <v>757</v>
      </c>
      <c r="C124" s="23" t="s">
        <v>755</v>
      </c>
      <c r="D124" s="23" t="s">
        <v>756</v>
      </c>
      <c r="E124" s="72">
        <v>45465.476886574099</v>
      </c>
      <c r="F124" s="23" t="s">
        <v>906</v>
      </c>
      <c r="G124" s="23" t="s">
        <v>829</v>
      </c>
      <c r="H124" s="23" t="s">
        <v>829</v>
      </c>
      <c r="I124" s="23" t="s">
        <v>829</v>
      </c>
      <c r="J124" s="23" t="s">
        <v>829</v>
      </c>
    </row>
    <row r="125" spans="1:10" ht="15.75" customHeight="1">
      <c r="A125" s="23" t="s">
        <v>263</v>
      </c>
      <c r="B125" s="23" t="s">
        <v>618</v>
      </c>
      <c r="C125" s="23" t="s">
        <v>264</v>
      </c>
      <c r="D125" s="23" t="s">
        <v>265</v>
      </c>
      <c r="E125" s="72">
        <v>45339.779884259297</v>
      </c>
      <c r="F125" s="23" t="s">
        <v>908</v>
      </c>
      <c r="G125" s="23" t="s">
        <v>909</v>
      </c>
      <c r="H125" s="23" t="s">
        <v>909</v>
      </c>
      <c r="I125" s="23" t="s">
        <v>909</v>
      </c>
      <c r="J125" s="23" t="s">
        <v>909</v>
      </c>
    </row>
    <row r="126" spans="1:10" ht="15.75" customHeight="1">
      <c r="A126" s="23" t="s">
        <v>524</v>
      </c>
      <c r="B126" s="23" t="s">
        <v>508</v>
      </c>
      <c r="C126" s="23" t="s">
        <v>525</v>
      </c>
      <c r="D126" s="23" t="s">
        <v>526</v>
      </c>
      <c r="E126" s="72">
        <v>45425.434120370403</v>
      </c>
      <c r="F126" s="23" t="s">
        <v>908</v>
      </c>
      <c r="G126" s="23" t="s">
        <v>909</v>
      </c>
      <c r="H126" s="23" t="s">
        <v>909</v>
      </c>
      <c r="I126" s="23" t="s">
        <v>909</v>
      </c>
      <c r="J126" s="23" t="s">
        <v>909</v>
      </c>
    </row>
    <row r="127" spans="1:10" ht="15.75" customHeight="1">
      <c r="A127" s="23" t="s">
        <v>484</v>
      </c>
      <c r="B127" s="23" t="s">
        <v>1000</v>
      </c>
      <c r="C127" s="23" t="s">
        <v>485</v>
      </c>
      <c r="D127" s="23" t="s">
        <v>486</v>
      </c>
      <c r="E127" s="72">
        <v>44753.102650462999</v>
      </c>
      <c r="F127" s="23" t="s">
        <v>908</v>
      </c>
      <c r="G127" s="23" t="s">
        <v>909</v>
      </c>
      <c r="H127" s="23" t="s">
        <v>909</v>
      </c>
      <c r="I127" s="23" t="s">
        <v>909</v>
      </c>
      <c r="J127" s="23" t="s">
        <v>909</v>
      </c>
    </row>
    <row r="128" spans="1:10" ht="15.75" customHeight="1">
      <c r="A128" s="23" t="s">
        <v>154</v>
      </c>
      <c r="B128" s="23" t="s">
        <v>128</v>
      </c>
      <c r="C128" s="23" t="s">
        <v>155</v>
      </c>
      <c r="D128" s="23" t="s">
        <v>156</v>
      </c>
      <c r="E128" s="72">
        <v>45420.757118055597</v>
      </c>
      <c r="F128" s="23" t="s">
        <v>908</v>
      </c>
      <c r="G128" s="23" t="s">
        <v>909</v>
      </c>
      <c r="H128" s="23" t="s">
        <v>909</v>
      </c>
      <c r="I128" s="23" t="s">
        <v>909</v>
      </c>
      <c r="J128" s="23" t="s">
        <v>909</v>
      </c>
    </row>
    <row r="129" spans="1:10" ht="15.75" customHeight="1">
      <c r="A129" s="23" t="s">
        <v>1001</v>
      </c>
      <c r="B129" s="23" t="s">
        <v>1002</v>
      </c>
      <c r="C129" s="23" t="s">
        <v>1003</v>
      </c>
      <c r="D129" s="23" t="s">
        <v>1004</v>
      </c>
      <c r="E129" s="72">
        <v>45383.437210648197</v>
      </c>
      <c r="F129" s="23" t="s">
        <v>908</v>
      </c>
      <c r="G129" s="23" t="s">
        <v>909</v>
      </c>
      <c r="H129" s="23" t="s">
        <v>909</v>
      </c>
      <c r="I129" s="23" t="s">
        <v>909</v>
      </c>
      <c r="J129" s="23" t="s">
        <v>909</v>
      </c>
    </row>
    <row r="130" spans="1:10" ht="15.75" customHeight="1">
      <c r="A130" s="23" t="s">
        <v>754</v>
      </c>
      <c r="B130" s="23" t="s">
        <v>757</v>
      </c>
      <c r="C130" s="23" t="s">
        <v>755</v>
      </c>
      <c r="D130" s="23" t="s">
        <v>756</v>
      </c>
      <c r="E130" s="72">
        <v>45465.476886574099</v>
      </c>
      <c r="F130" s="23" t="s">
        <v>906</v>
      </c>
      <c r="G130" s="23" t="s">
        <v>829</v>
      </c>
      <c r="H130" s="23" t="s">
        <v>829</v>
      </c>
      <c r="I130" s="23" t="s">
        <v>829</v>
      </c>
      <c r="J130" s="23" t="s">
        <v>829</v>
      </c>
    </row>
    <row r="131" spans="1:10" ht="15.75" customHeight="1">
      <c r="A131" s="23" t="s">
        <v>263</v>
      </c>
      <c r="B131" s="23" t="s">
        <v>618</v>
      </c>
      <c r="C131" s="23" t="s">
        <v>264</v>
      </c>
      <c r="D131" s="23" t="s">
        <v>265</v>
      </c>
      <c r="E131" s="72">
        <v>45339.779884259297</v>
      </c>
      <c r="F131" s="23" t="s">
        <v>908</v>
      </c>
      <c r="G131" s="23" t="s">
        <v>909</v>
      </c>
      <c r="H131" s="23" t="s">
        <v>909</v>
      </c>
      <c r="I131" s="23" t="s">
        <v>909</v>
      </c>
      <c r="J131" s="23" t="s">
        <v>909</v>
      </c>
    </row>
    <row r="132" spans="1:10" ht="15.75" customHeight="1">
      <c r="A132" s="23" t="s">
        <v>524</v>
      </c>
      <c r="B132" s="23" t="s">
        <v>508</v>
      </c>
      <c r="C132" s="23" t="s">
        <v>525</v>
      </c>
      <c r="D132" s="23" t="s">
        <v>526</v>
      </c>
      <c r="E132" s="72">
        <v>45425.434120370403</v>
      </c>
      <c r="F132" s="23" t="s">
        <v>908</v>
      </c>
      <c r="G132" s="23" t="s">
        <v>909</v>
      </c>
      <c r="H132" s="23" t="s">
        <v>909</v>
      </c>
      <c r="I132" s="23" t="s">
        <v>909</v>
      </c>
      <c r="J132" s="23" t="s">
        <v>909</v>
      </c>
    </row>
    <row r="133" spans="1:10" ht="15.75" customHeight="1">
      <c r="A133" s="23" t="s">
        <v>484</v>
      </c>
      <c r="B133" s="23" t="s">
        <v>1000</v>
      </c>
      <c r="C133" s="23" t="s">
        <v>485</v>
      </c>
      <c r="D133" s="23" t="s">
        <v>486</v>
      </c>
      <c r="E133" s="72">
        <v>44753.102650462999</v>
      </c>
      <c r="F133" s="23" t="s">
        <v>908</v>
      </c>
      <c r="G133" s="23" t="s">
        <v>909</v>
      </c>
      <c r="H133" s="23" t="s">
        <v>909</v>
      </c>
      <c r="I133" s="23" t="s">
        <v>909</v>
      </c>
      <c r="J133" s="23" t="s">
        <v>909</v>
      </c>
    </row>
    <row r="134" spans="1:10" ht="15.75" customHeight="1">
      <c r="A134" s="23" t="s">
        <v>154</v>
      </c>
      <c r="B134" s="23" t="s">
        <v>128</v>
      </c>
      <c r="C134" s="23" t="s">
        <v>155</v>
      </c>
      <c r="D134" s="23" t="s">
        <v>156</v>
      </c>
      <c r="E134" s="72">
        <v>45420.757118055597</v>
      </c>
      <c r="F134" s="23" t="s">
        <v>908</v>
      </c>
      <c r="G134" s="23" t="s">
        <v>909</v>
      </c>
      <c r="H134" s="23" t="s">
        <v>909</v>
      </c>
      <c r="I134" s="23" t="s">
        <v>909</v>
      </c>
      <c r="J134" s="23" t="s">
        <v>909</v>
      </c>
    </row>
    <row r="135" spans="1:10" ht="15.75" customHeight="1">
      <c r="A135" s="23" t="s">
        <v>1001</v>
      </c>
      <c r="B135" s="23" t="s">
        <v>1002</v>
      </c>
      <c r="C135" s="23" t="s">
        <v>1003</v>
      </c>
      <c r="D135" s="23" t="s">
        <v>1004</v>
      </c>
      <c r="E135" s="72">
        <v>45383.437210648197</v>
      </c>
      <c r="F135" s="23" t="s">
        <v>908</v>
      </c>
      <c r="G135" s="23" t="s">
        <v>909</v>
      </c>
      <c r="H135" s="23" t="s">
        <v>909</v>
      </c>
      <c r="I135" s="23" t="s">
        <v>909</v>
      </c>
      <c r="J135" s="23" t="s">
        <v>909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6"/>
  <sheetViews>
    <sheetView zoomScaleNormal="100" workbookViewId="0">
      <pane ySplit="1" topLeftCell="A83" activePane="bottomLeft" state="frozen"/>
      <selection pane="bottomLeft" activeCell="A100" sqref="A100"/>
    </sheetView>
  </sheetViews>
  <sheetFormatPr defaultColWidth="12.5703125" defaultRowHeight="12.75"/>
  <cols>
    <col min="1" max="1" width="23" bestFit="1" customWidth="1"/>
    <col min="3" max="3" width="29.7109375" bestFit="1" customWidth="1"/>
    <col min="5" max="5" width="20.42578125" bestFit="1" customWidth="1"/>
  </cols>
  <sheetData>
    <row r="1" spans="1:9" ht="15.75" customHeight="1">
      <c r="A1" s="23" t="s">
        <v>894</v>
      </c>
      <c r="B1" s="23" t="s">
        <v>895</v>
      </c>
      <c r="C1" s="23" t="s">
        <v>4</v>
      </c>
      <c r="D1" s="23" t="s">
        <v>6</v>
      </c>
      <c r="E1" s="23" t="s">
        <v>896</v>
      </c>
      <c r="F1" s="23" t="s">
        <v>897</v>
      </c>
      <c r="G1" s="23" t="s">
        <v>1005</v>
      </c>
      <c r="H1" s="23" t="s">
        <v>1006</v>
      </c>
      <c r="I1" s="23" t="s">
        <v>1007</v>
      </c>
    </row>
    <row r="2" spans="1:9" ht="15.75" customHeight="1">
      <c r="A2" s="23" t="s">
        <v>388</v>
      </c>
      <c r="B2" s="23" t="s">
        <v>739</v>
      </c>
      <c r="C2" s="23" t="s">
        <v>389</v>
      </c>
      <c r="D2" s="23" t="s">
        <v>390</v>
      </c>
      <c r="E2" s="72">
        <v>45375.801689814798</v>
      </c>
      <c r="F2" s="23" t="s">
        <v>1008</v>
      </c>
      <c r="G2" s="23" t="s">
        <v>829</v>
      </c>
      <c r="H2" s="23" t="s">
        <v>1009</v>
      </c>
      <c r="I2" s="23" t="s">
        <v>1009</v>
      </c>
    </row>
    <row r="3" spans="1:9" ht="15.75" customHeight="1">
      <c r="A3" s="23" t="s">
        <v>725</v>
      </c>
      <c r="B3" s="23" t="s">
        <v>518</v>
      </c>
      <c r="C3" s="23" t="s">
        <v>726</v>
      </c>
      <c r="D3" s="23" t="s">
        <v>727</v>
      </c>
      <c r="E3" s="72">
        <v>45390.6179050926</v>
      </c>
      <c r="F3" s="23" t="s">
        <v>1010</v>
      </c>
      <c r="G3" s="23" t="s">
        <v>829</v>
      </c>
      <c r="H3" s="23" t="s">
        <v>1009</v>
      </c>
      <c r="I3" s="23" t="s">
        <v>1011</v>
      </c>
    </row>
    <row r="4" spans="1:9" ht="15.75" customHeight="1">
      <c r="A4" s="23" t="s">
        <v>640</v>
      </c>
      <c r="B4" s="23" t="s">
        <v>654</v>
      </c>
      <c r="C4" s="23" t="s">
        <v>641</v>
      </c>
      <c r="D4" s="23" t="s">
        <v>642</v>
      </c>
      <c r="E4" s="72">
        <v>45365.6090625</v>
      </c>
      <c r="F4" s="23" t="s">
        <v>1008</v>
      </c>
      <c r="G4" s="23" t="s">
        <v>829</v>
      </c>
      <c r="H4" s="23" t="s">
        <v>1009</v>
      </c>
      <c r="I4" s="23" t="s">
        <v>1009</v>
      </c>
    </row>
    <row r="5" spans="1:9" ht="15.75" customHeight="1">
      <c r="A5" s="23" t="s">
        <v>428</v>
      </c>
      <c r="B5" s="23" t="s">
        <v>361</v>
      </c>
      <c r="C5" s="23" t="s">
        <v>429</v>
      </c>
      <c r="D5" s="23" t="s">
        <v>430</v>
      </c>
      <c r="E5" s="72">
        <v>45424.573819444398</v>
      </c>
      <c r="F5" s="23" t="s">
        <v>1008</v>
      </c>
      <c r="G5" s="23" t="s">
        <v>829</v>
      </c>
      <c r="H5" s="23" t="s">
        <v>1009</v>
      </c>
      <c r="I5" s="23" t="s">
        <v>1009</v>
      </c>
    </row>
    <row r="6" spans="1:9" ht="15.75" customHeight="1">
      <c r="A6" s="23" t="s">
        <v>499</v>
      </c>
      <c r="B6" s="23" t="s">
        <v>668</v>
      </c>
      <c r="C6" s="23" t="s">
        <v>500</v>
      </c>
      <c r="D6" s="23" t="s">
        <v>501</v>
      </c>
      <c r="E6" s="72">
        <v>45443.541122685201</v>
      </c>
      <c r="F6" s="23" t="s">
        <v>1008</v>
      </c>
      <c r="G6" s="23" t="s">
        <v>829</v>
      </c>
      <c r="H6" s="23" t="s">
        <v>1009</v>
      </c>
      <c r="I6" s="23" t="s">
        <v>1009</v>
      </c>
    </row>
    <row r="7" spans="1:9" ht="15.75" customHeight="1">
      <c r="A7" s="23" t="s">
        <v>217</v>
      </c>
      <c r="B7" s="23" t="s">
        <v>37</v>
      </c>
      <c r="C7" s="23" t="s">
        <v>218</v>
      </c>
      <c r="D7" s="23" t="s">
        <v>219</v>
      </c>
      <c r="E7" s="72">
        <v>45377.621435185203</v>
      </c>
      <c r="F7" s="23" t="s">
        <v>1008</v>
      </c>
      <c r="G7" s="23" t="s">
        <v>829</v>
      </c>
      <c r="H7" s="23" t="s">
        <v>1009</v>
      </c>
      <c r="I7" s="23" t="s">
        <v>1009</v>
      </c>
    </row>
    <row r="8" spans="1:9" ht="15.75" customHeight="1">
      <c r="A8" s="23" t="s">
        <v>672</v>
      </c>
      <c r="B8" s="23" t="s">
        <v>675</v>
      </c>
      <c r="C8" s="23" t="s">
        <v>673</v>
      </c>
      <c r="D8" s="23" t="s">
        <v>674</v>
      </c>
      <c r="E8" s="72">
        <v>45443.476678240702</v>
      </c>
      <c r="F8" s="23" t="s">
        <v>1008</v>
      </c>
      <c r="G8" s="23" t="s">
        <v>829</v>
      </c>
      <c r="H8" s="23" t="s">
        <v>1009</v>
      </c>
      <c r="I8" s="23" t="s">
        <v>1009</v>
      </c>
    </row>
    <row r="9" spans="1:9" ht="15.75" customHeight="1">
      <c r="A9" s="23" t="s">
        <v>682</v>
      </c>
      <c r="B9" s="23" t="s">
        <v>183</v>
      </c>
      <c r="C9" s="23" t="s">
        <v>683</v>
      </c>
      <c r="D9" s="23" t="s">
        <v>684</v>
      </c>
      <c r="E9" s="72">
        <v>45378.382384259297</v>
      </c>
      <c r="F9" s="23" t="s">
        <v>1008</v>
      </c>
      <c r="G9" s="23" t="s">
        <v>829</v>
      </c>
      <c r="H9" s="23" t="s">
        <v>1009</v>
      </c>
      <c r="I9" s="23" t="s">
        <v>1009</v>
      </c>
    </row>
    <row r="10" spans="1:9" ht="15.75" customHeight="1">
      <c r="A10" s="23" t="s">
        <v>911</v>
      </c>
      <c r="B10" s="23" t="s">
        <v>189</v>
      </c>
      <c r="C10" s="23" t="s">
        <v>912</v>
      </c>
      <c r="D10" s="23" t="s">
        <v>913</v>
      </c>
      <c r="E10" s="72">
        <v>45406.8195949074</v>
      </c>
      <c r="F10" s="23" t="s">
        <v>1008</v>
      </c>
      <c r="G10" s="23" t="s">
        <v>829</v>
      </c>
      <c r="H10" s="23" t="s">
        <v>1009</v>
      </c>
      <c r="I10" s="23" t="s">
        <v>1009</v>
      </c>
    </row>
    <row r="11" spans="1:9" ht="15.75" customHeight="1">
      <c r="A11" s="23" t="s">
        <v>293</v>
      </c>
      <c r="B11" s="23" t="s">
        <v>44</v>
      </c>
      <c r="C11" s="23" t="s">
        <v>294</v>
      </c>
      <c r="D11" s="23" t="s">
        <v>295</v>
      </c>
      <c r="E11" s="72">
        <v>45395.348564814798</v>
      </c>
      <c r="F11" s="23" t="s">
        <v>1008</v>
      </c>
      <c r="G11" s="23" t="s">
        <v>829</v>
      </c>
      <c r="H11" s="23" t="s">
        <v>1009</v>
      </c>
      <c r="I11" s="23" t="s">
        <v>1009</v>
      </c>
    </row>
    <row r="12" spans="1:9" ht="15.75" customHeight="1">
      <c r="A12" s="23" t="s">
        <v>142</v>
      </c>
      <c r="B12" s="23" t="s">
        <v>145</v>
      </c>
      <c r="C12" s="23" t="s">
        <v>143</v>
      </c>
      <c r="D12" s="23" t="s">
        <v>144</v>
      </c>
      <c r="E12" s="72">
        <v>45389.323958333298</v>
      </c>
      <c r="F12" s="23" t="s">
        <v>1008</v>
      </c>
      <c r="G12" s="23" t="s">
        <v>829</v>
      </c>
      <c r="H12" s="23" t="s">
        <v>1009</v>
      </c>
      <c r="I12" s="23" t="s">
        <v>1009</v>
      </c>
    </row>
    <row r="13" spans="1:9" ht="15.75" customHeight="1">
      <c r="A13" s="23" t="s">
        <v>540</v>
      </c>
      <c r="B13" s="23" t="s">
        <v>513</v>
      </c>
      <c r="C13" s="23" t="s">
        <v>541</v>
      </c>
      <c r="D13" s="23" t="s">
        <v>542</v>
      </c>
      <c r="E13" s="72">
        <v>45439.640879629602</v>
      </c>
      <c r="F13" s="23" t="s">
        <v>1008</v>
      </c>
      <c r="G13" s="23" t="s">
        <v>829</v>
      </c>
      <c r="H13" s="23" t="s">
        <v>1009</v>
      </c>
      <c r="I13" s="23" t="s">
        <v>1009</v>
      </c>
    </row>
    <row r="14" spans="1:9" ht="15.75" customHeight="1">
      <c r="A14" s="23" t="s">
        <v>916</v>
      </c>
      <c r="B14" s="23" t="s">
        <v>680</v>
      </c>
      <c r="C14" s="23" t="s">
        <v>917</v>
      </c>
      <c r="D14" s="23" t="s">
        <v>918</v>
      </c>
      <c r="E14" s="72">
        <v>45439.500115740702</v>
      </c>
      <c r="F14" s="23" t="s">
        <v>1008</v>
      </c>
      <c r="G14" s="23" t="s">
        <v>829</v>
      </c>
      <c r="H14" s="23" t="s">
        <v>1009</v>
      </c>
      <c r="I14" s="23" t="s">
        <v>1009</v>
      </c>
    </row>
    <row r="15" spans="1:9" ht="15.75" customHeight="1">
      <c r="A15" s="23" t="s">
        <v>919</v>
      </c>
      <c r="B15" s="23" t="s">
        <v>685</v>
      </c>
      <c r="C15" s="23" t="s">
        <v>920</v>
      </c>
      <c r="D15" s="23" t="s">
        <v>921</v>
      </c>
      <c r="E15" s="72">
        <v>45415.405856481499</v>
      </c>
      <c r="F15" s="23" t="s">
        <v>1008</v>
      </c>
      <c r="G15" s="23" t="s">
        <v>829</v>
      </c>
      <c r="H15" s="23" t="s">
        <v>1009</v>
      </c>
      <c r="I15" s="23" t="s">
        <v>1009</v>
      </c>
    </row>
    <row r="16" spans="1:9" ht="15.75" customHeight="1">
      <c r="A16" s="23" t="s">
        <v>383</v>
      </c>
      <c r="B16" s="23" t="s">
        <v>52</v>
      </c>
      <c r="C16" s="23" t="s">
        <v>384</v>
      </c>
      <c r="D16" s="23" t="s">
        <v>385</v>
      </c>
      <c r="E16" s="72">
        <v>45365.869918981502</v>
      </c>
      <c r="F16" s="23" t="s">
        <v>1008</v>
      </c>
      <c r="G16" s="23" t="s">
        <v>829</v>
      </c>
      <c r="H16" s="23" t="s">
        <v>1009</v>
      </c>
      <c r="I16" s="23" t="s">
        <v>1009</v>
      </c>
    </row>
    <row r="17" spans="1:9" ht="15.75" customHeight="1">
      <c r="A17" s="23" t="s">
        <v>119</v>
      </c>
      <c r="B17" s="23" t="s">
        <v>323</v>
      </c>
      <c r="C17" s="23" t="s">
        <v>120</v>
      </c>
      <c r="D17" s="23" t="s">
        <v>121</v>
      </c>
      <c r="E17" s="72">
        <v>45432.566574074102</v>
      </c>
      <c r="F17" s="23" t="s">
        <v>1008</v>
      </c>
      <c r="G17" s="23" t="s">
        <v>829</v>
      </c>
      <c r="H17" s="23" t="s">
        <v>1009</v>
      </c>
      <c r="I17" s="23" t="s">
        <v>1009</v>
      </c>
    </row>
    <row r="18" spans="1:9" ht="15.75" customHeight="1">
      <c r="A18" s="23" t="s">
        <v>736</v>
      </c>
      <c r="B18" s="23" t="s">
        <v>194</v>
      </c>
      <c r="C18" s="23" t="s">
        <v>737</v>
      </c>
      <c r="D18" s="23" t="s">
        <v>738</v>
      </c>
      <c r="E18" s="72">
        <v>45377.741099537001</v>
      </c>
      <c r="F18" s="23" t="s">
        <v>1008</v>
      </c>
      <c r="G18" s="23" t="s">
        <v>829</v>
      </c>
      <c r="H18" s="23" t="s">
        <v>1009</v>
      </c>
      <c r="I18" s="23" t="s">
        <v>1009</v>
      </c>
    </row>
    <row r="19" spans="1:9" ht="15.75" customHeight="1">
      <c r="A19" s="23" t="s">
        <v>222</v>
      </c>
      <c r="B19" s="23" t="s">
        <v>117</v>
      </c>
      <c r="C19" s="23" t="s">
        <v>223</v>
      </c>
      <c r="D19" s="23" t="s">
        <v>224</v>
      </c>
      <c r="E19" s="72">
        <v>45418.488067129598</v>
      </c>
      <c r="F19" s="23" t="s">
        <v>1008</v>
      </c>
      <c r="G19" s="23" t="s">
        <v>829</v>
      </c>
      <c r="H19" s="23" t="s">
        <v>1009</v>
      </c>
      <c r="I19" s="23" t="s">
        <v>1009</v>
      </c>
    </row>
    <row r="20" spans="1:9" ht="15.75" customHeight="1">
      <c r="A20" s="23" t="s">
        <v>378</v>
      </c>
      <c r="B20" s="23" t="s">
        <v>527</v>
      </c>
      <c r="C20" s="23" t="s">
        <v>379</v>
      </c>
      <c r="D20" s="23" t="s">
        <v>380</v>
      </c>
      <c r="E20" s="72">
        <v>45389.347511574102</v>
      </c>
      <c r="F20" s="23" t="s">
        <v>1008</v>
      </c>
      <c r="G20" s="23" t="s">
        <v>829</v>
      </c>
      <c r="H20" s="23" t="s">
        <v>1009</v>
      </c>
      <c r="I20" s="23" t="s">
        <v>1009</v>
      </c>
    </row>
    <row r="21" spans="1:9" ht="15.75" customHeight="1">
      <c r="A21" s="23" t="s">
        <v>165</v>
      </c>
      <c r="B21" s="23" t="s">
        <v>923</v>
      </c>
      <c r="C21" s="23" t="s">
        <v>166</v>
      </c>
      <c r="D21" s="23" t="s">
        <v>167</v>
      </c>
      <c r="E21" s="72">
        <v>45439.842905092599</v>
      </c>
      <c r="F21" s="23" t="s">
        <v>1008</v>
      </c>
      <c r="G21" s="23" t="s">
        <v>829</v>
      </c>
      <c r="H21" s="23" t="s">
        <v>1009</v>
      </c>
      <c r="I21" s="23" t="s">
        <v>1009</v>
      </c>
    </row>
    <row r="22" spans="1:9" ht="15.75" customHeight="1">
      <c r="A22" s="23" t="s">
        <v>665</v>
      </c>
      <c r="B22" s="23" t="s">
        <v>157</v>
      </c>
      <c r="C22" s="23" t="s">
        <v>666</v>
      </c>
      <c r="D22" s="23" t="s">
        <v>667</v>
      </c>
      <c r="E22" s="72">
        <v>45375.581770833298</v>
      </c>
      <c r="F22" s="23" t="s">
        <v>1008</v>
      </c>
      <c r="G22" s="23" t="s">
        <v>829</v>
      </c>
      <c r="H22" s="23" t="s">
        <v>1009</v>
      </c>
      <c r="I22" s="23" t="s">
        <v>1009</v>
      </c>
    </row>
    <row r="23" spans="1:9" ht="15.75" customHeight="1">
      <c r="A23" s="23" t="s">
        <v>326</v>
      </c>
      <c r="B23" s="23" t="s">
        <v>178</v>
      </c>
      <c r="C23" s="23" t="s">
        <v>327</v>
      </c>
      <c r="D23" s="23" t="s">
        <v>328</v>
      </c>
      <c r="E23" s="72">
        <v>45446.860891203702</v>
      </c>
      <c r="F23" s="23" t="s">
        <v>1008</v>
      </c>
      <c r="G23" s="23" t="s">
        <v>829</v>
      </c>
      <c r="H23" s="23" t="s">
        <v>1009</v>
      </c>
      <c r="I23" s="23" t="s">
        <v>1009</v>
      </c>
    </row>
    <row r="24" spans="1:9" ht="15.75" customHeight="1">
      <c r="A24" s="23" t="s">
        <v>442</v>
      </c>
      <c r="B24" s="23" t="s">
        <v>445</v>
      </c>
      <c r="C24" s="23" t="s">
        <v>443</v>
      </c>
      <c r="D24" s="23" t="s">
        <v>444</v>
      </c>
      <c r="E24" s="72">
        <v>45433.988055555601</v>
      </c>
      <c r="F24" s="23" t="s">
        <v>1008</v>
      </c>
      <c r="G24" s="23" t="s">
        <v>829</v>
      </c>
      <c r="H24" s="23" t="s">
        <v>1009</v>
      </c>
      <c r="I24" s="23" t="s">
        <v>1009</v>
      </c>
    </row>
    <row r="25" spans="1:9" ht="15.75" customHeight="1">
      <c r="A25" s="23" t="s">
        <v>170</v>
      </c>
      <c r="B25" s="23" t="s">
        <v>719</v>
      </c>
      <c r="C25" s="23" t="s">
        <v>171</v>
      </c>
      <c r="D25" s="23" t="s">
        <v>172</v>
      </c>
      <c r="E25" s="72">
        <v>45442.747164351902</v>
      </c>
      <c r="F25" s="23" t="s">
        <v>1008</v>
      </c>
      <c r="G25" s="23" t="s">
        <v>829</v>
      </c>
      <c r="H25" s="23" t="s">
        <v>1009</v>
      </c>
      <c r="I25" s="23" t="s">
        <v>1009</v>
      </c>
    </row>
    <row r="26" spans="1:9" ht="15.75" customHeight="1">
      <c r="A26" s="23" t="s">
        <v>651</v>
      </c>
      <c r="B26" s="23" t="s">
        <v>335</v>
      </c>
      <c r="C26" s="23" t="s">
        <v>652</v>
      </c>
      <c r="D26" s="23" t="s">
        <v>653</v>
      </c>
      <c r="E26" s="72">
        <v>45442.4610300926</v>
      </c>
      <c r="F26" s="23" t="s">
        <v>1008</v>
      </c>
      <c r="G26" s="23" t="s">
        <v>829</v>
      </c>
      <c r="H26" s="23" t="s">
        <v>1009</v>
      </c>
      <c r="I26" s="23" t="s">
        <v>1009</v>
      </c>
    </row>
    <row r="27" spans="1:9" ht="15.75" customHeight="1">
      <c r="A27" s="23" t="s">
        <v>363</v>
      </c>
      <c r="B27" s="23" t="s">
        <v>340</v>
      </c>
      <c r="C27" s="23" t="s">
        <v>364</v>
      </c>
      <c r="D27" s="23" t="s">
        <v>365</v>
      </c>
      <c r="E27" s="72">
        <v>45425.466145833299</v>
      </c>
      <c r="F27" s="23" t="s">
        <v>1008</v>
      </c>
      <c r="G27" s="23" t="s">
        <v>829</v>
      </c>
      <c r="H27" s="23" t="s">
        <v>1009</v>
      </c>
      <c r="I27" s="23" t="s">
        <v>1009</v>
      </c>
    </row>
    <row r="28" spans="1:9" ht="15.75" customHeight="1">
      <c r="A28" s="23" t="s">
        <v>490</v>
      </c>
      <c r="B28" s="23" t="s">
        <v>168</v>
      </c>
      <c r="C28" s="23" t="s">
        <v>491</v>
      </c>
      <c r="D28" s="23" t="s">
        <v>492</v>
      </c>
      <c r="E28" s="72">
        <v>45386.815520833297</v>
      </c>
      <c r="F28" s="23" t="s">
        <v>1008</v>
      </c>
      <c r="G28" s="23" t="s">
        <v>829</v>
      </c>
      <c r="H28" s="23" t="s">
        <v>1009</v>
      </c>
      <c r="I28" s="23" t="s">
        <v>1009</v>
      </c>
    </row>
    <row r="29" spans="1:9" ht="15.75" customHeight="1">
      <c r="A29" s="23" t="s">
        <v>268</v>
      </c>
      <c r="B29" s="23" t="s">
        <v>924</v>
      </c>
      <c r="C29" s="23" t="s">
        <v>269</v>
      </c>
      <c r="D29" s="23" t="s">
        <v>270</v>
      </c>
      <c r="E29" s="72">
        <v>45374.006412037001</v>
      </c>
      <c r="F29" s="23" t="s">
        <v>1008</v>
      </c>
      <c r="G29" s="23" t="s">
        <v>829</v>
      </c>
      <c r="H29" s="23" t="s">
        <v>1009</v>
      </c>
      <c r="I29" s="23" t="s">
        <v>1009</v>
      </c>
    </row>
    <row r="30" spans="1:9" ht="15.75" customHeight="1">
      <c r="A30" s="23" t="s">
        <v>436</v>
      </c>
      <c r="B30" s="23" t="s">
        <v>199</v>
      </c>
      <c r="C30" s="23" t="s">
        <v>437</v>
      </c>
      <c r="D30" s="23" t="s">
        <v>438</v>
      </c>
      <c r="E30" s="72">
        <v>45434.827337962997</v>
      </c>
      <c r="F30" s="23" t="s">
        <v>1008</v>
      </c>
      <c r="G30" s="23" t="s">
        <v>829</v>
      </c>
      <c r="H30" s="23" t="s">
        <v>1009</v>
      </c>
      <c r="I30" s="23" t="s">
        <v>1009</v>
      </c>
    </row>
    <row r="31" spans="1:9" ht="15.75" customHeight="1">
      <c r="A31" s="23" t="s">
        <v>191</v>
      </c>
      <c r="B31" s="23" t="s">
        <v>204</v>
      </c>
      <c r="C31" s="23" t="s">
        <v>192</v>
      </c>
      <c r="D31" s="23" t="s">
        <v>193</v>
      </c>
      <c r="E31" s="72">
        <v>45426.843414351897</v>
      </c>
      <c r="F31" s="23" t="s">
        <v>1008</v>
      </c>
      <c r="G31" s="23" t="s">
        <v>829</v>
      </c>
      <c r="H31" s="23" t="s">
        <v>1009</v>
      </c>
      <c r="I31" s="23" t="s">
        <v>1009</v>
      </c>
    </row>
    <row r="32" spans="1:9" ht="15.75" customHeight="1">
      <c r="A32" s="23" t="s">
        <v>925</v>
      </c>
      <c r="B32" s="23" t="s">
        <v>296</v>
      </c>
      <c r="C32" s="23" t="s">
        <v>926</v>
      </c>
      <c r="D32" s="23" t="s">
        <v>927</v>
      </c>
      <c r="E32" s="72">
        <v>45379.845671296302</v>
      </c>
      <c r="F32" s="23" t="s">
        <v>1008</v>
      </c>
      <c r="G32" s="23" t="s">
        <v>829</v>
      </c>
      <c r="H32" s="23" t="s">
        <v>1009</v>
      </c>
      <c r="I32" s="23" t="s">
        <v>1009</v>
      </c>
    </row>
    <row r="33" spans="1:9" ht="15.75" customHeight="1">
      <c r="A33" s="23" t="s">
        <v>305</v>
      </c>
      <c r="B33" s="23" t="s">
        <v>624</v>
      </c>
      <c r="C33" s="23" t="s">
        <v>306</v>
      </c>
      <c r="D33" s="23" t="s">
        <v>307</v>
      </c>
      <c r="E33" s="72">
        <v>45440.401678240698</v>
      </c>
      <c r="F33" s="23" t="s">
        <v>1008</v>
      </c>
      <c r="G33" s="23" t="s">
        <v>829</v>
      </c>
      <c r="H33" s="23" t="s">
        <v>1009</v>
      </c>
      <c r="I33" s="23" t="s">
        <v>1009</v>
      </c>
    </row>
    <row r="34" spans="1:9" ht="15.75" customHeight="1">
      <c r="A34" s="23" t="s">
        <v>300</v>
      </c>
      <c r="B34" s="23" t="s">
        <v>549</v>
      </c>
      <c r="C34" s="23" t="s">
        <v>301</v>
      </c>
      <c r="D34" s="23" t="s">
        <v>302</v>
      </c>
      <c r="E34" s="72">
        <v>45392.356793981497</v>
      </c>
      <c r="F34" s="23" t="s">
        <v>1008</v>
      </c>
      <c r="G34" s="23" t="s">
        <v>829</v>
      </c>
      <c r="H34" s="23" t="s">
        <v>1009</v>
      </c>
      <c r="I34" s="23" t="s">
        <v>1009</v>
      </c>
    </row>
    <row r="35" spans="1:9" ht="15.75" customHeight="1">
      <c r="A35" s="23" t="s">
        <v>712</v>
      </c>
      <c r="B35" s="23" t="s">
        <v>366</v>
      </c>
      <c r="C35" s="23" t="s">
        <v>713</v>
      </c>
      <c r="D35" s="23" t="s">
        <v>714</v>
      </c>
      <c r="E35" s="72">
        <v>45436.8429861111</v>
      </c>
      <c r="F35" s="23" t="s">
        <v>1008</v>
      </c>
      <c r="G35" s="23" t="s">
        <v>829</v>
      </c>
      <c r="H35" s="23" t="s">
        <v>1009</v>
      </c>
      <c r="I35" s="23" t="s">
        <v>1009</v>
      </c>
    </row>
    <row r="36" spans="1:9" ht="15.75" customHeight="1">
      <c r="A36" s="23" t="s">
        <v>533</v>
      </c>
      <c r="B36" s="23" t="s">
        <v>536</v>
      </c>
      <c r="C36" s="23" t="s">
        <v>534</v>
      </c>
      <c r="D36" s="23" t="s">
        <v>535</v>
      </c>
      <c r="E36" s="72">
        <v>45388.571504629603</v>
      </c>
      <c r="F36" s="23" t="s">
        <v>829</v>
      </c>
      <c r="G36" s="23" t="s">
        <v>829</v>
      </c>
      <c r="H36" s="23" t="s">
        <v>829</v>
      </c>
      <c r="I36" s="23" t="s">
        <v>829</v>
      </c>
    </row>
    <row r="37" spans="1:9" ht="15.75" customHeight="1">
      <c r="A37" s="23" t="s">
        <v>418</v>
      </c>
      <c r="B37" s="23" t="s">
        <v>421</v>
      </c>
      <c r="C37" s="23" t="s">
        <v>419</v>
      </c>
      <c r="D37" s="23" t="s">
        <v>420</v>
      </c>
      <c r="E37" s="72">
        <v>45426.873090277797</v>
      </c>
      <c r="F37" s="23" t="s">
        <v>1008</v>
      </c>
      <c r="G37" s="23" t="s">
        <v>829</v>
      </c>
      <c r="H37" s="23" t="s">
        <v>1009</v>
      </c>
      <c r="I37" s="23" t="s">
        <v>1009</v>
      </c>
    </row>
    <row r="38" spans="1:9" ht="15.75" customHeight="1">
      <c r="A38" s="23" t="s">
        <v>930</v>
      </c>
      <c r="B38" s="23" t="s">
        <v>215</v>
      </c>
      <c r="C38" s="23" t="s">
        <v>931</v>
      </c>
      <c r="D38" s="23" t="s">
        <v>932</v>
      </c>
      <c r="E38" s="72">
        <v>45426.402858796297</v>
      </c>
      <c r="F38" s="23" t="s">
        <v>1008</v>
      </c>
      <c r="G38" s="23" t="s">
        <v>829</v>
      </c>
      <c r="H38" s="23" t="s">
        <v>1009</v>
      </c>
      <c r="I38" s="23" t="s">
        <v>1009</v>
      </c>
    </row>
    <row r="39" spans="1:9" ht="15.75" customHeight="1">
      <c r="A39" s="23" t="s">
        <v>78</v>
      </c>
      <c r="B39" s="23" t="s">
        <v>286</v>
      </c>
      <c r="C39" s="23" t="s">
        <v>79</v>
      </c>
      <c r="D39" s="23" t="s">
        <v>80</v>
      </c>
      <c r="E39" s="72">
        <v>45432.728113425903</v>
      </c>
      <c r="F39" s="23" t="s">
        <v>1008</v>
      </c>
      <c r="G39" s="23" t="s">
        <v>829</v>
      </c>
      <c r="H39" s="23" t="s">
        <v>1009</v>
      </c>
      <c r="I39" s="23" t="s">
        <v>1009</v>
      </c>
    </row>
    <row r="40" spans="1:9" ht="15.75" customHeight="1">
      <c r="A40" s="23" t="s">
        <v>721</v>
      </c>
      <c r="B40" s="23" t="s">
        <v>439</v>
      </c>
      <c r="C40" s="23" t="s">
        <v>722</v>
      </c>
      <c r="D40" s="23" t="s">
        <v>723</v>
      </c>
      <c r="E40" s="72">
        <v>45428.576782407399</v>
      </c>
      <c r="F40" s="23" t="s">
        <v>1010</v>
      </c>
      <c r="G40" s="23" t="s">
        <v>829</v>
      </c>
      <c r="H40" s="23" t="s">
        <v>1009</v>
      </c>
      <c r="I40" s="23" t="s">
        <v>1011</v>
      </c>
    </row>
    <row r="41" spans="1:9" ht="15.75" customHeight="1">
      <c r="A41" s="23" t="s">
        <v>180</v>
      </c>
      <c r="B41" s="23" t="s">
        <v>140</v>
      </c>
      <c r="C41" s="23" t="s">
        <v>181</v>
      </c>
      <c r="D41" s="23" t="s">
        <v>182</v>
      </c>
      <c r="E41" s="72">
        <v>45376.519837963002</v>
      </c>
      <c r="F41" s="23" t="s">
        <v>1008</v>
      </c>
      <c r="G41" s="23" t="s">
        <v>829</v>
      </c>
      <c r="H41" s="23" t="s">
        <v>1009</v>
      </c>
      <c r="I41" s="23" t="s">
        <v>1009</v>
      </c>
    </row>
    <row r="42" spans="1:9" ht="15.75" customHeight="1">
      <c r="A42" s="23" t="s">
        <v>505</v>
      </c>
      <c r="B42" s="23" t="s">
        <v>561</v>
      </c>
      <c r="C42" s="23" t="s">
        <v>506</v>
      </c>
      <c r="D42" s="23" t="s">
        <v>507</v>
      </c>
      <c r="E42" s="72">
        <v>45390.560706018499</v>
      </c>
      <c r="F42" s="23" t="s">
        <v>1012</v>
      </c>
      <c r="G42" s="23" t="s">
        <v>829</v>
      </c>
      <c r="H42" s="23" t="s">
        <v>1013</v>
      </c>
      <c r="I42" s="23" t="s">
        <v>1009</v>
      </c>
    </row>
    <row r="43" spans="1:9" ht="15.75" customHeight="1">
      <c r="A43" s="23" t="s">
        <v>98</v>
      </c>
      <c r="B43" s="23" t="s">
        <v>152</v>
      </c>
      <c r="C43" s="23" t="s">
        <v>99</v>
      </c>
      <c r="D43" s="23" t="s">
        <v>100</v>
      </c>
      <c r="E43" s="72">
        <v>45396.464363425897</v>
      </c>
      <c r="F43" s="23" t="s">
        <v>1008</v>
      </c>
      <c r="G43" s="23" t="s">
        <v>829</v>
      </c>
      <c r="H43" s="23" t="s">
        <v>1009</v>
      </c>
      <c r="I43" s="23" t="s">
        <v>1009</v>
      </c>
    </row>
    <row r="44" spans="1:9" ht="15.75" customHeight="1">
      <c r="A44" s="23" t="s">
        <v>243</v>
      </c>
      <c r="B44" s="23" t="s">
        <v>487</v>
      </c>
      <c r="C44" s="23" t="s">
        <v>244</v>
      </c>
      <c r="D44" s="23" t="s">
        <v>245</v>
      </c>
      <c r="E44" s="72">
        <v>45431.687962962998</v>
      </c>
      <c r="F44" s="23" t="s">
        <v>1008</v>
      </c>
      <c r="G44" s="23" t="s">
        <v>829</v>
      </c>
      <c r="H44" s="23" t="s">
        <v>1009</v>
      </c>
      <c r="I44" s="23" t="s">
        <v>1009</v>
      </c>
    </row>
    <row r="45" spans="1:9" ht="15.75" customHeight="1">
      <c r="A45" s="23" t="s">
        <v>238</v>
      </c>
      <c r="B45" s="23" t="s">
        <v>698</v>
      </c>
      <c r="C45" s="23" t="s">
        <v>239</v>
      </c>
      <c r="D45" s="23" t="s">
        <v>240</v>
      </c>
      <c r="E45" s="72">
        <v>45437.783101851899</v>
      </c>
      <c r="F45" s="23" t="s">
        <v>1008</v>
      </c>
      <c r="G45" s="23" t="s">
        <v>829</v>
      </c>
      <c r="H45" s="23" t="s">
        <v>1009</v>
      </c>
      <c r="I45" s="23" t="s">
        <v>1009</v>
      </c>
    </row>
    <row r="46" spans="1:9" ht="15.75" customHeight="1">
      <c r="A46" s="23" t="s">
        <v>342</v>
      </c>
      <c r="B46" s="23" t="s">
        <v>345</v>
      </c>
      <c r="C46" s="23" t="s">
        <v>343</v>
      </c>
      <c r="D46" s="23" t="s">
        <v>344</v>
      </c>
      <c r="E46" s="72">
        <v>45393.5480902778</v>
      </c>
      <c r="F46" s="23" t="s">
        <v>1008</v>
      </c>
      <c r="G46" s="23" t="s">
        <v>829</v>
      </c>
      <c r="H46" s="23" t="s">
        <v>1009</v>
      </c>
      <c r="I46" s="23" t="s">
        <v>1009</v>
      </c>
    </row>
    <row r="47" spans="1:9" ht="15.75" customHeight="1">
      <c r="A47" s="23" t="s">
        <v>132</v>
      </c>
      <c r="B47" s="23" t="s">
        <v>705</v>
      </c>
      <c r="C47" s="23" t="s">
        <v>133</v>
      </c>
      <c r="D47" s="23" t="s">
        <v>134</v>
      </c>
      <c r="E47" s="72">
        <v>45345.938182870399</v>
      </c>
      <c r="F47" s="23" t="s">
        <v>829</v>
      </c>
      <c r="G47" s="23" t="s">
        <v>829</v>
      </c>
      <c r="H47" s="23" t="s">
        <v>829</v>
      </c>
      <c r="I47" s="23" t="s">
        <v>829</v>
      </c>
    </row>
    <row r="48" spans="1:9" ht="15.75" customHeight="1">
      <c r="A48" s="23" t="s">
        <v>571</v>
      </c>
      <c r="B48" s="23" t="s">
        <v>220</v>
      </c>
      <c r="C48" s="23" t="s">
        <v>572</v>
      </c>
      <c r="D48" s="23" t="s">
        <v>573</v>
      </c>
      <c r="E48" s="72">
        <v>45416.722118055601</v>
      </c>
      <c r="F48" s="23" t="s">
        <v>1008</v>
      </c>
      <c r="G48" s="23" t="s">
        <v>829</v>
      </c>
      <c r="H48" s="23" t="s">
        <v>1009</v>
      </c>
      <c r="I48" s="23" t="s">
        <v>1009</v>
      </c>
    </row>
    <row r="49" spans="1:9" ht="15.75" customHeight="1">
      <c r="A49" s="23" t="s">
        <v>175</v>
      </c>
      <c r="B49" s="23" t="s">
        <v>569</v>
      </c>
      <c r="C49" s="23" t="s">
        <v>176</v>
      </c>
      <c r="D49" s="23" t="s">
        <v>177</v>
      </c>
      <c r="E49" s="72">
        <v>45437.732557870397</v>
      </c>
      <c r="F49" s="23" t="s">
        <v>1014</v>
      </c>
      <c r="G49" s="23" t="s">
        <v>829</v>
      </c>
      <c r="H49" s="23" t="s">
        <v>1015</v>
      </c>
      <c r="I49" s="23" t="s">
        <v>1009</v>
      </c>
    </row>
    <row r="50" spans="1:9" ht="15.75" customHeight="1">
      <c r="A50" s="23" t="s">
        <v>592</v>
      </c>
      <c r="B50" s="23" t="s">
        <v>75</v>
      </c>
      <c r="C50" s="23" t="s">
        <v>593</v>
      </c>
      <c r="D50" s="23" t="s">
        <v>594</v>
      </c>
      <c r="E50" s="72">
        <v>45408.887905092597</v>
      </c>
      <c r="F50" s="23" t="s">
        <v>1008</v>
      </c>
      <c r="G50" s="23" t="s">
        <v>829</v>
      </c>
      <c r="H50" s="23" t="s">
        <v>1009</v>
      </c>
      <c r="I50" s="23" t="s">
        <v>1009</v>
      </c>
    </row>
    <row r="51" spans="1:9" ht="15.75" customHeight="1">
      <c r="A51" s="23" t="s">
        <v>186</v>
      </c>
      <c r="B51" s="23" t="s">
        <v>710</v>
      </c>
      <c r="C51" s="23" t="s">
        <v>187</v>
      </c>
      <c r="D51" s="23" t="s">
        <v>188</v>
      </c>
      <c r="E51" s="72">
        <v>45431.518391203703</v>
      </c>
      <c r="F51" s="23" t="s">
        <v>1008</v>
      </c>
      <c r="G51" s="23" t="s">
        <v>829</v>
      </c>
      <c r="H51" s="23" t="s">
        <v>1009</v>
      </c>
      <c r="I51" s="23" t="s">
        <v>1009</v>
      </c>
    </row>
    <row r="52" spans="1:9" ht="15.75" customHeight="1">
      <c r="A52" s="23" t="s">
        <v>729</v>
      </c>
      <c r="B52" s="23" t="s">
        <v>574</v>
      </c>
      <c r="C52" s="23" t="s">
        <v>730</v>
      </c>
      <c r="D52" s="23" t="s">
        <v>731</v>
      </c>
      <c r="E52" s="72">
        <v>45442.745104166701</v>
      </c>
      <c r="F52" s="23" t="s">
        <v>1008</v>
      </c>
      <c r="G52" s="23" t="s">
        <v>829</v>
      </c>
      <c r="H52" s="23" t="s">
        <v>1009</v>
      </c>
      <c r="I52" s="23" t="s">
        <v>1009</v>
      </c>
    </row>
    <row r="53" spans="1:9" ht="15.75" customHeight="1">
      <c r="A53" s="23" t="s">
        <v>939</v>
      </c>
      <c r="B53" s="23" t="s">
        <v>940</v>
      </c>
      <c r="C53" s="23" t="s">
        <v>941</v>
      </c>
      <c r="D53" s="23" t="s">
        <v>942</v>
      </c>
      <c r="E53" s="72">
        <v>45429.7755555556</v>
      </c>
      <c r="F53" s="23" t="s">
        <v>1008</v>
      </c>
      <c r="G53" s="23" t="s">
        <v>829</v>
      </c>
      <c r="H53" s="23" t="s">
        <v>1009</v>
      </c>
      <c r="I53" s="23" t="s">
        <v>1009</v>
      </c>
    </row>
    <row r="54" spans="1:9" ht="15.75" customHeight="1">
      <c r="A54" s="23" t="s">
        <v>233</v>
      </c>
      <c r="B54" s="23" t="s">
        <v>225</v>
      </c>
      <c r="C54" s="23" t="s">
        <v>234</v>
      </c>
      <c r="D54" s="23" t="s">
        <v>235</v>
      </c>
      <c r="E54" s="72">
        <v>45426.402638888903</v>
      </c>
      <c r="F54" s="23" t="s">
        <v>1008</v>
      </c>
      <c r="G54" s="23" t="s">
        <v>829</v>
      </c>
      <c r="H54" s="23" t="s">
        <v>1009</v>
      </c>
      <c r="I54" s="23" t="s">
        <v>1009</v>
      </c>
    </row>
    <row r="55" spans="1:9" ht="15.75" customHeight="1">
      <c r="A55" s="23" t="s">
        <v>943</v>
      </c>
      <c r="B55" s="23" t="s">
        <v>313</v>
      </c>
      <c r="C55" s="23" t="s">
        <v>944</v>
      </c>
      <c r="D55" s="23" t="s">
        <v>945</v>
      </c>
      <c r="E55" s="72">
        <v>45365.818263888897</v>
      </c>
      <c r="F55" s="23" t="s">
        <v>1008</v>
      </c>
      <c r="G55" s="23" t="s">
        <v>829</v>
      </c>
      <c r="H55" s="23" t="s">
        <v>1009</v>
      </c>
      <c r="I55" s="23" t="s">
        <v>1009</v>
      </c>
    </row>
    <row r="56" spans="1:9" ht="15.75" customHeight="1">
      <c r="A56" s="23" t="s">
        <v>277</v>
      </c>
      <c r="B56" s="23" t="s">
        <v>303</v>
      </c>
      <c r="C56" s="23" t="s">
        <v>278</v>
      </c>
      <c r="D56" s="23" t="s">
        <v>279</v>
      </c>
      <c r="E56" s="72">
        <v>45438.892256944499</v>
      </c>
      <c r="F56" s="23" t="s">
        <v>1008</v>
      </c>
      <c r="G56" s="23" t="s">
        <v>829</v>
      </c>
      <c r="H56" s="23" t="s">
        <v>1009</v>
      </c>
      <c r="I56" s="23" t="s">
        <v>1009</v>
      </c>
    </row>
    <row r="57" spans="1:9" ht="15.75" customHeight="1">
      <c r="A57" s="23" t="s">
        <v>677</v>
      </c>
      <c r="B57" s="23" t="s">
        <v>391</v>
      </c>
      <c r="C57" s="23" t="s">
        <v>678</v>
      </c>
      <c r="D57" s="23" t="s">
        <v>679</v>
      </c>
      <c r="E57" s="72">
        <v>45434.808356481502</v>
      </c>
      <c r="F57" s="23" t="s">
        <v>1008</v>
      </c>
      <c r="G57" s="23" t="s">
        <v>829</v>
      </c>
      <c r="H57" s="23" t="s">
        <v>1009</v>
      </c>
      <c r="I57" s="23" t="s">
        <v>1009</v>
      </c>
    </row>
    <row r="58" spans="1:9" ht="15.75" customHeight="1">
      <c r="A58" s="23" t="s">
        <v>599</v>
      </c>
      <c r="B58" s="23" t="s">
        <v>371</v>
      </c>
      <c r="C58" s="23" t="s">
        <v>600</v>
      </c>
      <c r="D58" s="23" t="s">
        <v>601</v>
      </c>
      <c r="E58" s="72">
        <v>45434.339155092603</v>
      </c>
      <c r="F58" s="23" t="s">
        <v>1008</v>
      </c>
      <c r="G58" s="23" t="s">
        <v>829</v>
      </c>
      <c r="H58" s="23" t="s">
        <v>1009</v>
      </c>
      <c r="I58" s="23" t="s">
        <v>1009</v>
      </c>
    </row>
    <row r="59" spans="1:9" ht="15.75" customHeight="1">
      <c r="A59" s="23" t="s">
        <v>373</v>
      </c>
      <c r="B59" s="23" t="s">
        <v>587</v>
      </c>
      <c r="C59" s="23" t="s">
        <v>374</v>
      </c>
      <c r="D59" s="23" t="s">
        <v>375</v>
      </c>
      <c r="E59" s="72">
        <v>45438.378888888903</v>
      </c>
      <c r="F59" s="23" t="s">
        <v>1008</v>
      </c>
      <c r="G59" s="23" t="s">
        <v>829</v>
      </c>
      <c r="H59" s="23" t="s">
        <v>1009</v>
      </c>
      <c r="I59" s="23" t="s">
        <v>1009</v>
      </c>
    </row>
    <row r="60" spans="1:9" ht="15.75" customHeight="1">
      <c r="A60" s="23" t="s">
        <v>93</v>
      </c>
      <c r="B60" s="23" t="s">
        <v>246</v>
      </c>
      <c r="C60" s="23" t="s">
        <v>94</v>
      </c>
      <c r="D60" s="23" t="s">
        <v>95</v>
      </c>
      <c r="E60" s="72">
        <v>45414.711412037002</v>
      </c>
      <c r="F60" s="23" t="s">
        <v>1008</v>
      </c>
      <c r="G60" s="23" t="s">
        <v>829</v>
      </c>
      <c r="H60" s="23" t="s">
        <v>1009</v>
      </c>
      <c r="I60" s="23" t="s">
        <v>1009</v>
      </c>
    </row>
    <row r="61" spans="1:9" ht="15.75" customHeight="1">
      <c r="A61" s="23" t="s">
        <v>748</v>
      </c>
      <c r="B61" s="23" t="s">
        <v>638</v>
      </c>
      <c r="C61" s="23" t="s">
        <v>749</v>
      </c>
      <c r="D61" s="23" t="s">
        <v>750</v>
      </c>
      <c r="E61" s="72">
        <v>45443.882650462998</v>
      </c>
      <c r="F61" s="23" t="s">
        <v>1008</v>
      </c>
      <c r="G61" s="23" t="s">
        <v>829</v>
      </c>
      <c r="H61" s="23" t="s">
        <v>1009</v>
      </c>
      <c r="I61" s="23" t="s">
        <v>1009</v>
      </c>
    </row>
    <row r="62" spans="1:9" ht="15.75" customHeight="1">
      <c r="A62" s="23" t="s">
        <v>687</v>
      </c>
      <c r="B62" s="23" t="s">
        <v>236</v>
      </c>
      <c r="C62" s="23" t="s">
        <v>688</v>
      </c>
      <c r="D62" s="23" t="s">
        <v>689</v>
      </c>
      <c r="E62" s="72">
        <v>45381.371840277803</v>
      </c>
      <c r="F62" s="23" t="s">
        <v>1008</v>
      </c>
      <c r="G62" s="23" t="s">
        <v>829</v>
      </c>
      <c r="H62" s="23" t="s">
        <v>1009</v>
      </c>
      <c r="I62" s="23" t="s">
        <v>1009</v>
      </c>
    </row>
    <row r="63" spans="1:9" ht="15.75" customHeight="1">
      <c r="A63" s="23" t="s">
        <v>515</v>
      </c>
      <c r="B63" s="23" t="s">
        <v>450</v>
      </c>
      <c r="C63" s="23" t="s">
        <v>516</v>
      </c>
      <c r="D63" s="23" t="s">
        <v>517</v>
      </c>
      <c r="E63" s="72">
        <v>45434.7820138889</v>
      </c>
      <c r="F63" s="23" t="s">
        <v>1008</v>
      </c>
      <c r="G63" s="23" t="s">
        <v>829</v>
      </c>
      <c r="H63" s="23" t="s">
        <v>1009</v>
      </c>
      <c r="I63" s="23" t="s">
        <v>1009</v>
      </c>
    </row>
    <row r="64" spans="1:9" ht="15.75" customHeight="1">
      <c r="A64" s="23" t="s">
        <v>393</v>
      </c>
      <c r="B64" s="23" t="s">
        <v>396</v>
      </c>
      <c r="C64" s="23" t="s">
        <v>394</v>
      </c>
      <c r="D64" s="23" t="s">
        <v>395</v>
      </c>
      <c r="E64" s="72">
        <v>45431.536388888897</v>
      </c>
      <c r="F64" s="23" t="s">
        <v>1008</v>
      </c>
      <c r="G64" s="23" t="s">
        <v>829</v>
      </c>
      <c r="H64" s="23" t="s">
        <v>1009</v>
      </c>
      <c r="I64" s="23" t="s">
        <v>1009</v>
      </c>
    </row>
    <row r="65" spans="1:9" ht="15.75" customHeight="1">
      <c r="A65" s="23" t="s">
        <v>952</v>
      </c>
      <c r="B65" s="23" t="s">
        <v>81</v>
      </c>
      <c r="C65" s="23" t="s">
        <v>953</v>
      </c>
      <c r="D65" s="23" t="s">
        <v>954</v>
      </c>
      <c r="E65" s="72">
        <v>45441.335046296299</v>
      </c>
      <c r="F65" s="23" t="s">
        <v>1008</v>
      </c>
      <c r="G65" s="23" t="s">
        <v>829</v>
      </c>
      <c r="H65" s="23" t="s">
        <v>1009</v>
      </c>
      <c r="I65" s="23" t="s">
        <v>1009</v>
      </c>
    </row>
    <row r="66" spans="1:9" ht="15.75" customHeight="1">
      <c r="A66" s="23" t="s">
        <v>468</v>
      </c>
      <c r="B66" s="23" t="s">
        <v>416</v>
      </c>
      <c r="C66" s="23" t="s">
        <v>469</v>
      </c>
      <c r="D66" s="23" t="s">
        <v>470</v>
      </c>
      <c r="E66" s="72">
        <v>45416.571319444498</v>
      </c>
      <c r="F66" s="23" t="s">
        <v>1008</v>
      </c>
      <c r="G66" s="23" t="s">
        <v>829</v>
      </c>
      <c r="H66" s="23" t="s">
        <v>1009</v>
      </c>
      <c r="I66" s="23" t="s">
        <v>1009</v>
      </c>
    </row>
    <row r="67" spans="1:9" ht="15.75" customHeight="1">
      <c r="A67" s="23" t="s">
        <v>358</v>
      </c>
      <c r="B67" s="23" t="s">
        <v>163</v>
      </c>
      <c r="C67" s="23" t="s">
        <v>359</v>
      </c>
      <c r="D67" s="23" t="s">
        <v>360</v>
      </c>
      <c r="E67" s="72">
        <v>45432.815381944398</v>
      </c>
      <c r="F67" s="23" t="s">
        <v>1008</v>
      </c>
      <c r="G67" s="23" t="s">
        <v>829</v>
      </c>
      <c r="H67" s="23" t="s">
        <v>1009</v>
      </c>
      <c r="I67" s="23" t="s">
        <v>1009</v>
      </c>
    </row>
    <row r="68" spans="1:9" ht="15.75" customHeight="1">
      <c r="A68" s="23" t="s">
        <v>398</v>
      </c>
      <c r="B68" s="23" t="s">
        <v>455</v>
      </c>
      <c r="C68" s="23" t="s">
        <v>399</v>
      </c>
      <c r="D68" s="23" t="s">
        <v>400</v>
      </c>
      <c r="E68" s="72">
        <v>45417.640138888899</v>
      </c>
      <c r="F68" s="23" t="s">
        <v>1008</v>
      </c>
      <c r="G68" s="23" t="s">
        <v>829</v>
      </c>
      <c r="H68" s="23" t="s">
        <v>1009</v>
      </c>
      <c r="I68" s="23" t="s">
        <v>1009</v>
      </c>
    </row>
    <row r="69" spans="1:9" ht="15.75" customHeight="1">
      <c r="A69" s="23" t="s">
        <v>315</v>
      </c>
      <c r="B69" s="23" t="s">
        <v>629</v>
      </c>
      <c r="C69" s="23" t="s">
        <v>316</v>
      </c>
      <c r="D69" s="23" t="s">
        <v>317</v>
      </c>
      <c r="E69" s="72">
        <v>45379.475578703699</v>
      </c>
      <c r="F69" s="23" t="s">
        <v>1008</v>
      </c>
      <c r="G69" s="23" t="s">
        <v>829</v>
      </c>
      <c r="H69" s="23" t="s">
        <v>1009</v>
      </c>
      <c r="I69" s="23" t="s">
        <v>1009</v>
      </c>
    </row>
    <row r="70" spans="1:9" ht="15.75" customHeight="1">
      <c r="A70" s="23" t="s">
        <v>60</v>
      </c>
      <c r="B70" s="23" t="s">
        <v>251</v>
      </c>
      <c r="C70" s="23" t="s">
        <v>61</v>
      </c>
      <c r="D70" s="23" t="s">
        <v>62</v>
      </c>
      <c r="E70" s="72">
        <v>45440.839375000003</v>
      </c>
      <c r="F70" s="23" t="s">
        <v>1008</v>
      </c>
      <c r="G70" s="23" t="s">
        <v>829</v>
      </c>
      <c r="H70" s="23" t="s">
        <v>1009</v>
      </c>
      <c r="I70" s="23" t="s">
        <v>1009</v>
      </c>
    </row>
    <row r="71" spans="1:9" ht="15.75" customHeight="1">
      <c r="A71" s="23" t="s">
        <v>626</v>
      </c>
      <c r="B71" s="23" t="s">
        <v>957</v>
      </c>
      <c r="C71" s="23" t="s">
        <v>627</v>
      </c>
      <c r="D71" s="23" t="s">
        <v>628</v>
      </c>
      <c r="E71" s="72">
        <v>45431.300983796304</v>
      </c>
      <c r="F71" s="23" t="s">
        <v>1008</v>
      </c>
      <c r="G71" s="23" t="s">
        <v>829</v>
      </c>
      <c r="H71" s="23" t="s">
        <v>1009</v>
      </c>
      <c r="I71" s="23" t="s">
        <v>1009</v>
      </c>
    </row>
    <row r="72" spans="1:9" ht="15.75" customHeight="1">
      <c r="A72" s="23" t="s">
        <v>473</v>
      </c>
      <c r="B72" s="23" t="s">
        <v>86</v>
      </c>
      <c r="C72" s="23" t="s">
        <v>474</v>
      </c>
      <c r="D72" s="23" t="s">
        <v>475</v>
      </c>
      <c r="E72" s="72">
        <v>45414.241539351897</v>
      </c>
      <c r="F72" s="23" t="s">
        <v>1008</v>
      </c>
      <c r="G72" s="23" t="s">
        <v>829</v>
      </c>
      <c r="H72" s="23" t="s">
        <v>1009</v>
      </c>
      <c r="I72" s="23" t="s">
        <v>1009</v>
      </c>
    </row>
    <row r="73" spans="1:9" ht="15.75" customHeight="1">
      <c r="A73" s="23" t="s">
        <v>610</v>
      </c>
      <c r="B73" s="23" t="s">
        <v>256</v>
      </c>
      <c r="C73" s="23" t="s">
        <v>611</v>
      </c>
      <c r="D73" s="23" t="s">
        <v>612</v>
      </c>
      <c r="E73" s="72">
        <v>45438.439780092602</v>
      </c>
      <c r="F73" s="23" t="s">
        <v>1008</v>
      </c>
      <c r="G73" s="23" t="s">
        <v>829</v>
      </c>
      <c r="H73" s="23" t="s">
        <v>1009</v>
      </c>
      <c r="I73" s="23" t="s">
        <v>1009</v>
      </c>
    </row>
    <row r="74" spans="1:9" ht="15.75" customHeight="1">
      <c r="A74" s="23" t="s">
        <v>403</v>
      </c>
      <c r="B74" s="23" t="s">
        <v>732</v>
      </c>
      <c r="C74" s="23" t="s">
        <v>404</v>
      </c>
      <c r="D74" s="23" t="s">
        <v>405</v>
      </c>
      <c r="E74" s="72">
        <v>45432.586504629602</v>
      </c>
      <c r="F74" s="23" t="s">
        <v>1008</v>
      </c>
      <c r="G74" s="23" t="s">
        <v>829</v>
      </c>
      <c r="H74" s="23" t="s">
        <v>1009</v>
      </c>
      <c r="I74" s="23" t="s">
        <v>1009</v>
      </c>
    </row>
    <row r="75" spans="1:9" ht="15.75" customHeight="1">
      <c r="A75" s="23" t="s">
        <v>635</v>
      </c>
      <c r="B75" s="23" t="s">
        <v>497</v>
      </c>
      <c r="C75" s="23" t="s">
        <v>636</v>
      </c>
      <c r="D75" s="23" t="s">
        <v>637</v>
      </c>
      <c r="E75" s="72">
        <v>45420.304965277799</v>
      </c>
      <c r="F75" s="23" t="s">
        <v>1008</v>
      </c>
      <c r="G75" s="23" t="s">
        <v>829</v>
      </c>
      <c r="H75" s="23" t="s">
        <v>1009</v>
      </c>
      <c r="I75" s="23" t="s">
        <v>1009</v>
      </c>
    </row>
    <row r="76" spans="1:9" ht="15.75" customHeight="1">
      <c r="A76" s="23" t="s">
        <v>606</v>
      </c>
      <c r="B76" s="23" t="s">
        <v>595</v>
      </c>
      <c r="C76" s="23" t="s">
        <v>607</v>
      </c>
      <c r="D76" s="23" t="s">
        <v>608</v>
      </c>
      <c r="E76" s="72">
        <v>45435.637025463002</v>
      </c>
      <c r="F76" s="23" t="s">
        <v>1008</v>
      </c>
      <c r="G76" s="23" t="s">
        <v>829</v>
      </c>
      <c r="H76" s="23" t="s">
        <v>1009</v>
      </c>
      <c r="I76" s="23" t="s">
        <v>1009</v>
      </c>
    </row>
    <row r="77" spans="1:9" ht="15.75" customHeight="1">
      <c r="A77" s="23" t="s">
        <v>432</v>
      </c>
      <c r="B77" s="23" t="s">
        <v>602</v>
      </c>
      <c r="C77" s="23" t="s">
        <v>433</v>
      </c>
      <c r="D77" s="23" t="s">
        <v>434</v>
      </c>
      <c r="E77" s="72">
        <v>45395.829733796301</v>
      </c>
      <c r="F77" s="23" t="s">
        <v>1008</v>
      </c>
      <c r="G77" s="23" t="s">
        <v>829</v>
      </c>
      <c r="H77" s="23" t="s">
        <v>1009</v>
      </c>
      <c r="I77" s="23" t="s">
        <v>1009</v>
      </c>
    </row>
    <row r="78" spans="1:9" ht="15.75" customHeight="1">
      <c r="A78" s="23" t="s">
        <v>529</v>
      </c>
      <c r="B78" s="23" t="s">
        <v>355</v>
      </c>
      <c r="C78" s="23" t="s">
        <v>530</v>
      </c>
      <c r="D78" s="23" t="s">
        <v>531</v>
      </c>
      <c r="E78" s="72">
        <v>45424.577557870398</v>
      </c>
      <c r="F78" s="23" t="s">
        <v>1008</v>
      </c>
      <c r="G78" s="23" t="s">
        <v>829</v>
      </c>
      <c r="H78" s="23" t="s">
        <v>1009</v>
      </c>
      <c r="I78" s="23" t="s">
        <v>1009</v>
      </c>
    </row>
    <row r="79" spans="1:9" ht="15.75" customHeight="1">
      <c r="A79" s="23" t="s">
        <v>659</v>
      </c>
      <c r="B79" s="23" t="s">
        <v>91</v>
      </c>
      <c r="C79" s="23" t="s">
        <v>660</v>
      </c>
      <c r="D79" s="23" t="s">
        <v>661</v>
      </c>
      <c r="E79" s="72">
        <v>45418.753449074102</v>
      </c>
      <c r="F79" s="23" t="s">
        <v>1008</v>
      </c>
      <c r="G79" s="23" t="s">
        <v>829</v>
      </c>
      <c r="H79" s="23" t="s">
        <v>1009</v>
      </c>
      <c r="I79" s="23" t="s">
        <v>1009</v>
      </c>
    </row>
    <row r="80" spans="1:9" ht="15.75" customHeight="1">
      <c r="A80" s="23" t="s">
        <v>702</v>
      </c>
      <c r="B80" s="23" t="s">
        <v>401</v>
      </c>
      <c r="C80" s="23" t="s">
        <v>703</v>
      </c>
      <c r="D80" s="23" t="s">
        <v>704</v>
      </c>
      <c r="E80" s="72">
        <v>45379.624004629601</v>
      </c>
      <c r="F80" s="23" t="s">
        <v>829</v>
      </c>
      <c r="G80" s="23" t="s">
        <v>829</v>
      </c>
      <c r="H80" s="23" t="s">
        <v>829</v>
      </c>
      <c r="I80" s="23" t="s">
        <v>829</v>
      </c>
    </row>
    <row r="81" spans="1:9" ht="15.75" customHeight="1">
      <c r="A81" s="23" t="s">
        <v>965</v>
      </c>
      <c r="B81" s="23" t="s">
        <v>643</v>
      </c>
      <c r="C81" s="23" t="s">
        <v>966</v>
      </c>
      <c r="D81" s="23" t="s">
        <v>967</v>
      </c>
      <c r="E81" s="72">
        <v>45398.378599536998</v>
      </c>
      <c r="F81" s="23" t="s">
        <v>1008</v>
      </c>
      <c r="G81" s="23" t="s">
        <v>829</v>
      </c>
      <c r="H81" s="23" t="s">
        <v>1009</v>
      </c>
      <c r="I81" s="23" t="s">
        <v>1009</v>
      </c>
    </row>
    <row r="82" spans="1:9" ht="15.75" customHeight="1">
      <c r="A82" s="23" t="s">
        <v>621</v>
      </c>
      <c r="B82" s="23" t="s">
        <v>745</v>
      </c>
      <c r="C82" s="23" t="s">
        <v>622</v>
      </c>
      <c r="D82" s="23" t="s">
        <v>623</v>
      </c>
      <c r="E82" s="72">
        <v>45431.649629629603</v>
      </c>
      <c r="F82" s="23" t="s">
        <v>1016</v>
      </c>
      <c r="G82" s="23" t="s">
        <v>829</v>
      </c>
      <c r="H82" s="23" t="s">
        <v>1017</v>
      </c>
      <c r="I82" s="23" t="s">
        <v>1009</v>
      </c>
    </row>
    <row r="83" spans="1:9" ht="15.75" customHeight="1">
      <c r="A83" s="23" t="s">
        <v>212</v>
      </c>
      <c r="B83" s="23" t="s">
        <v>173</v>
      </c>
      <c r="C83" s="23" t="s">
        <v>213</v>
      </c>
      <c r="D83" s="23" t="s">
        <v>214</v>
      </c>
      <c r="E83" s="72">
        <v>45390.492291666698</v>
      </c>
      <c r="F83" s="23" t="s">
        <v>1008</v>
      </c>
      <c r="G83" s="23" t="s">
        <v>829</v>
      </c>
      <c r="H83" s="23" t="s">
        <v>1009</v>
      </c>
      <c r="I83" s="23" t="s">
        <v>1009</v>
      </c>
    </row>
    <row r="84" spans="1:9" ht="15.75" customHeight="1">
      <c r="A84" s="23" t="s">
        <v>579</v>
      </c>
      <c r="B84" s="23" t="s">
        <v>582</v>
      </c>
      <c r="C84" s="23" t="s">
        <v>580</v>
      </c>
      <c r="D84" s="23" t="s">
        <v>581</v>
      </c>
      <c r="E84" s="72">
        <v>45426.619050925903</v>
      </c>
      <c r="F84" s="23" t="s">
        <v>1008</v>
      </c>
      <c r="G84" s="23" t="s">
        <v>829</v>
      </c>
      <c r="H84" s="23" t="s">
        <v>1009</v>
      </c>
      <c r="I84" s="23" t="s">
        <v>1009</v>
      </c>
    </row>
    <row r="85" spans="1:9" ht="15.75" customHeight="1">
      <c r="A85" s="23" t="s">
        <v>109</v>
      </c>
      <c r="B85" s="23" t="s">
        <v>648</v>
      </c>
      <c r="C85" s="23" t="s">
        <v>110</v>
      </c>
      <c r="D85" s="23" t="s">
        <v>111</v>
      </c>
      <c r="E85" s="72">
        <v>45371.416423611103</v>
      </c>
      <c r="F85" s="23" t="s">
        <v>1008</v>
      </c>
      <c r="G85" s="23" t="s">
        <v>829</v>
      </c>
      <c r="H85" s="23" t="s">
        <v>1009</v>
      </c>
      <c r="I85" s="23" t="s">
        <v>1009</v>
      </c>
    </row>
    <row r="86" spans="1:9" ht="15.75" customHeight="1">
      <c r="A86" s="23" t="s">
        <v>283</v>
      </c>
      <c r="B86" s="23" t="s">
        <v>471</v>
      </c>
      <c r="C86" s="23" t="s">
        <v>284</v>
      </c>
      <c r="D86" s="23" t="s">
        <v>285</v>
      </c>
      <c r="E86" s="72">
        <v>45435.706400463001</v>
      </c>
      <c r="F86" s="23" t="s">
        <v>1008</v>
      </c>
      <c r="G86" s="23" t="s">
        <v>829</v>
      </c>
      <c r="H86" s="23" t="s">
        <v>1009</v>
      </c>
      <c r="I86" s="23" t="s">
        <v>1009</v>
      </c>
    </row>
    <row r="87" spans="1:9" ht="15.75" customHeight="1">
      <c r="A87" s="23" t="s">
        <v>615</v>
      </c>
      <c r="B87" s="23" t="s">
        <v>291</v>
      </c>
      <c r="C87" s="23" t="s">
        <v>616</v>
      </c>
      <c r="D87" s="23" t="s">
        <v>617</v>
      </c>
      <c r="E87" s="72">
        <v>45431.684293981503</v>
      </c>
      <c r="F87" s="23" t="s">
        <v>1008</v>
      </c>
      <c r="G87" s="23" t="s">
        <v>829</v>
      </c>
      <c r="H87" s="23" t="s">
        <v>1009</v>
      </c>
      <c r="I87" s="23" t="s">
        <v>1009</v>
      </c>
    </row>
    <row r="88" spans="1:9" ht="15.75" customHeight="1">
      <c r="A88" s="23" t="s">
        <v>273</v>
      </c>
      <c r="B88" s="23" t="s">
        <v>96</v>
      </c>
      <c r="C88" s="23" t="s">
        <v>274</v>
      </c>
      <c r="D88" s="23" t="s">
        <v>275</v>
      </c>
      <c r="E88" s="72">
        <v>45408.907048611101</v>
      </c>
      <c r="F88" s="23" t="s">
        <v>1008</v>
      </c>
      <c r="G88" s="23" t="s">
        <v>829</v>
      </c>
      <c r="H88" s="23" t="s">
        <v>1009</v>
      </c>
      <c r="I88" s="23" t="s">
        <v>1009</v>
      </c>
    </row>
    <row r="89" spans="1:9" ht="15.75" customHeight="1">
      <c r="A89" s="23" t="s">
        <v>970</v>
      </c>
      <c r="B89" s="23" t="s">
        <v>502</v>
      </c>
      <c r="C89" s="23" t="s">
        <v>971</v>
      </c>
      <c r="D89" s="23" t="s">
        <v>972</v>
      </c>
      <c r="E89" s="72">
        <v>45418.745474536998</v>
      </c>
      <c r="F89" s="23" t="s">
        <v>1008</v>
      </c>
      <c r="G89" s="23" t="s">
        <v>829</v>
      </c>
      <c r="H89" s="23" t="s">
        <v>1009</v>
      </c>
      <c r="I89" s="23" t="s">
        <v>1009</v>
      </c>
    </row>
    <row r="90" spans="1:9" ht="15.75" customHeight="1">
      <c r="A90" s="23" t="s">
        <v>977</v>
      </c>
      <c r="B90" s="23" t="s">
        <v>101</v>
      </c>
      <c r="C90" s="23" t="s">
        <v>978</v>
      </c>
      <c r="D90" s="23" t="s">
        <v>979</v>
      </c>
      <c r="E90" s="72">
        <v>45432.705254629604</v>
      </c>
      <c r="F90" s="23" t="s">
        <v>1008</v>
      </c>
      <c r="G90" s="23" t="s">
        <v>829</v>
      </c>
      <c r="H90" s="23" t="s">
        <v>1009</v>
      </c>
      <c r="I90" s="23" t="s">
        <v>1009</v>
      </c>
    </row>
    <row r="91" spans="1:9" ht="15.75" customHeight="1">
      <c r="A91" s="23" t="s">
        <v>691</v>
      </c>
      <c r="B91" s="23" t="s">
        <v>476</v>
      </c>
      <c r="C91" s="23" t="s">
        <v>692</v>
      </c>
      <c r="D91" s="23" t="s">
        <v>693</v>
      </c>
      <c r="E91" s="72">
        <v>45426.370115740698</v>
      </c>
      <c r="F91" s="23" t="s">
        <v>1008</v>
      </c>
      <c r="G91" s="23" t="s">
        <v>829</v>
      </c>
      <c r="H91" s="23" t="s">
        <v>1009</v>
      </c>
      <c r="I91" s="23" t="s">
        <v>1009</v>
      </c>
    </row>
    <row r="92" spans="1:9" ht="15.75" customHeight="1">
      <c r="A92" s="23" t="s">
        <v>423</v>
      </c>
      <c r="B92" s="23" t="s">
        <v>426</v>
      </c>
      <c r="C92" s="23" t="s">
        <v>424</v>
      </c>
      <c r="D92" s="23" t="s">
        <v>425</v>
      </c>
      <c r="E92" s="72">
        <v>45396.739039351902</v>
      </c>
      <c r="F92" s="23" t="s">
        <v>1008</v>
      </c>
      <c r="G92" s="23" t="s">
        <v>829</v>
      </c>
      <c r="H92" s="23" t="s">
        <v>1009</v>
      </c>
      <c r="I92" s="23" t="s">
        <v>1009</v>
      </c>
    </row>
    <row r="93" spans="1:9" ht="15.75" customHeight="1">
      <c r="A93" s="23" t="s">
        <v>41</v>
      </c>
      <c r="B93" s="23" t="s">
        <v>984</v>
      </c>
      <c r="C93" s="23" t="s">
        <v>42</v>
      </c>
      <c r="D93" s="23" t="s">
        <v>43</v>
      </c>
      <c r="E93" s="72">
        <v>45410.820416666698</v>
      </c>
      <c r="F93" s="23" t="s">
        <v>1008</v>
      </c>
      <c r="G93" s="23" t="s">
        <v>829</v>
      </c>
      <c r="H93" s="23" t="s">
        <v>1009</v>
      </c>
      <c r="I93" s="23" t="s">
        <v>1009</v>
      </c>
    </row>
    <row r="94" spans="1:9" ht="15.75" customHeight="1">
      <c r="A94" s="23" t="s">
        <v>645</v>
      </c>
      <c r="B94" s="23" t="s">
        <v>411</v>
      </c>
      <c r="C94" s="23" t="s">
        <v>646</v>
      </c>
      <c r="D94" s="23" t="s">
        <v>647</v>
      </c>
      <c r="E94" s="72">
        <v>45432.771562499998</v>
      </c>
      <c r="F94" s="23" t="s">
        <v>1008</v>
      </c>
      <c r="G94" s="23" t="s">
        <v>829</v>
      </c>
      <c r="H94" s="23" t="s">
        <v>1009</v>
      </c>
      <c r="I94" s="23" t="s">
        <v>1009</v>
      </c>
    </row>
    <row r="95" spans="1:9" ht="15.75" customHeight="1">
      <c r="A95" s="23" t="s">
        <v>985</v>
      </c>
      <c r="B95" s="23" t="s">
        <v>613</v>
      </c>
      <c r="C95" s="23" t="s">
        <v>986</v>
      </c>
      <c r="D95" s="23" t="s">
        <v>987</v>
      </c>
      <c r="E95" s="72">
        <v>45430.875127314801</v>
      </c>
      <c r="F95" s="23" t="s">
        <v>1008</v>
      </c>
      <c r="G95" s="23" t="s">
        <v>829</v>
      </c>
      <c r="H95" s="23" t="s">
        <v>1009</v>
      </c>
      <c r="I95" s="23" t="s">
        <v>1009</v>
      </c>
    </row>
    <row r="96" spans="1:9" ht="15.75" customHeight="1">
      <c r="A96" s="23" t="s">
        <v>288</v>
      </c>
      <c r="B96" s="23" t="s">
        <v>112</v>
      </c>
      <c r="C96" s="23" t="s">
        <v>289</v>
      </c>
      <c r="D96" s="23" t="s">
        <v>290</v>
      </c>
      <c r="E96" s="72">
        <v>45392.5178703704</v>
      </c>
      <c r="F96" s="23" t="s">
        <v>1008</v>
      </c>
      <c r="G96" s="23" t="s">
        <v>829</v>
      </c>
      <c r="H96" s="23" t="s">
        <v>1009</v>
      </c>
      <c r="I96" s="23" t="s">
        <v>1009</v>
      </c>
    </row>
    <row r="97" spans="1:9" ht="15.75" customHeight="1">
      <c r="A97" s="23" t="s">
        <v>991</v>
      </c>
      <c r="B97" s="23" t="s">
        <v>662</v>
      </c>
      <c r="C97" s="23" t="s">
        <v>992</v>
      </c>
      <c r="D97" s="23" t="s">
        <v>993</v>
      </c>
      <c r="E97" s="72">
        <v>45366.391087962998</v>
      </c>
      <c r="F97" s="23" t="s">
        <v>1008</v>
      </c>
      <c r="G97" s="23" t="s">
        <v>829</v>
      </c>
      <c r="H97" s="23" t="s">
        <v>1009</v>
      </c>
      <c r="I97" s="23" t="s">
        <v>1009</v>
      </c>
    </row>
    <row r="98" spans="1:9" ht="15.75" customHeight="1">
      <c r="A98" s="23" t="s">
        <v>337</v>
      </c>
      <c r="B98" s="23" t="s">
        <v>308</v>
      </c>
      <c r="C98" s="23" t="s">
        <v>338</v>
      </c>
      <c r="D98" s="23" t="s">
        <v>339</v>
      </c>
      <c r="E98" s="72">
        <v>45439.843726851897</v>
      </c>
      <c r="F98" s="23" t="s">
        <v>1008</v>
      </c>
      <c r="G98" s="23" t="s">
        <v>829</v>
      </c>
      <c r="H98" s="23" t="s">
        <v>1009</v>
      </c>
      <c r="I98" s="23" t="s">
        <v>1009</v>
      </c>
    </row>
    <row r="99" spans="1:9" ht="15.75" customHeight="1">
      <c r="A99" s="23" t="s">
        <v>994</v>
      </c>
      <c r="B99" s="23" t="s">
        <v>266</v>
      </c>
      <c r="C99" s="23" t="s">
        <v>995</v>
      </c>
      <c r="D99" s="23" t="s">
        <v>996</v>
      </c>
      <c r="E99" s="72">
        <v>45421.693668981497</v>
      </c>
      <c r="F99" s="23" t="s">
        <v>1008</v>
      </c>
      <c r="G99" s="23" t="s">
        <v>829</v>
      </c>
      <c r="H99" s="23" t="s">
        <v>1009</v>
      </c>
      <c r="I99" s="23" t="s">
        <v>1009</v>
      </c>
    </row>
    <row r="100" spans="1:9" ht="15.75" customHeight="1">
      <c r="A100" s="23" t="s">
        <v>546</v>
      </c>
      <c r="B100" s="23" t="s">
        <v>122</v>
      </c>
      <c r="C100" s="23" t="s">
        <v>547</v>
      </c>
      <c r="D100" s="23" t="s">
        <v>548</v>
      </c>
      <c r="E100" s="72">
        <v>45395.350173611099</v>
      </c>
      <c r="F100" s="23" t="s">
        <v>1008</v>
      </c>
      <c r="G100" s="23" t="s">
        <v>829</v>
      </c>
      <c r="H100" s="23" t="s">
        <v>1009</v>
      </c>
      <c r="I100" s="23" t="s">
        <v>1009</v>
      </c>
    </row>
    <row r="101" spans="1:9" ht="15.75" customHeight="1">
      <c r="A101" s="23" t="s">
        <v>55</v>
      </c>
      <c r="B101" s="23" t="s">
        <v>271</v>
      </c>
      <c r="C101" s="23" t="s">
        <v>56</v>
      </c>
      <c r="D101" s="23" t="s">
        <v>57</v>
      </c>
      <c r="E101" s="72">
        <v>45416.312881944497</v>
      </c>
      <c r="F101" s="23" t="s">
        <v>1008</v>
      </c>
      <c r="G101" s="23" t="s">
        <v>829</v>
      </c>
      <c r="H101" s="23" t="s">
        <v>1009</v>
      </c>
      <c r="I101" s="23" t="s">
        <v>1009</v>
      </c>
    </row>
    <row r="102" spans="1:9" ht="15.75" customHeight="1">
      <c r="A102" s="23" t="s">
        <v>997</v>
      </c>
      <c r="B102" s="23" t="s">
        <v>482</v>
      </c>
      <c r="C102" s="23" t="s">
        <v>998</v>
      </c>
      <c r="D102" s="23" t="s">
        <v>999</v>
      </c>
      <c r="E102" s="72">
        <v>45426.880416666703</v>
      </c>
      <c r="F102" s="23" t="s">
        <v>1008</v>
      </c>
      <c r="G102" s="23" t="s">
        <v>829</v>
      </c>
      <c r="H102" s="23" t="s">
        <v>1009</v>
      </c>
      <c r="I102" s="23" t="s">
        <v>1009</v>
      </c>
    </row>
    <row r="103" spans="1:9" ht="15.75" customHeight="1">
      <c r="A103" s="23" t="s">
        <v>263</v>
      </c>
      <c r="B103" s="23" t="s">
        <v>618</v>
      </c>
      <c r="C103" s="23" t="s">
        <v>264</v>
      </c>
      <c r="D103" s="23" t="s">
        <v>265</v>
      </c>
      <c r="E103" s="72">
        <v>45382.60125</v>
      </c>
      <c r="F103" s="23" t="s">
        <v>1008</v>
      </c>
      <c r="G103" s="23" t="s">
        <v>829</v>
      </c>
      <c r="H103" s="23" t="s">
        <v>1009</v>
      </c>
      <c r="I103" s="23" t="s">
        <v>1009</v>
      </c>
    </row>
    <row r="104" spans="1:9" ht="15.75" customHeight="1">
      <c r="A104" s="23" t="s">
        <v>524</v>
      </c>
      <c r="B104" s="23" t="s">
        <v>508</v>
      </c>
      <c r="C104" s="23" t="s">
        <v>525</v>
      </c>
      <c r="D104" s="23" t="s">
        <v>526</v>
      </c>
      <c r="E104" s="72">
        <v>45439.007210648197</v>
      </c>
      <c r="F104" s="23" t="s">
        <v>1008</v>
      </c>
      <c r="G104" s="23" t="s">
        <v>829</v>
      </c>
      <c r="H104" s="23" t="s">
        <v>1009</v>
      </c>
      <c r="I104" s="23" t="s">
        <v>1009</v>
      </c>
    </row>
    <row r="105" spans="1:9" ht="15.75" customHeight="1">
      <c r="A105" s="23" t="s">
        <v>154</v>
      </c>
      <c r="B105" s="23" t="s">
        <v>128</v>
      </c>
      <c r="C105" s="23" t="s">
        <v>155</v>
      </c>
      <c r="D105" s="23" t="s">
        <v>156</v>
      </c>
      <c r="E105" s="72">
        <v>45418.741446759297</v>
      </c>
      <c r="F105" s="23" t="s">
        <v>1008</v>
      </c>
      <c r="G105" s="23" t="s">
        <v>829</v>
      </c>
      <c r="H105" s="23" t="s">
        <v>1009</v>
      </c>
      <c r="I105" s="23" t="s">
        <v>1009</v>
      </c>
    </row>
    <row r="106" spans="1:9" ht="15.75" customHeight="1">
      <c r="A106" s="23" t="s">
        <v>1001</v>
      </c>
      <c r="B106" s="23" t="s">
        <v>1002</v>
      </c>
      <c r="C106" s="23" t="s">
        <v>1003</v>
      </c>
      <c r="D106" s="23" t="s">
        <v>1004</v>
      </c>
      <c r="E106" s="72">
        <v>45383.451747685198</v>
      </c>
      <c r="F106" s="23" t="s">
        <v>1008</v>
      </c>
      <c r="G106" s="23" t="s">
        <v>829</v>
      </c>
      <c r="H106" s="23" t="s">
        <v>1009</v>
      </c>
      <c r="I106" s="23" t="s">
        <v>1009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Оценки</vt:lpstr>
      <vt:lpstr>Проекты</vt:lpstr>
      <vt:lpstr>Расчёт_оценок</vt:lpstr>
      <vt:lpstr>Онлайн-курс1</vt:lpstr>
      <vt:lpstr>Онлайн-курс2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Марков Марк</cp:lastModifiedBy>
  <cp:revision>0</cp:revision>
  <dcterms:created xsi:type="dcterms:W3CDTF">2026-03-21T12:59:02Z</dcterms:created>
  <dcterms:modified xsi:type="dcterms:W3CDTF">2026-03-24T20:24:25Z</dcterms:modified>
  <dc:language>en-US</dc:language>
</cp:coreProperties>
</file>